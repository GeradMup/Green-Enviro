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rry\OneDrive\Documents\Work\Green Enviro\App Development\Planning\"/>
    </mc:Choice>
  </mc:AlternateContent>
  <xr:revisionPtr revIDLastSave="0" documentId="13_ncr:1_{7FFA66F9-9AF9-43BF-891B-FA7651760CAB}" xr6:coauthVersionLast="45" xr6:coauthVersionMax="45" xr10:uidLastSave="{00000000-0000-0000-0000-000000000000}"/>
  <bookViews>
    <workbookView xWindow="-108" yWindow="-108" windowWidth="23256" windowHeight="12576" tabRatio="693" firstSheet="11" activeTab="12" xr2:uid="{86A67715-EF70-41B5-92A9-36CB4C495225}"/>
  </bookViews>
  <sheets>
    <sheet name="1 December" sheetId="71" r:id="rId1"/>
    <sheet name="2 December" sheetId="70" r:id="rId2"/>
    <sheet name="3 December" sheetId="69" r:id="rId3"/>
    <sheet name="4 December" sheetId="68" r:id="rId4"/>
    <sheet name="5 December" sheetId="67" r:id="rId5"/>
    <sheet name="7 December" sheetId="66" r:id="rId6"/>
    <sheet name="8 December" sheetId="65" r:id="rId7"/>
    <sheet name="9 December" sheetId="64" r:id="rId8"/>
    <sheet name="10 December" sheetId="63" r:id="rId9"/>
    <sheet name="11 December" sheetId="62" r:id="rId10"/>
    <sheet name="12 December" sheetId="61" r:id="rId11"/>
    <sheet name="14 December" sheetId="60" r:id="rId12"/>
    <sheet name="15 December" sheetId="59" r:id="rId13"/>
    <sheet name="16 December" sheetId="58" r:id="rId14"/>
    <sheet name="17 December" sheetId="57" r:id="rId15"/>
    <sheet name="18 December" sheetId="56" r:id="rId16"/>
    <sheet name="19 December" sheetId="55" r:id="rId17"/>
    <sheet name="21 December" sheetId="53" r:id="rId18"/>
    <sheet name="22 December" sheetId="54" r:id="rId19"/>
    <sheet name="23 December" sheetId="52" r:id="rId20"/>
    <sheet name="24 December" sheetId="51" r:id="rId21"/>
    <sheet name="25 December" sheetId="50" r:id="rId22"/>
    <sheet name="26 December" sheetId="49" r:id="rId23"/>
    <sheet name="28 December" sheetId="48" r:id="rId24"/>
    <sheet name="29 December" sheetId="47" r:id="rId25"/>
    <sheet name="30 December" sheetId="72" r:id="rId26"/>
    <sheet name="31 December" sheetId="73" r:id="rId27"/>
    <sheet name="Receipt" sheetId="12" r:id="rId28"/>
    <sheet name="Month Summary" sheetId="9" r:id="rId29"/>
    <sheet name="Price List" sheetId="11" r:id="rId30"/>
    <sheet name="Formulas" sheetId="13" state="hidden" r:id="rId31"/>
    <sheet name="Receipt Copy" sheetId="46" state="hidden" r:id="rId32"/>
  </sheets>
  <functionGroups builtInGroupCount="19"/>
  <definedNames>
    <definedName name="_xlnm.Print_Area" localSheetId="27">Receipt!$A$1:$D$30</definedName>
    <definedName name="_xlnm.Print_Area" localSheetId="31">'Receipt Copy'!$A$1:$D$30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" i="12" l="1" a="1"/>
  <c r="E1" i="12" s="1"/>
  <c r="C14" i="12" a="1"/>
  <c r="C14" i="12" s="1"/>
  <c r="C23" i="12" a="1"/>
  <c r="C23" i="12" s="1"/>
  <c r="C22" i="12" a="1"/>
  <c r="C22" i="12" s="1"/>
  <c r="C21" i="12" a="1"/>
  <c r="C21" i="12" s="1"/>
  <c r="C20" i="12" a="1"/>
  <c r="C20" i="12" s="1"/>
  <c r="C19" i="12" a="1"/>
  <c r="C19" i="12" s="1"/>
  <c r="C18" i="12" a="1"/>
  <c r="C18" i="12" s="1"/>
  <c r="C17" i="12" a="1"/>
  <c r="C17" i="12" s="1"/>
  <c r="C16" i="12" a="1"/>
  <c r="C16" i="12" s="1"/>
  <c r="C15" i="12" a="1"/>
  <c r="C15" i="12" s="1"/>
  <c r="W130" i="73" l="1"/>
  <c r="T130" i="73"/>
  <c r="Q130" i="73"/>
  <c r="P130" i="73"/>
  <c r="N130" i="73"/>
  <c r="M130" i="73"/>
  <c r="I130" i="73"/>
  <c r="F130" i="73"/>
  <c r="E130" i="73"/>
  <c r="B130" i="73"/>
  <c r="Z79" i="73"/>
  <c r="Z78" i="73"/>
  <c r="Z77" i="73"/>
  <c r="Z76" i="73"/>
  <c r="Z75" i="73"/>
  <c r="Z74" i="73"/>
  <c r="Z73" i="73"/>
  <c r="Z72" i="73"/>
  <c r="Z71" i="73"/>
  <c r="Z70" i="73"/>
  <c r="Z69" i="73"/>
  <c r="Z68" i="73"/>
  <c r="Z67" i="73"/>
  <c r="Z66" i="73"/>
  <c r="Z65" i="73"/>
  <c r="Z64" i="73"/>
  <c r="Z63" i="73"/>
  <c r="Z62" i="73"/>
  <c r="Z61" i="73"/>
  <c r="Z60" i="73"/>
  <c r="Z59" i="73"/>
  <c r="Z58" i="73"/>
  <c r="Z57" i="73"/>
  <c r="Z56" i="73"/>
  <c r="Z55" i="73"/>
  <c r="Z54" i="73"/>
  <c r="Z53" i="73"/>
  <c r="Z52" i="73"/>
  <c r="Z51" i="73"/>
  <c r="Z50" i="73"/>
  <c r="Z49" i="73"/>
  <c r="Z48" i="73"/>
  <c r="Z47" i="73"/>
  <c r="Z46" i="73"/>
  <c r="Z45" i="73"/>
  <c r="Z44" i="73"/>
  <c r="Z43" i="73"/>
  <c r="Z42" i="73"/>
  <c r="Z41" i="73"/>
  <c r="Z40" i="73"/>
  <c r="Z39" i="73"/>
  <c r="Z38" i="73"/>
  <c r="Z37" i="73"/>
  <c r="Z36" i="73"/>
  <c r="Z35" i="73"/>
  <c r="Z34" i="73"/>
  <c r="Z33" i="73"/>
  <c r="Z32" i="73"/>
  <c r="Z31" i="73"/>
  <c r="Z30" i="73"/>
  <c r="Z29" i="73"/>
  <c r="Z28" i="73"/>
  <c r="Z27" i="73"/>
  <c r="Z26" i="73"/>
  <c r="Z25" i="73"/>
  <c r="Z24" i="73"/>
  <c r="Z23" i="73"/>
  <c r="Z22" i="73"/>
  <c r="Z21" i="73"/>
  <c r="Z20" i="73"/>
  <c r="Z19" i="73"/>
  <c r="Z18" i="73"/>
  <c r="Z17" i="73"/>
  <c r="Z16" i="73"/>
  <c r="Z15" i="73"/>
  <c r="Z14" i="73"/>
  <c r="Z13" i="73"/>
  <c r="Z12" i="73"/>
  <c r="Z11" i="73"/>
  <c r="Z10" i="73"/>
  <c r="Z9" i="73"/>
  <c r="D3" i="73"/>
  <c r="W130" i="72"/>
  <c r="T130" i="72"/>
  <c r="Q130" i="72"/>
  <c r="P130" i="72"/>
  <c r="N130" i="72"/>
  <c r="M130" i="72"/>
  <c r="I130" i="72"/>
  <c r="D3" i="72" s="1"/>
  <c r="F130" i="72"/>
  <c r="E130" i="72"/>
  <c r="B130" i="72"/>
  <c r="Z79" i="72"/>
  <c r="Z78" i="72"/>
  <c r="Z77" i="72"/>
  <c r="Z76" i="72"/>
  <c r="Z75" i="72"/>
  <c r="Z74" i="72"/>
  <c r="Z73" i="72"/>
  <c r="Z72" i="72"/>
  <c r="Z71" i="72"/>
  <c r="Z70" i="72"/>
  <c r="Z69" i="72"/>
  <c r="Z68" i="72"/>
  <c r="Z67" i="72"/>
  <c r="Z66" i="72"/>
  <c r="Z65" i="72"/>
  <c r="Z64" i="72"/>
  <c r="Z63" i="72"/>
  <c r="Z62" i="72"/>
  <c r="Z61" i="72"/>
  <c r="Z60" i="72"/>
  <c r="Z59" i="72"/>
  <c r="Z58" i="72"/>
  <c r="Z57" i="72"/>
  <c r="Z56" i="72"/>
  <c r="Z55" i="72"/>
  <c r="Z54" i="72"/>
  <c r="Z53" i="72"/>
  <c r="Z52" i="72"/>
  <c r="Z51" i="72"/>
  <c r="Z50" i="72"/>
  <c r="Z49" i="72"/>
  <c r="Z48" i="72"/>
  <c r="Z47" i="72"/>
  <c r="Z46" i="72"/>
  <c r="Z45" i="72"/>
  <c r="Z44" i="72"/>
  <c r="Z43" i="72"/>
  <c r="Z42" i="72"/>
  <c r="Z41" i="72"/>
  <c r="Z40" i="72"/>
  <c r="Z39" i="72"/>
  <c r="Z38" i="72"/>
  <c r="Z37" i="72"/>
  <c r="Z36" i="72"/>
  <c r="Z35" i="72"/>
  <c r="Z34" i="72"/>
  <c r="Z33" i="72"/>
  <c r="Z32" i="72"/>
  <c r="Z31" i="72"/>
  <c r="Z30" i="72"/>
  <c r="Z29" i="72"/>
  <c r="Z28" i="72"/>
  <c r="Z27" i="72"/>
  <c r="Z26" i="72"/>
  <c r="Z25" i="72"/>
  <c r="Z24" i="72"/>
  <c r="Z23" i="72"/>
  <c r="Z22" i="72"/>
  <c r="Z21" i="72"/>
  <c r="Z20" i="72"/>
  <c r="Z19" i="72"/>
  <c r="Z18" i="72"/>
  <c r="Z17" i="72"/>
  <c r="Z16" i="72"/>
  <c r="Z15" i="72"/>
  <c r="Z14" i="72"/>
  <c r="Z13" i="72"/>
  <c r="Z12" i="72"/>
  <c r="Z11" i="72"/>
  <c r="Z10" i="72"/>
  <c r="Z9" i="72"/>
  <c r="B25" i="46" l="1"/>
  <c r="B25" i="12"/>
  <c r="W130" i="71" l="1"/>
  <c r="T130" i="71"/>
  <c r="Q130" i="71"/>
  <c r="P130" i="71"/>
  <c r="N130" i="71"/>
  <c r="M130" i="71"/>
  <c r="I130" i="71"/>
  <c r="D3" i="71" s="1"/>
  <c r="F130" i="71"/>
  <c r="E130" i="71"/>
  <c r="B130" i="71"/>
  <c r="Z79" i="71"/>
  <c r="Z78" i="71"/>
  <c r="Z77" i="71"/>
  <c r="Z76" i="71"/>
  <c r="Z75" i="71"/>
  <c r="Z74" i="71"/>
  <c r="Z73" i="71"/>
  <c r="Z72" i="71"/>
  <c r="Z71" i="71"/>
  <c r="Z70" i="71"/>
  <c r="Z69" i="71"/>
  <c r="Z68" i="71"/>
  <c r="Z67" i="71"/>
  <c r="Z66" i="71"/>
  <c r="Z65" i="71"/>
  <c r="Z64" i="71"/>
  <c r="Z63" i="71"/>
  <c r="Z62" i="71"/>
  <c r="Z61" i="71"/>
  <c r="Z60" i="71"/>
  <c r="Z59" i="71"/>
  <c r="Z58" i="71"/>
  <c r="Z57" i="71"/>
  <c r="Z56" i="71"/>
  <c r="Z55" i="71"/>
  <c r="Z54" i="71"/>
  <c r="Z53" i="71"/>
  <c r="Z52" i="71"/>
  <c r="Z51" i="71"/>
  <c r="Z50" i="71"/>
  <c r="Z49" i="71"/>
  <c r="Z48" i="71"/>
  <c r="Z47" i="71"/>
  <c r="Z46" i="71"/>
  <c r="Z45" i="71"/>
  <c r="Z44" i="71"/>
  <c r="Z43" i="71"/>
  <c r="Z42" i="71"/>
  <c r="Z41" i="71"/>
  <c r="Z40" i="71"/>
  <c r="Z39" i="71"/>
  <c r="Z38" i="71"/>
  <c r="Z37" i="71"/>
  <c r="Z36" i="71"/>
  <c r="Z35" i="71"/>
  <c r="Z34" i="71"/>
  <c r="Z33" i="71"/>
  <c r="Z32" i="71"/>
  <c r="Z31" i="71"/>
  <c r="Z30" i="71"/>
  <c r="Z29" i="71"/>
  <c r="Z28" i="71"/>
  <c r="Z27" i="71"/>
  <c r="Z26" i="71"/>
  <c r="Z25" i="71"/>
  <c r="Z24" i="71"/>
  <c r="Z23" i="71"/>
  <c r="Z22" i="71"/>
  <c r="Z21" i="71"/>
  <c r="Z20" i="71"/>
  <c r="Z19" i="71"/>
  <c r="Z18" i="71"/>
  <c r="Z17" i="71"/>
  <c r="Z16" i="71"/>
  <c r="Z15" i="71"/>
  <c r="Z14" i="71"/>
  <c r="Z13" i="71"/>
  <c r="Z12" i="71"/>
  <c r="Z11" i="71"/>
  <c r="Z10" i="71"/>
  <c r="Z9" i="71"/>
  <c r="W130" i="70"/>
  <c r="T130" i="70"/>
  <c r="Q130" i="70"/>
  <c r="P130" i="70"/>
  <c r="N130" i="70"/>
  <c r="M130" i="70"/>
  <c r="I130" i="70"/>
  <c r="F130" i="70"/>
  <c r="E130" i="70"/>
  <c r="B130" i="70"/>
  <c r="Z79" i="70"/>
  <c r="Z78" i="70"/>
  <c r="Z77" i="70"/>
  <c r="Z76" i="70"/>
  <c r="Z75" i="70"/>
  <c r="Z74" i="70"/>
  <c r="Z73" i="70"/>
  <c r="Z72" i="70"/>
  <c r="Z71" i="70"/>
  <c r="Z70" i="70"/>
  <c r="Z69" i="70"/>
  <c r="Z68" i="70"/>
  <c r="Z67" i="70"/>
  <c r="Z66" i="70"/>
  <c r="Z65" i="70"/>
  <c r="Z64" i="70"/>
  <c r="Z63" i="70"/>
  <c r="Z62" i="70"/>
  <c r="Z61" i="70"/>
  <c r="Z60" i="70"/>
  <c r="Z59" i="70"/>
  <c r="Z58" i="70"/>
  <c r="Z57" i="70"/>
  <c r="Z56" i="70"/>
  <c r="Z55" i="70"/>
  <c r="Z54" i="70"/>
  <c r="Z53" i="70"/>
  <c r="Z52" i="70"/>
  <c r="Z51" i="70"/>
  <c r="Z50" i="70"/>
  <c r="Z49" i="70"/>
  <c r="Z48" i="70"/>
  <c r="Z47" i="70"/>
  <c r="Z46" i="70"/>
  <c r="Z45" i="70"/>
  <c r="Z44" i="70"/>
  <c r="Z43" i="70"/>
  <c r="Z42" i="70"/>
  <c r="Z41" i="70"/>
  <c r="Z40" i="70"/>
  <c r="Z39" i="70"/>
  <c r="Z38" i="70"/>
  <c r="Z37" i="70"/>
  <c r="Z36" i="70"/>
  <c r="Z35" i="70"/>
  <c r="Z34" i="70"/>
  <c r="Z33" i="70"/>
  <c r="Z32" i="70"/>
  <c r="Z31" i="70"/>
  <c r="Z30" i="70"/>
  <c r="Z29" i="70"/>
  <c r="Z28" i="70"/>
  <c r="Z27" i="70"/>
  <c r="Z26" i="70"/>
  <c r="Z25" i="70"/>
  <c r="Z24" i="70"/>
  <c r="Z23" i="70"/>
  <c r="Z22" i="70"/>
  <c r="Z21" i="70"/>
  <c r="Z20" i="70"/>
  <c r="Z19" i="70"/>
  <c r="Z18" i="70"/>
  <c r="Z17" i="70"/>
  <c r="Z16" i="70"/>
  <c r="Z15" i="70"/>
  <c r="Z14" i="70"/>
  <c r="Z13" i="70"/>
  <c r="Z12" i="70"/>
  <c r="Z11" i="70"/>
  <c r="Z10" i="70"/>
  <c r="Z9" i="70"/>
  <c r="W130" i="69"/>
  <c r="T130" i="69"/>
  <c r="Q130" i="69"/>
  <c r="P130" i="69"/>
  <c r="N130" i="69"/>
  <c r="M130" i="69"/>
  <c r="I130" i="69"/>
  <c r="F130" i="69"/>
  <c r="E130" i="69"/>
  <c r="B130" i="69"/>
  <c r="Z79" i="69"/>
  <c r="Z78" i="69"/>
  <c r="Z77" i="69"/>
  <c r="Z76" i="69"/>
  <c r="Z75" i="69"/>
  <c r="Z74" i="69"/>
  <c r="Z73" i="69"/>
  <c r="Z72" i="69"/>
  <c r="Z71" i="69"/>
  <c r="Z70" i="69"/>
  <c r="Z69" i="69"/>
  <c r="Z68" i="69"/>
  <c r="Z67" i="69"/>
  <c r="Z66" i="69"/>
  <c r="Z65" i="69"/>
  <c r="Z64" i="69"/>
  <c r="Z63" i="69"/>
  <c r="Z62" i="69"/>
  <c r="Z61" i="69"/>
  <c r="Z60" i="69"/>
  <c r="Z59" i="69"/>
  <c r="Z58" i="69"/>
  <c r="Z57" i="69"/>
  <c r="Z56" i="69"/>
  <c r="Z55" i="69"/>
  <c r="Z54" i="69"/>
  <c r="Z53" i="69"/>
  <c r="Z52" i="69"/>
  <c r="Z51" i="69"/>
  <c r="Z50" i="69"/>
  <c r="Z49" i="69"/>
  <c r="Z48" i="69"/>
  <c r="Z47" i="69"/>
  <c r="Z46" i="69"/>
  <c r="Z45" i="69"/>
  <c r="Z44" i="69"/>
  <c r="Z43" i="69"/>
  <c r="Z42" i="69"/>
  <c r="Z41" i="69"/>
  <c r="Z40" i="69"/>
  <c r="Z39" i="69"/>
  <c r="Z38" i="69"/>
  <c r="Z37" i="69"/>
  <c r="Z36" i="69"/>
  <c r="Z35" i="69"/>
  <c r="Z34" i="69"/>
  <c r="Z33" i="69"/>
  <c r="Z32" i="69"/>
  <c r="Z31" i="69"/>
  <c r="Z30" i="69"/>
  <c r="Z29" i="69"/>
  <c r="Z28" i="69"/>
  <c r="Z27" i="69"/>
  <c r="Z26" i="69"/>
  <c r="Z25" i="69"/>
  <c r="Z24" i="69"/>
  <c r="Z23" i="69"/>
  <c r="Z22" i="69"/>
  <c r="Z21" i="69"/>
  <c r="Z20" i="69"/>
  <c r="Z19" i="69"/>
  <c r="Z18" i="69"/>
  <c r="Z17" i="69"/>
  <c r="Z16" i="69"/>
  <c r="Z15" i="69"/>
  <c r="Z14" i="69"/>
  <c r="Z13" i="69"/>
  <c r="Z12" i="69"/>
  <c r="Z11" i="69"/>
  <c r="Z10" i="69"/>
  <c r="Z9" i="69"/>
  <c r="W130" i="68"/>
  <c r="T130" i="68"/>
  <c r="Q130" i="68"/>
  <c r="P130" i="68"/>
  <c r="N130" i="68"/>
  <c r="M130" i="68"/>
  <c r="I130" i="68"/>
  <c r="F130" i="68"/>
  <c r="E130" i="68"/>
  <c r="B130" i="68"/>
  <c r="Z79" i="68"/>
  <c r="Z78" i="68"/>
  <c r="Z77" i="68"/>
  <c r="Z76" i="68"/>
  <c r="Z75" i="68"/>
  <c r="Z74" i="68"/>
  <c r="Z73" i="68"/>
  <c r="Z72" i="68"/>
  <c r="Z71" i="68"/>
  <c r="Z70" i="68"/>
  <c r="Z69" i="68"/>
  <c r="Z68" i="68"/>
  <c r="Z67" i="68"/>
  <c r="Z66" i="68"/>
  <c r="Z65" i="68"/>
  <c r="Z64" i="68"/>
  <c r="Z63" i="68"/>
  <c r="Z62" i="68"/>
  <c r="Z61" i="68"/>
  <c r="Z60" i="68"/>
  <c r="Z59" i="68"/>
  <c r="Z58" i="68"/>
  <c r="Z57" i="68"/>
  <c r="Z56" i="68"/>
  <c r="Z55" i="68"/>
  <c r="Z54" i="68"/>
  <c r="Z53" i="68"/>
  <c r="Z52" i="68"/>
  <c r="Z51" i="68"/>
  <c r="Z50" i="68"/>
  <c r="Z49" i="68"/>
  <c r="Z48" i="68"/>
  <c r="Z47" i="68"/>
  <c r="Z46" i="68"/>
  <c r="Z45" i="68"/>
  <c r="Z44" i="68"/>
  <c r="Z43" i="68"/>
  <c r="Z42" i="68"/>
  <c r="Z41" i="68"/>
  <c r="Z40" i="68"/>
  <c r="Z39" i="68"/>
  <c r="Z38" i="68"/>
  <c r="Z37" i="68"/>
  <c r="Z36" i="68"/>
  <c r="Z35" i="68"/>
  <c r="Z34" i="68"/>
  <c r="Z33" i="68"/>
  <c r="Z32" i="68"/>
  <c r="Z31" i="68"/>
  <c r="Z30" i="68"/>
  <c r="Z29" i="68"/>
  <c r="Z28" i="68"/>
  <c r="Z27" i="68"/>
  <c r="Z26" i="68"/>
  <c r="Z25" i="68"/>
  <c r="Z24" i="68"/>
  <c r="Z23" i="68"/>
  <c r="Z22" i="68"/>
  <c r="Z21" i="68"/>
  <c r="Z20" i="68"/>
  <c r="Z19" i="68"/>
  <c r="Z18" i="68"/>
  <c r="Z17" i="68"/>
  <c r="Z16" i="68"/>
  <c r="Z15" i="68"/>
  <c r="Z14" i="68"/>
  <c r="Z13" i="68"/>
  <c r="Z12" i="68"/>
  <c r="Z11" i="68"/>
  <c r="Z10" i="68"/>
  <c r="Z9" i="68"/>
  <c r="W130" i="67"/>
  <c r="T130" i="67"/>
  <c r="Q130" i="67"/>
  <c r="P130" i="67"/>
  <c r="N130" i="67"/>
  <c r="M130" i="67"/>
  <c r="I130" i="67"/>
  <c r="F130" i="67"/>
  <c r="E130" i="67"/>
  <c r="B130" i="67"/>
  <c r="Z79" i="67"/>
  <c r="Z78" i="67"/>
  <c r="Z77" i="67"/>
  <c r="Z76" i="67"/>
  <c r="Z75" i="67"/>
  <c r="Z74" i="67"/>
  <c r="Z73" i="67"/>
  <c r="Z72" i="67"/>
  <c r="Z71" i="67"/>
  <c r="Z70" i="67"/>
  <c r="Z69" i="67"/>
  <c r="Z68" i="67"/>
  <c r="Z67" i="67"/>
  <c r="Z66" i="67"/>
  <c r="Z65" i="67"/>
  <c r="Z64" i="67"/>
  <c r="Z63" i="67"/>
  <c r="Z62" i="67"/>
  <c r="Z61" i="67"/>
  <c r="Z60" i="67"/>
  <c r="Z59" i="67"/>
  <c r="Z58" i="67"/>
  <c r="Z57" i="67"/>
  <c r="Z56" i="67"/>
  <c r="Z55" i="67"/>
  <c r="Z54" i="67"/>
  <c r="Z53" i="67"/>
  <c r="Z52" i="67"/>
  <c r="Z51" i="67"/>
  <c r="Z50" i="67"/>
  <c r="Z49" i="67"/>
  <c r="Z48" i="67"/>
  <c r="Z47" i="67"/>
  <c r="Z46" i="67"/>
  <c r="Z45" i="67"/>
  <c r="Z44" i="67"/>
  <c r="Z43" i="67"/>
  <c r="Z42" i="67"/>
  <c r="Z41" i="67"/>
  <c r="Z40" i="67"/>
  <c r="Z39" i="67"/>
  <c r="Z38" i="67"/>
  <c r="Z37" i="67"/>
  <c r="Z36" i="67"/>
  <c r="Z35" i="67"/>
  <c r="Z34" i="67"/>
  <c r="Z33" i="67"/>
  <c r="Z32" i="67"/>
  <c r="Z31" i="67"/>
  <c r="Z30" i="67"/>
  <c r="Z29" i="67"/>
  <c r="Z28" i="67"/>
  <c r="Z27" i="67"/>
  <c r="Z26" i="67"/>
  <c r="Z25" i="67"/>
  <c r="Z24" i="67"/>
  <c r="Z23" i="67"/>
  <c r="Z22" i="67"/>
  <c r="Z21" i="67"/>
  <c r="Z20" i="67"/>
  <c r="Z19" i="67"/>
  <c r="Z18" i="67"/>
  <c r="Z17" i="67"/>
  <c r="Z16" i="67"/>
  <c r="Z15" i="67"/>
  <c r="Z14" i="67"/>
  <c r="Z13" i="67"/>
  <c r="Z12" i="67"/>
  <c r="Z11" i="67"/>
  <c r="Z10" i="67"/>
  <c r="Z9" i="67"/>
  <c r="W130" i="66"/>
  <c r="T130" i="66"/>
  <c r="Q130" i="66"/>
  <c r="P130" i="66"/>
  <c r="N130" i="66"/>
  <c r="M130" i="66"/>
  <c r="I130" i="66"/>
  <c r="F130" i="66"/>
  <c r="E130" i="66"/>
  <c r="B130" i="66"/>
  <c r="Z79" i="66"/>
  <c r="Z78" i="66"/>
  <c r="Z77" i="66"/>
  <c r="Z76" i="66"/>
  <c r="Z75" i="66"/>
  <c r="Z74" i="66"/>
  <c r="Z73" i="66"/>
  <c r="Z72" i="66"/>
  <c r="Z71" i="66"/>
  <c r="Z70" i="66"/>
  <c r="Z69" i="66"/>
  <c r="Z68" i="66"/>
  <c r="Z67" i="66"/>
  <c r="Z66" i="66"/>
  <c r="Z65" i="66"/>
  <c r="Z64" i="66"/>
  <c r="Z63" i="66"/>
  <c r="Z62" i="66"/>
  <c r="Z61" i="66"/>
  <c r="Z60" i="66"/>
  <c r="Z59" i="66"/>
  <c r="Z58" i="66"/>
  <c r="Z57" i="66"/>
  <c r="Z56" i="66"/>
  <c r="Z55" i="66"/>
  <c r="Z54" i="66"/>
  <c r="Z53" i="66"/>
  <c r="Z52" i="66"/>
  <c r="Z51" i="66"/>
  <c r="Z50" i="66"/>
  <c r="Z49" i="66"/>
  <c r="Z48" i="66"/>
  <c r="Z47" i="66"/>
  <c r="Z46" i="66"/>
  <c r="Z45" i="66"/>
  <c r="Z44" i="66"/>
  <c r="Z43" i="66"/>
  <c r="Z42" i="66"/>
  <c r="Z41" i="66"/>
  <c r="Z40" i="66"/>
  <c r="Z39" i="66"/>
  <c r="Z38" i="66"/>
  <c r="Z37" i="66"/>
  <c r="Z36" i="66"/>
  <c r="Z35" i="66"/>
  <c r="Z34" i="66"/>
  <c r="Z33" i="66"/>
  <c r="Z32" i="66"/>
  <c r="Z31" i="66"/>
  <c r="Z30" i="66"/>
  <c r="Z29" i="66"/>
  <c r="Z28" i="66"/>
  <c r="Z27" i="66"/>
  <c r="Z26" i="66"/>
  <c r="Z25" i="66"/>
  <c r="Z24" i="66"/>
  <c r="Z23" i="66"/>
  <c r="Z22" i="66"/>
  <c r="Z21" i="66"/>
  <c r="Z20" i="66"/>
  <c r="Z19" i="66"/>
  <c r="Z18" i="66"/>
  <c r="Z17" i="66"/>
  <c r="Z16" i="66"/>
  <c r="Z15" i="66"/>
  <c r="Z14" i="66"/>
  <c r="Z13" i="66"/>
  <c r="Z12" i="66"/>
  <c r="Z11" i="66"/>
  <c r="Z10" i="66"/>
  <c r="Z9" i="66"/>
  <c r="W130" i="65"/>
  <c r="T130" i="65"/>
  <c r="Q130" i="65"/>
  <c r="P130" i="65"/>
  <c r="N130" i="65"/>
  <c r="M130" i="65"/>
  <c r="I130" i="65"/>
  <c r="F130" i="65"/>
  <c r="E130" i="65"/>
  <c r="B130" i="65"/>
  <c r="Z79" i="65"/>
  <c r="Z78" i="65"/>
  <c r="Z77" i="65"/>
  <c r="Z76" i="65"/>
  <c r="Z75" i="65"/>
  <c r="Z74" i="65"/>
  <c r="Z73" i="65"/>
  <c r="Z72" i="65"/>
  <c r="Z71" i="65"/>
  <c r="Z70" i="65"/>
  <c r="Z69" i="65"/>
  <c r="Z68" i="65"/>
  <c r="Z67" i="65"/>
  <c r="Z66" i="65"/>
  <c r="Z65" i="65"/>
  <c r="Z64" i="65"/>
  <c r="Z63" i="65"/>
  <c r="Z62" i="65"/>
  <c r="Z61" i="65"/>
  <c r="Z60" i="65"/>
  <c r="Z59" i="65"/>
  <c r="Z58" i="65"/>
  <c r="Z57" i="65"/>
  <c r="Z56" i="65"/>
  <c r="Z55" i="65"/>
  <c r="Z54" i="65"/>
  <c r="Z53" i="65"/>
  <c r="Z52" i="65"/>
  <c r="Z51" i="65"/>
  <c r="Z50" i="65"/>
  <c r="Z49" i="65"/>
  <c r="Z48" i="65"/>
  <c r="Z47" i="65"/>
  <c r="Z46" i="65"/>
  <c r="Z45" i="65"/>
  <c r="Z44" i="65"/>
  <c r="Z43" i="65"/>
  <c r="Z42" i="65"/>
  <c r="Z41" i="65"/>
  <c r="Z40" i="65"/>
  <c r="Z39" i="65"/>
  <c r="Z38" i="65"/>
  <c r="Z37" i="65"/>
  <c r="Z36" i="65"/>
  <c r="Z35" i="65"/>
  <c r="Z34" i="65"/>
  <c r="Z33" i="65"/>
  <c r="Z32" i="65"/>
  <c r="Z31" i="65"/>
  <c r="Z30" i="65"/>
  <c r="Z29" i="65"/>
  <c r="Z28" i="65"/>
  <c r="Z27" i="65"/>
  <c r="Z26" i="65"/>
  <c r="Z25" i="65"/>
  <c r="Z24" i="65"/>
  <c r="Z23" i="65"/>
  <c r="Z22" i="65"/>
  <c r="Z21" i="65"/>
  <c r="Z20" i="65"/>
  <c r="Z19" i="65"/>
  <c r="Z18" i="65"/>
  <c r="Z17" i="65"/>
  <c r="Z16" i="65"/>
  <c r="Z15" i="65"/>
  <c r="Z14" i="65"/>
  <c r="Z13" i="65"/>
  <c r="Z12" i="65"/>
  <c r="Z11" i="65"/>
  <c r="Z10" i="65"/>
  <c r="Z9" i="65"/>
  <c r="W130" i="64"/>
  <c r="T130" i="64"/>
  <c r="Q130" i="64"/>
  <c r="P130" i="64"/>
  <c r="N130" i="64"/>
  <c r="M130" i="64"/>
  <c r="I130" i="64"/>
  <c r="F130" i="64"/>
  <c r="E130" i="64"/>
  <c r="B130" i="64"/>
  <c r="Z79" i="64"/>
  <c r="Z78" i="64"/>
  <c r="Z77" i="64"/>
  <c r="Z76" i="64"/>
  <c r="Z75" i="64"/>
  <c r="Z74" i="64"/>
  <c r="Z73" i="64"/>
  <c r="Z72" i="64"/>
  <c r="Z71" i="64"/>
  <c r="Z70" i="64"/>
  <c r="Z69" i="64"/>
  <c r="Z68" i="64"/>
  <c r="Z67" i="64"/>
  <c r="Z66" i="64"/>
  <c r="Z65" i="64"/>
  <c r="Z64" i="64"/>
  <c r="Z63" i="64"/>
  <c r="Z62" i="64"/>
  <c r="Z61" i="64"/>
  <c r="Z60" i="64"/>
  <c r="Z59" i="64"/>
  <c r="Z58" i="64"/>
  <c r="Z57" i="64"/>
  <c r="Z56" i="64"/>
  <c r="Z55" i="64"/>
  <c r="Z54" i="64"/>
  <c r="Z53" i="64"/>
  <c r="Z52" i="64"/>
  <c r="Z51" i="64"/>
  <c r="Z50" i="64"/>
  <c r="Z49" i="64"/>
  <c r="Z48" i="64"/>
  <c r="Z47" i="64"/>
  <c r="Z46" i="64"/>
  <c r="Z45" i="64"/>
  <c r="Z44" i="64"/>
  <c r="Z43" i="64"/>
  <c r="Z42" i="64"/>
  <c r="Z41" i="64"/>
  <c r="Z40" i="64"/>
  <c r="Z39" i="64"/>
  <c r="Z38" i="64"/>
  <c r="Z37" i="64"/>
  <c r="Z36" i="64"/>
  <c r="Z35" i="64"/>
  <c r="Z34" i="64"/>
  <c r="Z33" i="64"/>
  <c r="Z32" i="64"/>
  <c r="Z31" i="64"/>
  <c r="Z30" i="64"/>
  <c r="Z29" i="64"/>
  <c r="Z28" i="64"/>
  <c r="Z27" i="64"/>
  <c r="Z26" i="64"/>
  <c r="Z25" i="64"/>
  <c r="Z24" i="64"/>
  <c r="Z23" i="64"/>
  <c r="Z22" i="64"/>
  <c r="Z21" i="64"/>
  <c r="Z20" i="64"/>
  <c r="Z19" i="64"/>
  <c r="Z18" i="64"/>
  <c r="Z17" i="64"/>
  <c r="Z16" i="64"/>
  <c r="Z15" i="64"/>
  <c r="Z14" i="64"/>
  <c r="Z13" i="64"/>
  <c r="Z12" i="64"/>
  <c r="Z11" i="64"/>
  <c r="Z10" i="64"/>
  <c r="Z9" i="64"/>
  <c r="W130" i="63"/>
  <c r="T130" i="63"/>
  <c r="Q130" i="63"/>
  <c r="P130" i="63"/>
  <c r="N130" i="63"/>
  <c r="M130" i="63"/>
  <c r="I130" i="63"/>
  <c r="F130" i="63"/>
  <c r="E130" i="63"/>
  <c r="B130" i="63"/>
  <c r="Z79" i="63"/>
  <c r="Z78" i="63"/>
  <c r="Z77" i="63"/>
  <c r="Z76" i="63"/>
  <c r="Z75" i="63"/>
  <c r="Z74" i="63"/>
  <c r="Z73" i="63"/>
  <c r="Z72" i="63"/>
  <c r="Z71" i="63"/>
  <c r="Z70" i="63"/>
  <c r="Z69" i="63"/>
  <c r="Z68" i="63"/>
  <c r="Z67" i="63"/>
  <c r="Z66" i="63"/>
  <c r="Z65" i="63"/>
  <c r="Z64" i="63"/>
  <c r="Z63" i="63"/>
  <c r="Z62" i="63"/>
  <c r="Z61" i="63"/>
  <c r="Z60" i="63"/>
  <c r="Z59" i="63"/>
  <c r="Z58" i="63"/>
  <c r="Z57" i="63"/>
  <c r="Z56" i="63"/>
  <c r="Z55" i="63"/>
  <c r="Z54" i="63"/>
  <c r="Z53" i="63"/>
  <c r="Z52" i="63"/>
  <c r="Z51" i="63"/>
  <c r="Z50" i="63"/>
  <c r="Z49" i="63"/>
  <c r="Z48" i="63"/>
  <c r="Z47" i="63"/>
  <c r="Z46" i="63"/>
  <c r="Z45" i="63"/>
  <c r="Z44" i="63"/>
  <c r="Z43" i="63"/>
  <c r="Z42" i="63"/>
  <c r="Z41" i="63"/>
  <c r="Z40" i="63"/>
  <c r="Z39" i="63"/>
  <c r="Z38" i="63"/>
  <c r="Z37" i="63"/>
  <c r="Z36" i="63"/>
  <c r="Z35" i="63"/>
  <c r="Z34" i="63"/>
  <c r="Z33" i="63"/>
  <c r="Z32" i="63"/>
  <c r="Z31" i="63"/>
  <c r="Z30" i="63"/>
  <c r="Z29" i="63"/>
  <c r="Z28" i="63"/>
  <c r="Z27" i="63"/>
  <c r="Z26" i="63"/>
  <c r="Z25" i="63"/>
  <c r="Z24" i="63"/>
  <c r="Z23" i="63"/>
  <c r="Z22" i="63"/>
  <c r="Z21" i="63"/>
  <c r="Z20" i="63"/>
  <c r="Z19" i="63"/>
  <c r="Z18" i="63"/>
  <c r="Z17" i="63"/>
  <c r="Z16" i="63"/>
  <c r="Z15" i="63"/>
  <c r="Z14" i="63"/>
  <c r="Z13" i="63"/>
  <c r="Z12" i="63"/>
  <c r="Z11" i="63"/>
  <c r="Z10" i="63"/>
  <c r="Z9" i="63"/>
  <c r="W130" i="62"/>
  <c r="T130" i="62"/>
  <c r="Q130" i="62"/>
  <c r="P130" i="62"/>
  <c r="N130" i="62"/>
  <c r="M130" i="62"/>
  <c r="I130" i="62"/>
  <c r="F130" i="62"/>
  <c r="E130" i="62"/>
  <c r="B130" i="62"/>
  <c r="Z79" i="62"/>
  <c r="Z78" i="62"/>
  <c r="Z77" i="62"/>
  <c r="Z76" i="62"/>
  <c r="Z75" i="62"/>
  <c r="Z74" i="62"/>
  <c r="Z73" i="62"/>
  <c r="Z72" i="62"/>
  <c r="Z71" i="62"/>
  <c r="Z70" i="62"/>
  <c r="Z69" i="62"/>
  <c r="Z68" i="62"/>
  <c r="Z67" i="62"/>
  <c r="Z66" i="62"/>
  <c r="Z65" i="62"/>
  <c r="Z64" i="62"/>
  <c r="Z63" i="62"/>
  <c r="Z62" i="62"/>
  <c r="Z61" i="62"/>
  <c r="Z60" i="62"/>
  <c r="Z59" i="62"/>
  <c r="Z58" i="62"/>
  <c r="Z57" i="62"/>
  <c r="Z56" i="62"/>
  <c r="Z55" i="62"/>
  <c r="Z54" i="62"/>
  <c r="Z53" i="62"/>
  <c r="Z52" i="62"/>
  <c r="Z51" i="62"/>
  <c r="Z50" i="62"/>
  <c r="Z49" i="62"/>
  <c r="Z48" i="62"/>
  <c r="Z47" i="62"/>
  <c r="Z46" i="62"/>
  <c r="Z45" i="62"/>
  <c r="Z44" i="62"/>
  <c r="Z43" i="62"/>
  <c r="Z42" i="62"/>
  <c r="Z41" i="62"/>
  <c r="Z40" i="62"/>
  <c r="Z39" i="62"/>
  <c r="Z38" i="62"/>
  <c r="Z37" i="62"/>
  <c r="Z36" i="62"/>
  <c r="Z35" i="62"/>
  <c r="Z34" i="62"/>
  <c r="Z33" i="62"/>
  <c r="Z32" i="62"/>
  <c r="Z31" i="62"/>
  <c r="Z30" i="62"/>
  <c r="Z29" i="62"/>
  <c r="Z28" i="62"/>
  <c r="Z27" i="62"/>
  <c r="Z26" i="62"/>
  <c r="Z25" i="62"/>
  <c r="Z24" i="62"/>
  <c r="Z23" i="62"/>
  <c r="Z22" i="62"/>
  <c r="Z21" i="62"/>
  <c r="Z20" i="62"/>
  <c r="Z19" i="62"/>
  <c r="Z18" i="62"/>
  <c r="Z17" i="62"/>
  <c r="Z16" i="62"/>
  <c r="Z15" i="62"/>
  <c r="Z14" i="62"/>
  <c r="Z13" i="62"/>
  <c r="Z12" i="62"/>
  <c r="Z11" i="62"/>
  <c r="Z10" i="62"/>
  <c r="Z9" i="62"/>
  <c r="W130" i="61"/>
  <c r="T130" i="61"/>
  <c r="Q130" i="61"/>
  <c r="P130" i="61"/>
  <c r="N130" i="61"/>
  <c r="M130" i="61"/>
  <c r="I130" i="61"/>
  <c r="F130" i="61"/>
  <c r="E130" i="61"/>
  <c r="B130" i="61"/>
  <c r="Z79" i="61"/>
  <c r="Z78" i="61"/>
  <c r="Z77" i="61"/>
  <c r="Z76" i="61"/>
  <c r="Z75" i="61"/>
  <c r="Z74" i="61"/>
  <c r="Z73" i="61"/>
  <c r="Z72" i="61"/>
  <c r="Z71" i="61"/>
  <c r="Z70" i="61"/>
  <c r="Z69" i="61"/>
  <c r="Z68" i="61"/>
  <c r="Z67" i="61"/>
  <c r="Z66" i="61"/>
  <c r="Z65" i="61"/>
  <c r="Z64" i="61"/>
  <c r="Z63" i="61"/>
  <c r="Z62" i="61"/>
  <c r="Z61" i="61"/>
  <c r="Z60" i="61"/>
  <c r="Z59" i="61"/>
  <c r="Z58" i="61"/>
  <c r="Z57" i="61"/>
  <c r="Z56" i="61"/>
  <c r="Z55" i="61"/>
  <c r="Z54" i="61"/>
  <c r="Z53" i="61"/>
  <c r="Z52" i="61"/>
  <c r="Z51" i="61"/>
  <c r="Z50" i="61"/>
  <c r="Z49" i="61"/>
  <c r="Z48" i="61"/>
  <c r="Z47" i="61"/>
  <c r="Z46" i="61"/>
  <c r="Z45" i="61"/>
  <c r="Z44" i="61"/>
  <c r="Z43" i="61"/>
  <c r="Z42" i="61"/>
  <c r="Z41" i="61"/>
  <c r="Z40" i="61"/>
  <c r="Z39" i="61"/>
  <c r="Z38" i="61"/>
  <c r="Z37" i="61"/>
  <c r="Z36" i="61"/>
  <c r="Z35" i="61"/>
  <c r="Z34" i="61"/>
  <c r="Z33" i="61"/>
  <c r="Z32" i="61"/>
  <c r="Z31" i="61"/>
  <c r="Z30" i="61"/>
  <c r="Z29" i="61"/>
  <c r="Z28" i="61"/>
  <c r="Z27" i="61"/>
  <c r="Z26" i="61"/>
  <c r="Z25" i="61"/>
  <c r="Z24" i="61"/>
  <c r="Z23" i="61"/>
  <c r="Z22" i="61"/>
  <c r="Z21" i="61"/>
  <c r="Z20" i="61"/>
  <c r="Z19" i="61"/>
  <c r="Z18" i="61"/>
  <c r="Z17" i="61"/>
  <c r="Z16" i="61"/>
  <c r="Z15" i="61"/>
  <c r="Z14" i="61"/>
  <c r="Z13" i="61"/>
  <c r="Z12" i="61"/>
  <c r="Z11" i="61"/>
  <c r="Z10" i="61"/>
  <c r="Z9" i="61"/>
  <c r="W130" i="60"/>
  <c r="T130" i="60"/>
  <c r="Q130" i="60"/>
  <c r="P130" i="60"/>
  <c r="N130" i="60"/>
  <c r="M130" i="60"/>
  <c r="I130" i="60"/>
  <c r="F130" i="60"/>
  <c r="E130" i="60"/>
  <c r="B130" i="60"/>
  <c r="Z79" i="60"/>
  <c r="Z78" i="60"/>
  <c r="Z77" i="60"/>
  <c r="Z76" i="60"/>
  <c r="Z75" i="60"/>
  <c r="Z74" i="60"/>
  <c r="Z73" i="60"/>
  <c r="Z72" i="60"/>
  <c r="Z71" i="60"/>
  <c r="Z70" i="60"/>
  <c r="Z69" i="60"/>
  <c r="Z68" i="60"/>
  <c r="Z67" i="60"/>
  <c r="Z66" i="60"/>
  <c r="Z65" i="60"/>
  <c r="Z64" i="60"/>
  <c r="Z63" i="60"/>
  <c r="Z62" i="60"/>
  <c r="Z61" i="60"/>
  <c r="Z60" i="60"/>
  <c r="Z59" i="60"/>
  <c r="Z58" i="60"/>
  <c r="Z57" i="60"/>
  <c r="Z56" i="60"/>
  <c r="Z55" i="60"/>
  <c r="Z54" i="60"/>
  <c r="Z53" i="60"/>
  <c r="Z52" i="60"/>
  <c r="Z51" i="60"/>
  <c r="Z50" i="60"/>
  <c r="Z49" i="60"/>
  <c r="Z48" i="60"/>
  <c r="Z47" i="60"/>
  <c r="Z46" i="60"/>
  <c r="Z45" i="60"/>
  <c r="Z44" i="60"/>
  <c r="Z43" i="60"/>
  <c r="Z42" i="60"/>
  <c r="Z41" i="60"/>
  <c r="Z40" i="60"/>
  <c r="Z39" i="60"/>
  <c r="Z38" i="60"/>
  <c r="Z37" i="60"/>
  <c r="Z36" i="60"/>
  <c r="Z35" i="60"/>
  <c r="Z34" i="60"/>
  <c r="Z33" i="60"/>
  <c r="Z32" i="60"/>
  <c r="Z31" i="60"/>
  <c r="Z30" i="60"/>
  <c r="Z29" i="60"/>
  <c r="Z28" i="60"/>
  <c r="Z27" i="60"/>
  <c r="Z26" i="60"/>
  <c r="Z25" i="60"/>
  <c r="Z24" i="60"/>
  <c r="Z23" i="60"/>
  <c r="Z22" i="60"/>
  <c r="Z21" i="60"/>
  <c r="Z20" i="60"/>
  <c r="Z19" i="60"/>
  <c r="Z18" i="60"/>
  <c r="Z17" i="60"/>
  <c r="Z16" i="60"/>
  <c r="Z15" i="60"/>
  <c r="Z14" i="60"/>
  <c r="Z13" i="60"/>
  <c r="Z12" i="60"/>
  <c r="Z11" i="60"/>
  <c r="Z10" i="60"/>
  <c r="Z9" i="60"/>
  <c r="W130" i="59"/>
  <c r="T130" i="59"/>
  <c r="Q130" i="59"/>
  <c r="P130" i="59"/>
  <c r="N130" i="59"/>
  <c r="M130" i="59"/>
  <c r="I130" i="59"/>
  <c r="F130" i="59"/>
  <c r="E130" i="59"/>
  <c r="B130" i="59"/>
  <c r="Z79" i="59"/>
  <c r="Z78" i="59"/>
  <c r="Z77" i="59"/>
  <c r="Z76" i="59"/>
  <c r="Z75" i="59"/>
  <c r="Z74" i="59"/>
  <c r="Z73" i="59"/>
  <c r="Z72" i="59"/>
  <c r="Z71" i="59"/>
  <c r="Z70" i="59"/>
  <c r="Z69" i="59"/>
  <c r="Z68" i="59"/>
  <c r="Z67" i="59"/>
  <c r="Z66" i="59"/>
  <c r="Z65" i="59"/>
  <c r="Z64" i="59"/>
  <c r="Z63" i="59"/>
  <c r="Z62" i="59"/>
  <c r="Z61" i="59"/>
  <c r="Z60" i="59"/>
  <c r="Z59" i="59"/>
  <c r="Z58" i="59"/>
  <c r="Z57" i="59"/>
  <c r="Z56" i="59"/>
  <c r="Z55" i="59"/>
  <c r="Z54" i="59"/>
  <c r="Z53" i="59"/>
  <c r="Z52" i="59"/>
  <c r="Z51" i="59"/>
  <c r="Z50" i="59"/>
  <c r="Z49" i="59"/>
  <c r="Z48" i="59"/>
  <c r="Z47" i="59"/>
  <c r="Z46" i="59"/>
  <c r="Z45" i="59"/>
  <c r="Z44" i="59"/>
  <c r="Z43" i="59"/>
  <c r="Z42" i="59"/>
  <c r="Z41" i="59"/>
  <c r="Z40" i="59"/>
  <c r="Z39" i="59"/>
  <c r="Z38" i="59"/>
  <c r="Z37" i="59"/>
  <c r="Z36" i="59"/>
  <c r="Z35" i="59"/>
  <c r="Z34" i="59"/>
  <c r="Z33" i="59"/>
  <c r="Z32" i="59"/>
  <c r="Z31" i="59"/>
  <c r="Z30" i="59"/>
  <c r="Z29" i="59"/>
  <c r="Z28" i="59"/>
  <c r="Z27" i="59"/>
  <c r="Z26" i="59"/>
  <c r="Z25" i="59"/>
  <c r="Z24" i="59"/>
  <c r="Z23" i="59"/>
  <c r="Z22" i="59"/>
  <c r="Z21" i="59"/>
  <c r="Z20" i="59"/>
  <c r="Z19" i="59"/>
  <c r="Z18" i="59"/>
  <c r="Z17" i="59"/>
  <c r="Z16" i="59"/>
  <c r="Z15" i="59"/>
  <c r="Z14" i="59"/>
  <c r="Z13" i="59"/>
  <c r="Z12" i="59"/>
  <c r="Z11" i="59"/>
  <c r="Z10" i="59"/>
  <c r="Z9" i="59"/>
  <c r="W130" i="58"/>
  <c r="T130" i="58"/>
  <c r="Q130" i="58"/>
  <c r="P130" i="58"/>
  <c r="N130" i="58"/>
  <c r="M130" i="58"/>
  <c r="I130" i="58"/>
  <c r="F130" i="58"/>
  <c r="E130" i="58"/>
  <c r="B130" i="58"/>
  <c r="Z79" i="58"/>
  <c r="Z78" i="58"/>
  <c r="Z77" i="58"/>
  <c r="Z76" i="58"/>
  <c r="Z75" i="58"/>
  <c r="Z74" i="58"/>
  <c r="Z73" i="58"/>
  <c r="Z72" i="58"/>
  <c r="Z71" i="58"/>
  <c r="Z70" i="58"/>
  <c r="Z69" i="58"/>
  <c r="Z68" i="58"/>
  <c r="Z67" i="58"/>
  <c r="Z66" i="58"/>
  <c r="Z65" i="58"/>
  <c r="Z64" i="58"/>
  <c r="Z63" i="58"/>
  <c r="Z62" i="58"/>
  <c r="Z61" i="58"/>
  <c r="Z60" i="58"/>
  <c r="Z59" i="58"/>
  <c r="Z58" i="58"/>
  <c r="Z57" i="58"/>
  <c r="Z56" i="58"/>
  <c r="Z55" i="58"/>
  <c r="Z54" i="58"/>
  <c r="Z53" i="58"/>
  <c r="Z52" i="58"/>
  <c r="Z51" i="58"/>
  <c r="Z50" i="58"/>
  <c r="Z49" i="58"/>
  <c r="Z48" i="58"/>
  <c r="Z47" i="58"/>
  <c r="Z46" i="58"/>
  <c r="Z45" i="58"/>
  <c r="Z44" i="58"/>
  <c r="Z43" i="58"/>
  <c r="Z42" i="58"/>
  <c r="Z41" i="58"/>
  <c r="Z40" i="58"/>
  <c r="Z39" i="58"/>
  <c r="Z38" i="58"/>
  <c r="Z37" i="58"/>
  <c r="Z36" i="58"/>
  <c r="Z35" i="58"/>
  <c r="Z34" i="58"/>
  <c r="Z33" i="58"/>
  <c r="Z32" i="58"/>
  <c r="Z31" i="58"/>
  <c r="Z30" i="58"/>
  <c r="Z29" i="58"/>
  <c r="Z28" i="58"/>
  <c r="Z27" i="58"/>
  <c r="Z26" i="58"/>
  <c r="Z25" i="58"/>
  <c r="Z24" i="58"/>
  <c r="Z23" i="58"/>
  <c r="Z22" i="58"/>
  <c r="Z21" i="58"/>
  <c r="Z20" i="58"/>
  <c r="Z19" i="58"/>
  <c r="Z18" i="58"/>
  <c r="Z17" i="58"/>
  <c r="Z16" i="58"/>
  <c r="Z15" i="58"/>
  <c r="Z14" i="58"/>
  <c r="Z13" i="58"/>
  <c r="Z12" i="58"/>
  <c r="Z11" i="58"/>
  <c r="Z10" i="58"/>
  <c r="Z9" i="58"/>
  <c r="W130" i="57"/>
  <c r="T130" i="57"/>
  <c r="Q130" i="57"/>
  <c r="P130" i="57"/>
  <c r="N130" i="57"/>
  <c r="M130" i="57"/>
  <c r="I130" i="57"/>
  <c r="F130" i="57"/>
  <c r="E130" i="57"/>
  <c r="B130" i="57"/>
  <c r="Z79" i="57"/>
  <c r="Z78" i="57"/>
  <c r="Z77" i="57"/>
  <c r="Z76" i="57"/>
  <c r="Z75" i="57"/>
  <c r="Z74" i="57"/>
  <c r="Z73" i="57"/>
  <c r="Z72" i="57"/>
  <c r="Z71" i="57"/>
  <c r="Z70" i="57"/>
  <c r="Z69" i="57"/>
  <c r="Z68" i="57"/>
  <c r="Z67" i="57"/>
  <c r="Z66" i="57"/>
  <c r="Z65" i="57"/>
  <c r="Z64" i="57"/>
  <c r="Z63" i="57"/>
  <c r="Z62" i="57"/>
  <c r="Z61" i="57"/>
  <c r="Z60" i="57"/>
  <c r="Z59" i="57"/>
  <c r="Z58" i="57"/>
  <c r="Z57" i="57"/>
  <c r="Z56" i="57"/>
  <c r="Z55" i="57"/>
  <c r="Z54" i="57"/>
  <c r="Z53" i="57"/>
  <c r="Z52" i="57"/>
  <c r="Z51" i="57"/>
  <c r="Z50" i="57"/>
  <c r="Z49" i="57"/>
  <c r="Z48" i="57"/>
  <c r="Z47" i="57"/>
  <c r="Z46" i="57"/>
  <c r="Z45" i="57"/>
  <c r="Z44" i="57"/>
  <c r="Z43" i="57"/>
  <c r="Z42" i="57"/>
  <c r="Z41" i="57"/>
  <c r="Z40" i="57"/>
  <c r="Z39" i="57"/>
  <c r="Z38" i="57"/>
  <c r="Z37" i="57"/>
  <c r="Z36" i="57"/>
  <c r="Z35" i="57"/>
  <c r="Z34" i="57"/>
  <c r="Z33" i="57"/>
  <c r="Z32" i="57"/>
  <c r="Z31" i="57"/>
  <c r="Z30" i="57"/>
  <c r="Z29" i="57"/>
  <c r="Z28" i="57"/>
  <c r="Z27" i="57"/>
  <c r="Z26" i="57"/>
  <c r="Z25" i="57"/>
  <c r="Z24" i="57"/>
  <c r="Z23" i="57"/>
  <c r="Z22" i="57"/>
  <c r="Z21" i="57"/>
  <c r="Z20" i="57"/>
  <c r="Z19" i="57"/>
  <c r="Z18" i="57"/>
  <c r="Z17" i="57"/>
  <c r="Z16" i="57"/>
  <c r="Z15" i="57"/>
  <c r="Z14" i="57"/>
  <c r="Z13" i="57"/>
  <c r="Z12" i="57"/>
  <c r="Z11" i="57"/>
  <c r="Z10" i="57"/>
  <c r="Z9" i="57"/>
  <c r="W130" i="56"/>
  <c r="T130" i="56"/>
  <c r="Q130" i="56"/>
  <c r="P130" i="56"/>
  <c r="N130" i="56"/>
  <c r="M130" i="56"/>
  <c r="I130" i="56"/>
  <c r="F130" i="56"/>
  <c r="E130" i="56"/>
  <c r="B130" i="56"/>
  <c r="Z79" i="56"/>
  <c r="Z78" i="56"/>
  <c r="Z77" i="56"/>
  <c r="Z76" i="56"/>
  <c r="Z75" i="56"/>
  <c r="Z74" i="56"/>
  <c r="Z73" i="56"/>
  <c r="Z72" i="56"/>
  <c r="Z71" i="56"/>
  <c r="Z70" i="56"/>
  <c r="Z69" i="56"/>
  <c r="Z68" i="56"/>
  <c r="Z67" i="56"/>
  <c r="Z66" i="56"/>
  <c r="Z65" i="56"/>
  <c r="Z64" i="56"/>
  <c r="Z63" i="56"/>
  <c r="Z62" i="56"/>
  <c r="Z61" i="56"/>
  <c r="Z60" i="56"/>
  <c r="Z59" i="56"/>
  <c r="Z58" i="56"/>
  <c r="Z57" i="56"/>
  <c r="Z56" i="56"/>
  <c r="Z55" i="56"/>
  <c r="Z54" i="56"/>
  <c r="Z53" i="56"/>
  <c r="Z52" i="56"/>
  <c r="Z51" i="56"/>
  <c r="Z50" i="56"/>
  <c r="Z49" i="56"/>
  <c r="Z48" i="56"/>
  <c r="Z47" i="56"/>
  <c r="Z46" i="56"/>
  <c r="Z45" i="56"/>
  <c r="Z44" i="56"/>
  <c r="Z43" i="56"/>
  <c r="Z42" i="56"/>
  <c r="Z41" i="56"/>
  <c r="Z40" i="56"/>
  <c r="Z39" i="56"/>
  <c r="Z38" i="56"/>
  <c r="Z37" i="56"/>
  <c r="Z36" i="56"/>
  <c r="Z35" i="56"/>
  <c r="Z34" i="56"/>
  <c r="Z33" i="56"/>
  <c r="Z32" i="56"/>
  <c r="Z31" i="56"/>
  <c r="Z30" i="56"/>
  <c r="Z29" i="56"/>
  <c r="Z28" i="56"/>
  <c r="Z27" i="56"/>
  <c r="Z26" i="56"/>
  <c r="Z25" i="56"/>
  <c r="Z24" i="56"/>
  <c r="Z23" i="56"/>
  <c r="Z22" i="56"/>
  <c r="Z21" i="56"/>
  <c r="Z20" i="56"/>
  <c r="Z19" i="56"/>
  <c r="Z18" i="56"/>
  <c r="Z17" i="56"/>
  <c r="Z16" i="56"/>
  <c r="Z15" i="56"/>
  <c r="Z14" i="56"/>
  <c r="Z13" i="56"/>
  <c r="Z12" i="56"/>
  <c r="Z11" i="56"/>
  <c r="Z10" i="56"/>
  <c r="Z9" i="56"/>
  <c r="W130" i="55"/>
  <c r="T130" i="55"/>
  <c r="Q130" i="55"/>
  <c r="P130" i="55"/>
  <c r="N130" i="55"/>
  <c r="M130" i="55"/>
  <c r="I130" i="55"/>
  <c r="F130" i="55"/>
  <c r="E130" i="55"/>
  <c r="B130" i="55"/>
  <c r="Z79" i="55"/>
  <c r="Z78" i="55"/>
  <c r="Z77" i="55"/>
  <c r="Z76" i="55"/>
  <c r="Z75" i="55"/>
  <c r="Z74" i="55"/>
  <c r="Z73" i="55"/>
  <c r="Z72" i="55"/>
  <c r="Z71" i="55"/>
  <c r="Z70" i="55"/>
  <c r="Z69" i="55"/>
  <c r="Z68" i="55"/>
  <c r="Z67" i="55"/>
  <c r="Z66" i="55"/>
  <c r="Z65" i="55"/>
  <c r="Z64" i="55"/>
  <c r="Z63" i="55"/>
  <c r="Z62" i="55"/>
  <c r="Z61" i="55"/>
  <c r="Z60" i="55"/>
  <c r="Z59" i="55"/>
  <c r="Z58" i="55"/>
  <c r="Z57" i="55"/>
  <c r="Z56" i="55"/>
  <c r="Z55" i="55"/>
  <c r="Z54" i="55"/>
  <c r="Z53" i="55"/>
  <c r="Z52" i="55"/>
  <c r="Z51" i="55"/>
  <c r="Z50" i="55"/>
  <c r="Z49" i="55"/>
  <c r="Z48" i="55"/>
  <c r="Z47" i="55"/>
  <c r="Z46" i="55"/>
  <c r="Z45" i="55"/>
  <c r="Z44" i="55"/>
  <c r="Z43" i="55"/>
  <c r="Z42" i="55"/>
  <c r="Z41" i="55"/>
  <c r="Z40" i="55"/>
  <c r="Z39" i="55"/>
  <c r="Z38" i="55"/>
  <c r="Z37" i="55"/>
  <c r="Z36" i="55"/>
  <c r="Z35" i="55"/>
  <c r="Z34" i="55"/>
  <c r="Z33" i="55"/>
  <c r="Z32" i="55"/>
  <c r="Z31" i="55"/>
  <c r="Z30" i="55"/>
  <c r="Z29" i="55"/>
  <c r="Z28" i="55"/>
  <c r="Z27" i="55"/>
  <c r="Z26" i="55"/>
  <c r="Z25" i="55"/>
  <c r="Z24" i="55"/>
  <c r="Z23" i="55"/>
  <c r="Z22" i="55"/>
  <c r="Z21" i="55"/>
  <c r="Z20" i="55"/>
  <c r="Z19" i="55"/>
  <c r="Z18" i="55"/>
  <c r="Z17" i="55"/>
  <c r="Z16" i="55"/>
  <c r="Z15" i="55"/>
  <c r="Z14" i="55"/>
  <c r="Z13" i="55"/>
  <c r="Z12" i="55"/>
  <c r="Z11" i="55"/>
  <c r="Z10" i="55"/>
  <c r="Z9" i="55"/>
  <c r="W130" i="54"/>
  <c r="T130" i="54"/>
  <c r="Q130" i="54"/>
  <c r="P130" i="54"/>
  <c r="N130" i="54"/>
  <c r="M130" i="54"/>
  <c r="I130" i="54"/>
  <c r="F130" i="54"/>
  <c r="E130" i="54"/>
  <c r="B130" i="54"/>
  <c r="Z79" i="54"/>
  <c r="Z78" i="54"/>
  <c r="Z77" i="54"/>
  <c r="Z76" i="54"/>
  <c r="Z75" i="54"/>
  <c r="Z74" i="54"/>
  <c r="Z73" i="54"/>
  <c r="Z72" i="54"/>
  <c r="Z71" i="54"/>
  <c r="Z70" i="54"/>
  <c r="Z69" i="54"/>
  <c r="Z68" i="54"/>
  <c r="Z67" i="54"/>
  <c r="Z66" i="54"/>
  <c r="Z65" i="54"/>
  <c r="Z64" i="54"/>
  <c r="Z63" i="54"/>
  <c r="Z62" i="54"/>
  <c r="Z61" i="54"/>
  <c r="Z60" i="54"/>
  <c r="Z59" i="54"/>
  <c r="Z58" i="54"/>
  <c r="Z57" i="54"/>
  <c r="Z56" i="54"/>
  <c r="Z55" i="54"/>
  <c r="Z54" i="54"/>
  <c r="Z53" i="54"/>
  <c r="Z52" i="54"/>
  <c r="Z51" i="54"/>
  <c r="Z50" i="54"/>
  <c r="Z49" i="54"/>
  <c r="Z48" i="54"/>
  <c r="Z47" i="54"/>
  <c r="Z46" i="54"/>
  <c r="Z45" i="54"/>
  <c r="Z44" i="54"/>
  <c r="Z43" i="54"/>
  <c r="Z42" i="54"/>
  <c r="Z41" i="54"/>
  <c r="Z40" i="54"/>
  <c r="Z39" i="54"/>
  <c r="Z38" i="54"/>
  <c r="Z37" i="54"/>
  <c r="Z36" i="54"/>
  <c r="Z35" i="54"/>
  <c r="Z34" i="54"/>
  <c r="Z33" i="54"/>
  <c r="Z32" i="54"/>
  <c r="Z31" i="54"/>
  <c r="Z30" i="54"/>
  <c r="Z29" i="54"/>
  <c r="Z28" i="54"/>
  <c r="Z27" i="54"/>
  <c r="Z26" i="54"/>
  <c r="Z25" i="54"/>
  <c r="Z24" i="54"/>
  <c r="Z23" i="54"/>
  <c r="Z22" i="54"/>
  <c r="Z21" i="54"/>
  <c r="Z20" i="54"/>
  <c r="Z19" i="54"/>
  <c r="Z18" i="54"/>
  <c r="Z17" i="54"/>
  <c r="Z16" i="54"/>
  <c r="Z15" i="54"/>
  <c r="Z14" i="54"/>
  <c r="Z13" i="54"/>
  <c r="Z12" i="54"/>
  <c r="Z11" i="54"/>
  <c r="Z10" i="54"/>
  <c r="Z9" i="54"/>
  <c r="W130" i="53"/>
  <c r="T130" i="53"/>
  <c r="Q130" i="53"/>
  <c r="P130" i="53"/>
  <c r="N130" i="53"/>
  <c r="M130" i="53"/>
  <c r="I130" i="53"/>
  <c r="F130" i="53"/>
  <c r="E130" i="53"/>
  <c r="B130" i="53"/>
  <c r="Z79" i="53"/>
  <c r="Z78" i="53"/>
  <c r="Z77" i="53"/>
  <c r="Z76" i="53"/>
  <c r="Z75" i="53"/>
  <c r="Z74" i="53"/>
  <c r="Z73" i="53"/>
  <c r="Z72" i="53"/>
  <c r="Z71" i="53"/>
  <c r="Z70" i="53"/>
  <c r="Z69" i="53"/>
  <c r="Z68" i="53"/>
  <c r="Z67" i="53"/>
  <c r="Z66" i="53"/>
  <c r="Z65" i="53"/>
  <c r="Z64" i="53"/>
  <c r="Z63" i="53"/>
  <c r="Z62" i="53"/>
  <c r="Z61" i="53"/>
  <c r="Z60" i="53"/>
  <c r="Z59" i="53"/>
  <c r="Z58" i="53"/>
  <c r="Z57" i="53"/>
  <c r="Z56" i="53"/>
  <c r="Z55" i="53"/>
  <c r="Z54" i="53"/>
  <c r="Z53" i="53"/>
  <c r="Z52" i="53"/>
  <c r="Z51" i="53"/>
  <c r="Z50" i="53"/>
  <c r="Z49" i="53"/>
  <c r="Z48" i="53"/>
  <c r="Z47" i="53"/>
  <c r="Z46" i="53"/>
  <c r="Z45" i="53"/>
  <c r="Z44" i="53"/>
  <c r="Z43" i="53"/>
  <c r="Z42" i="53"/>
  <c r="Z41" i="53"/>
  <c r="Z40" i="53"/>
  <c r="Z39" i="53"/>
  <c r="Z38" i="53"/>
  <c r="Z37" i="53"/>
  <c r="Z36" i="53"/>
  <c r="Z35" i="53"/>
  <c r="Z34" i="53"/>
  <c r="Z33" i="53"/>
  <c r="Z32" i="53"/>
  <c r="Z31" i="53"/>
  <c r="Z30" i="53"/>
  <c r="Z29" i="53"/>
  <c r="Z28" i="53"/>
  <c r="Z27" i="53"/>
  <c r="Z26" i="53"/>
  <c r="Z25" i="53"/>
  <c r="Z24" i="53"/>
  <c r="Z23" i="53"/>
  <c r="Z22" i="53"/>
  <c r="Z21" i="53"/>
  <c r="Z20" i="53"/>
  <c r="Z19" i="53"/>
  <c r="Z18" i="53"/>
  <c r="Z17" i="53"/>
  <c r="Z16" i="53"/>
  <c r="Z15" i="53"/>
  <c r="Z14" i="53"/>
  <c r="Z13" i="53"/>
  <c r="Z12" i="53"/>
  <c r="Z11" i="53"/>
  <c r="Z10" i="53"/>
  <c r="Z9" i="53"/>
  <c r="W130" i="52"/>
  <c r="T130" i="52"/>
  <c r="Q130" i="52"/>
  <c r="P130" i="52"/>
  <c r="N130" i="52"/>
  <c r="M130" i="52"/>
  <c r="I130" i="52"/>
  <c r="F130" i="52"/>
  <c r="E130" i="52"/>
  <c r="B130" i="52"/>
  <c r="Z79" i="52"/>
  <c r="Z78" i="52"/>
  <c r="Z77" i="52"/>
  <c r="Z76" i="52"/>
  <c r="Z75" i="52"/>
  <c r="Z74" i="52"/>
  <c r="Z73" i="52"/>
  <c r="Z72" i="52"/>
  <c r="Z71" i="52"/>
  <c r="Z70" i="52"/>
  <c r="Z69" i="52"/>
  <c r="Z68" i="52"/>
  <c r="Z67" i="52"/>
  <c r="Z66" i="52"/>
  <c r="Z65" i="52"/>
  <c r="Z64" i="52"/>
  <c r="Z63" i="52"/>
  <c r="Z62" i="52"/>
  <c r="Z61" i="52"/>
  <c r="Z60" i="52"/>
  <c r="Z59" i="52"/>
  <c r="Z58" i="52"/>
  <c r="Z57" i="52"/>
  <c r="Z56" i="52"/>
  <c r="Z55" i="52"/>
  <c r="Z54" i="52"/>
  <c r="Z53" i="52"/>
  <c r="Z52" i="52"/>
  <c r="Z51" i="52"/>
  <c r="Z50" i="52"/>
  <c r="Z49" i="52"/>
  <c r="Z48" i="52"/>
  <c r="Z47" i="52"/>
  <c r="Z46" i="52"/>
  <c r="Z45" i="52"/>
  <c r="Z44" i="52"/>
  <c r="Z43" i="52"/>
  <c r="Z42" i="52"/>
  <c r="Z41" i="52"/>
  <c r="Z40" i="52"/>
  <c r="Z39" i="52"/>
  <c r="Z38" i="52"/>
  <c r="Z37" i="52"/>
  <c r="Z36" i="52"/>
  <c r="Z35" i="52"/>
  <c r="Z34" i="52"/>
  <c r="Z33" i="52"/>
  <c r="Z32" i="52"/>
  <c r="Z31" i="52"/>
  <c r="Z30" i="52"/>
  <c r="Z29" i="52"/>
  <c r="Z28" i="52"/>
  <c r="Z27" i="52"/>
  <c r="Z26" i="52"/>
  <c r="Z25" i="52"/>
  <c r="Z24" i="52"/>
  <c r="Z23" i="52"/>
  <c r="Z22" i="52"/>
  <c r="Z21" i="52"/>
  <c r="Z20" i="52"/>
  <c r="Z19" i="52"/>
  <c r="Z18" i="52"/>
  <c r="Z17" i="52"/>
  <c r="Z16" i="52"/>
  <c r="Z15" i="52"/>
  <c r="Z14" i="52"/>
  <c r="Z13" i="52"/>
  <c r="Z12" i="52"/>
  <c r="Z11" i="52"/>
  <c r="Z10" i="52"/>
  <c r="Z9" i="52"/>
  <c r="W130" i="51"/>
  <c r="T130" i="51"/>
  <c r="Q130" i="51"/>
  <c r="P130" i="51"/>
  <c r="N130" i="51"/>
  <c r="M130" i="51"/>
  <c r="I130" i="51"/>
  <c r="F130" i="51"/>
  <c r="E130" i="51"/>
  <c r="B130" i="51"/>
  <c r="Z79" i="51"/>
  <c r="Z78" i="51"/>
  <c r="Z77" i="51"/>
  <c r="Z76" i="51"/>
  <c r="Z75" i="51"/>
  <c r="Z74" i="51"/>
  <c r="Z73" i="51"/>
  <c r="Z72" i="51"/>
  <c r="Z71" i="51"/>
  <c r="Z70" i="51"/>
  <c r="Z69" i="51"/>
  <c r="Z68" i="51"/>
  <c r="Z67" i="51"/>
  <c r="Z66" i="51"/>
  <c r="Z65" i="51"/>
  <c r="Z64" i="51"/>
  <c r="Z63" i="51"/>
  <c r="Z62" i="51"/>
  <c r="Z61" i="51"/>
  <c r="Z60" i="51"/>
  <c r="Z59" i="51"/>
  <c r="Z58" i="51"/>
  <c r="Z57" i="51"/>
  <c r="Z56" i="51"/>
  <c r="Z55" i="51"/>
  <c r="Z54" i="51"/>
  <c r="Z53" i="51"/>
  <c r="Z52" i="51"/>
  <c r="Z51" i="51"/>
  <c r="Z50" i="51"/>
  <c r="Z49" i="51"/>
  <c r="Z48" i="51"/>
  <c r="Z47" i="51"/>
  <c r="Z46" i="51"/>
  <c r="Z45" i="51"/>
  <c r="Z44" i="51"/>
  <c r="Z43" i="51"/>
  <c r="Z42" i="51"/>
  <c r="Z41" i="51"/>
  <c r="Z40" i="51"/>
  <c r="Z39" i="51"/>
  <c r="Z38" i="51"/>
  <c r="Z37" i="51"/>
  <c r="Z36" i="51"/>
  <c r="Z35" i="51"/>
  <c r="Z34" i="51"/>
  <c r="Z33" i="51"/>
  <c r="Z32" i="51"/>
  <c r="Z31" i="51"/>
  <c r="Z30" i="51"/>
  <c r="Z29" i="51"/>
  <c r="Z28" i="51"/>
  <c r="Z27" i="51"/>
  <c r="Z26" i="51"/>
  <c r="Z25" i="51"/>
  <c r="Z24" i="51"/>
  <c r="Z23" i="51"/>
  <c r="Z22" i="51"/>
  <c r="Z21" i="51"/>
  <c r="Z20" i="51"/>
  <c r="Z19" i="51"/>
  <c r="Z18" i="51"/>
  <c r="Z17" i="51"/>
  <c r="Z16" i="51"/>
  <c r="Z15" i="51"/>
  <c r="Z14" i="51"/>
  <c r="Z13" i="51"/>
  <c r="Z12" i="51"/>
  <c r="Z11" i="51"/>
  <c r="Z10" i="51"/>
  <c r="Z9" i="51"/>
  <c r="W130" i="50"/>
  <c r="T130" i="50"/>
  <c r="Q130" i="50"/>
  <c r="P130" i="50"/>
  <c r="N130" i="50"/>
  <c r="M130" i="50"/>
  <c r="I130" i="50"/>
  <c r="F130" i="50"/>
  <c r="E130" i="50"/>
  <c r="B130" i="50"/>
  <c r="Z79" i="50"/>
  <c r="Z78" i="50"/>
  <c r="Z77" i="50"/>
  <c r="Z76" i="50"/>
  <c r="Z75" i="50"/>
  <c r="Z74" i="50"/>
  <c r="Z73" i="50"/>
  <c r="Z72" i="50"/>
  <c r="Z71" i="50"/>
  <c r="Z70" i="50"/>
  <c r="Z69" i="50"/>
  <c r="Z68" i="50"/>
  <c r="Z67" i="50"/>
  <c r="Z66" i="50"/>
  <c r="Z65" i="50"/>
  <c r="Z64" i="50"/>
  <c r="Z63" i="50"/>
  <c r="Z62" i="50"/>
  <c r="Z61" i="50"/>
  <c r="Z60" i="50"/>
  <c r="Z59" i="50"/>
  <c r="Z58" i="50"/>
  <c r="Z57" i="50"/>
  <c r="Z56" i="50"/>
  <c r="Z55" i="50"/>
  <c r="Z54" i="50"/>
  <c r="Z53" i="50"/>
  <c r="Z52" i="50"/>
  <c r="Z51" i="50"/>
  <c r="Z50" i="50"/>
  <c r="Z49" i="50"/>
  <c r="Z48" i="50"/>
  <c r="Z47" i="50"/>
  <c r="Z46" i="50"/>
  <c r="Z45" i="50"/>
  <c r="Z44" i="50"/>
  <c r="Z43" i="50"/>
  <c r="Z42" i="50"/>
  <c r="Z41" i="50"/>
  <c r="Z40" i="50"/>
  <c r="Z39" i="50"/>
  <c r="Z38" i="50"/>
  <c r="Z37" i="50"/>
  <c r="Z36" i="50"/>
  <c r="Z35" i="50"/>
  <c r="Z34" i="50"/>
  <c r="Z33" i="50"/>
  <c r="Z32" i="50"/>
  <c r="Z31" i="50"/>
  <c r="Z30" i="50"/>
  <c r="Z29" i="50"/>
  <c r="Z28" i="50"/>
  <c r="Z27" i="50"/>
  <c r="Z26" i="50"/>
  <c r="Z25" i="50"/>
  <c r="Z24" i="50"/>
  <c r="Z23" i="50"/>
  <c r="Z22" i="50"/>
  <c r="Z21" i="50"/>
  <c r="Z20" i="50"/>
  <c r="Z19" i="50"/>
  <c r="Z18" i="50"/>
  <c r="Z17" i="50"/>
  <c r="Z16" i="50"/>
  <c r="Z15" i="50"/>
  <c r="Z14" i="50"/>
  <c r="Z13" i="50"/>
  <c r="Z12" i="50"/>
  <c r="Z11" i="50"/>
  <c r="Z10" i="50"/>
  <c r="Z9" i="50"/>
  <c r="W130" i="49"/>
  <c r="T130" i="49"/>
  <c r="Q130" i="49"/>
  <c r="P130" i="49"/>
  <c r="N130" i="49"/>
  <c r="M130" i="49"/>
  <c r="I130" i="49"/>
  <c r="F130" i="49"/>
  <c r="E130" i="49"/>
  <c r="B130" i="49"/>
  <c r="Z79" i="49"/>
  <c r="Z78" i="49"/>
  <c r="Z77" i="49"/>
  <c r="Z76" i="49"/>
  <c r="Z75" i="49"/>
  <c r="Z74" i="49"/>
  <c r="Z73" i="49"/>
  <c r="Z72" i="49"/>
  <c r="Z71" i="49"/>
  <c r="Z70" i="49"/>
  <c r="Z69" i="49"/>
  <c r="Z68" i="49"/>
  <c r="Z67" i="49"/>
  <c r="Z66" i="49"/>
  <c r="Z65" i="49"/>
  <c r="Z64" i="49"/>
  <c r="Z63" i="49"/>
  <c r="Z62" i="49"/>
  <c r="Z61" i="49"/>
  <c r="Z60" i="49"/>
  <c r="Z59" i="49"/>
  <c r="Z58" i="49"/>
  <c r="Z57" i="49"/>
  <c r="Z56" i="49"/>
  <c r="Z55" i="49"/>
  <c r="Z54" i="49"/>
  <c r="Z53" i="49"/>
  <c r="Z52" i="49"/>
  <c r="Z51" i="49"/>
  <c r="Z50" i="49"/>
  <c r="Z49" i="49"/>
  <c r="Z48" i="49"/>
  <c r="Z47" i="49"/>
  <c r="Z46" i="49"/>
  <c r="Z45" i="49"/>
  <c r="Z44" i="49"/>
  <c r="Z43" i="49"/>
  <c r="Z42" i="49"/>
  <c r="Z41" i="49"/>
  <c r="Z40" i="49"/>
  <c r="Z39" i="49"/>
  <c r="Z38" i="49"/>
  <c r="Z37" i="49"/>
  <c r="Z36" i="49"/>
  <c r="Z35" i="49"/>
  <c r="Z34" i="49"/>
  <c r="Z33" i="49"/>
  <c r="Z32" i="49"/>
  <c r="Z31" i="49"/>
  <c r="Z30" i="49"/>
  <c r="Z29" i="49"/>
  <c r="Z28" i="49"/>
  <c r="Z27" i="49"/>
  <c r="Z26" i="49"/>
  <c r="Z25" i="49"/>
  <c r="Z24" i="49"/>
  <c r="Z23" i="49"/>
  <c r="Z22" i="49"/>
  <c r="Z21" i="49"/>
  <c r="Z20" i="49"/>
  <c r="Z19" i="49"/>
  <c r="Z18" i="49"/>
  <c r="Z17" i="49"/>
  <c r="Z16" i="49"/>
  <c r="Z15" i="49"/>
  <c r="Z14" i="49"/>
  <c r="Z13" i="49"/>
  <c r="Z12" i="49"/>
  <c r="Z11" i="49"/>
  <c r="Z10" i="49"/>
  <c r="Z9" i="49"/>
  <c r="W130" i="48"/>
  <c r="T130" i="48"/>
  <c r="Q130" i="48"/>
  <c r="P130" i="48"/>
  <c r="N130" i="48"/>
  <c r="M130" i="48"/>
  <c r="I130" i="48"/>
  <c r="F130" i="48"/>
  <c r="E130" i="48"/>
  <c r="B130" i="48"/>
  <c r="Z79" i="48"/>
  <c r="Z78" i="48"/>
  <c r="Z77" i="48"/>
  <c r="Z76" i="48"/>
  <c r="Z75" i="48"/>
  <c r="Z74" i="48"/>
  <c r="Z73" i="48"/>
  <c r="Z72" i="48"/>
  <c r="Z71" i="48"/>
  <c r="Z70" i="48"/>
  <c r="Z69" i="48"/>
  <c r="Z68" i="48"/>
  <c r="Z67" i="48"/>
  <c r="Z66" i="48"/>
  <c r="Z65" i="48"/>
  <c r="Z64" i="48"/>
  <c r="Z63" i="48"/>
  <c r="Z62" i="48"/>
  <c r="Z61" i="48"/>
  <c r="Z60" i="48"/>
  <c r="Z59" i="48"/>
  <c r="Z58" i="48"/>
  <c r="Z57" i="48"/>
  <c r="Z56" i="48"/>
  <c r="Z55" i="48"/>
  <c r="Z54" i="48"/>
  <c r="Z53" i="48"/>
  <c r="Z52" i="48"/>
  <c r="Z51" i="48"/>
  <c r="Z50" i="48"/>
  <c r="Z49" i="48"/>
  <c r="Z48" i="48"/>
  <c r="Z47" i="48"/>
  <c r="Z46" i="48"/>
  <c r="Z45" i="48"/>
  <c r="Z44" i="48"/>
  <c r="Z43" i="48"/>
  <c r="Z42" i="48"/>
  <c r="Z41" i="48"/>
  <c r="Z40" i="48"/>
  <c r="Z39" i="48"/>
  <c r="Z38" i="48"/>
  <c r="Z37" i="48"/>
  <c r="Z36" i="48"/>
  <c r="Z35" i="48"/>
  <c r="Z34" i="48"/>
  <c r="Z33" i="48"/>
  <c r="Z32" i="48"/>
  <c r="Z31" i="48"/>
  <c r="Z30" i="48"/>
  <c r="Z29" i="48"/>
  <c r="Z28" i="48"/>
  <c r="Z27" i="48"/>
  <c r="Z26" i="48"/>
  <c r="Z25" i="48"/>
  <c r="Z24" i="48"/>
  <c r="Z23" i="48"/>
  <c r="Z22" i="48"/>
  <c r="Z21" i="48"/>
  <c r="Z20" i="48"/>
  <c r="Z19" i="48"/>
  <c r="Z18" i="48"/>
  <c r="Z17" i="48"/>
  <c r="Z16" i="48"/>
  <c r="Z15" i="48"/>
  <c r="Z14" i="48"/>
  <c r="Z13" i="48"/>
  <c r="Z12" i="48"/>
  <c r="Z11" i="48"/>
  <c r="Z10" i="48"/>
  <c r="Z9" i="48"/>
  <c r="W130" i="47"/>
  <c r="T130" i="47"/>
  <c r="Q130" i="47"/>
  <c r="P130" i="47"/>
  <c r="N130" i="47"/>
  <c r="M130" i="47"/>
  <c r="I130" i="47"/>
  <c r="F130" i="47"/>
  <c r="E130" i="47"/>
  <c r="B130" i="47"/>
  <c r="Z79" i="47"/>
  <c r="Z78" i="47"/>
  <c r="Z77" i="47"/>
  <c r="Z76" i="47"/>
  <c r="Z75" i="47"/>
  <c r="Z74" i="47"/>
  <c r="Z73" i="47"/>
  <c r="Z72" i="47"/>
  <c r="Z71" i="47"/>
  <c r="Z70" i="47"/>
  <c r="Z69" i="47"/>
  <c r="Z68" i="47"/>
  <c r="Z67" i="47"/>
  <c r="Z66" i="47"/>
  <c r="Z65" i="47"/>
  <c r="Z64" i="47"/>
  <c r="Z63" i="47"/>
  <c r="Z62" i="47"/>
  <c r="Z61" i="47"/>
  <c r="Z60" i="47"/>
  <c r="Z59" i="47"/>
  <c r="Z58" i="47"/>
  <c r="Z57" i="47"/>
  <c r="Z56" i="47"/>
  <c r="Z55" i="47"/>
  <c r="Z54" i="47"/>
  <c r="Z53" i="47"/>
  <c r="Z52" i="47"/>
  <c r="Z51" i="47"/>
  <c r="Z50" i="47"/>
  <c r="Z49" i="47"/>
  <c r="Z48" i="47"/>
  <c r="Z47" i="47"/>
  <c r="Z46" i="47"/>
  <c r="Z45" i="47"/>
  <c r="Z44" i="47"/>
  <c r="Z43" i="47"/>
  <c r="Z42" i="47"/>
  <c r="Z41" i="47"/>
  <c r="Z40" i="47"/>
  <c r="Z39" i="47"/>
  <c r="Z38" i="47"/>
  <c r="Z37" i="47"/>
  <c r="Z36" i="47"/>
  <c r="Z35" i="47"/>
  <c r="Z34" i="47"/>
  <c r="Z33" i="47"/>
  <c r="Z32" i="47"/>
  <c r="Z31" i="47"/>
  <c r="Z30" i="47"/>
  <c r="Z29" i="47"/>
  <c r="Z28" i="47"/>
  <c r="Z27" i="47"/>
  <c r="Z26" i="47"/>
  <c r="Z25" i="47"/>
  <c r="Z24" i="47"/>
  <c r="Z23" i="47"/>
  <c r="Z22" i="47"/>
  <c r="Z21" i="47"/>
  <c r="Z20" i="47"/>
  <c r="Z19" i="47"/>
  <c r="Z18" i="47"/>
  <c r="Z17" i="47"/>
  <c r="Z16" i="47"/>
  <c r="Z15" i="47"/>
  <c r="Z14" i="47"/>
  <c r="Z13" i="47"/>
  <c r="Z12" i="47"/>
  <c r="Z11" i="47"/>
  <c r="Z10" i="47"/>
  <c r="Z9" i="47"/>
  <c r="D3" i="47" l="1"/>
  <c r="D3" i="48"/>
  <c r="D3" i="49"/>
  <c r="D3" i="50"/>
  <c r="D3" i="51"/>
  <c r="D3" i="52"/>
  <c r="D3" i="53"/>
  <c r="D3" i="54"/>
  <c r="D3" i="55"/>
  <c r="D3" i="56"/>
  <c r="D3" i="57"/>
  <c r="D3" i="58"/>
  <c r="D3" i="59"/>
  <c r="D3" i="60"/>
  <c r="D3" i="61"/>
  <c r="D3" i="62"/>
  <c r="D3" i="63"/>
  <c r="D3" i="64"/>
  <c r="D3" i="65"/>
  <c r="D3" i="66"/>
  <c r="D3" i="67"/>
  <c r="D3" i="68"/>
  <c r="D3" i="69"/>
  <c r="D3" i="70"/>
  <c r="A11" i="12"/>
  <c r="A11" i="46"/>
  <c r="C25" i="46"/>
  <c r="H44" i="9" l="1"/>
  <c r="H35" i="9"/>
  <c r="H26" i="9"/>
  <c r="H17" i="9"/>
  <c r="D14" i="12" l="1"/>
  <c r="D23" i="12"/>
  <c r="D22" i="12"/>
  <c r="D21" i="12"/>
  <c r="D20" i="12"/>
  <c r="D19" i="12"/>
  <c r="D18" i="12"/>
  <c r="D17" i="12"/>
  <c r="D16" i="12"/>
  <c r="D15" i="12"/>
  <c r="C14" i="13" a="1"/>
  <c r="C14" i="13" s="1"/>
  <c r="K2" i="12" l="1"/>
  <c r="D44" i="9" l="1"/>
  <c r="D26" i="9"/>
  <c r="N26" i="9" l="1"/>
  <c r="N44" i="9"/>
  <c r="D35" i="9"/>
  <c r="D17" i="9"/>
  <c r="N35" i="9" l="1"/>
  <c r="N17" i="9"/>
  <c r="H51" i="9" l="1"/>
  <c r="H52" i="9"/>
  <c r="J53" i="9"/>
  <c r="L53" i="9"/>
  <c r="H53" i="9" l="1"/>
  <c r="H8" i="9"/>
  <c r="D51" i="9"/>
  <c r="D52" i="9"/>
  <c r="D53" i="9" l="1"/>
  <c r="N53" i="9" s="1"/>
  <c r="D8" i="9"/>
  <c r="N8" i="9" s="1"/>
  <c r="C25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<sst xmlns="http://schemas.openxmlformats.org/spreadsheetml/2006/main" count="4088" uniqueCount="134">
  <si>
    <t>CASH FLOAT: START OF DAY</t>
  </si>
  <si>
    <t>CASH FLOAT: END OF DAY</t>
  </si>
  <si>
    <t>PURCHASES</t>
  </si>
  <si>
    <t>SALES</t>
  </si>
  <si>
    <t>EXPENSES</t>
  </si>
  <si>
    <t>WAGES</t>
  </si>
  <si>
    <t>KG's</t>
  </si>
  <si>
    <t>FERROUS</t>
  </si>
  <si>
    <t>PRICE/KG</t>
  </si>
  <si>
    <t>AMOUNT</t>
  </si>
  <si>
    <t>NON-FERROUS</t>
  </si>
  <si>
    <t>NON-FEROUS</t>
  </si>
  <si>
    <t>FEROUS</t>
  </si>
  <si>
    <t>DESCRIPTION</t>
  </si>
  <si>
    <t>PERSON</t>
  </si>
  <si>
    <t>TOTALS</t>
  </si>
  <si>
    <t>PROFIT</t>
  </si>
  <si>
    <t>TOTAL</t>
  </si>
  <si>
    <t>UBC</t>
  </si>
  <si>
    <t>PVC</t>
  </si>
  <si>
    <t>ABS</t>
  </si>
  <si>
    <t>Metal</t>
  </si>
  <si>
    <t>Cu SB</t>
  </si>
  <si>
    <t>Brass Heavy</t>
  </si>
  <si>
    <t>Brass Light</t>
  </si>
  <si>
    <t>Brass Shavings</t>
  </si>
  <si>
    <t>Brass 70/30</t>
  </si>
  <si>
    <t>Brass 60/40</t>
  </si>
  <si>
    <t>Brass C/Cases</t>
  </si>
  <si>
    <t>Brass Irony</t>
  </si>
  <si>
    <t>AB Solids</t>
  </si>
  <si>
    <t>AB Shavings</t>
  </si>
  <si>
    <t>GM Solids</t>
  </si>
  <si>
    <t>GM Shavings</t>
  </si>
  <si>
    <t>Mixed GM Shavings</t>
  </si>
  <si>
    <t>PB C/Wheels</t>
  </si>
  <si>
    <t>PB Shavings</t>
  </si>
  <si>
    <t>90/10 Cupro/Ni Tubes</t>
  </si>
  <si>
    <t>90/10 Gilding Metal</t>
  </si>
  <si>
    <t>Al Wire</t>
  </si>
  <si>
    <t>Al Litho</t>
  </si>
  <si>
    <t>Al Offcuts Soft</t>
  </si>
  <si>
    <t>Al Cast</t>
  </si>
  <si>
    <t>Al Shavings</t>
  </si>
  <si>
    <t>Mag Cast</t>
  </si>
  <si>
    <t>Zinc</t>
  </si>
  <si>
    <t>Cable Lead</t>
  </si>
  <si>
    <t>Lead Mixed</t>
  </si>
  <si>
    <t>Batteries</t>
  </si>
  <si>
    <t>Stainless 316</t>
  </si>
  <si>
    <t>Stainless 310</t>
  </si>
  <si>
    <t>S/Shavings</t>
  </si>
  <si>
    <t>S/Elements</t>
  </si>
  <si>
    <t>Ni Cushions</t>
  </si>
  <si>
    <t>Ni Squares</t>
  </si>
  <si>
    <t>Tungsten MG</t>
  </si>
  <si>
    <t>Price List</t>
  </si>
  <si>
    <t>Total</t>
  </si>
  <si>
    <t>Thank You!</t>
  </si>
  <si>
    <t>Green Enviro. Keeping SA Clean!</t>
  </si>
  <si>
    <t>Price</t>
  </si>
  <si>
    <t>Items</t>
  </si>
  <si>
    <t>KG</t>
  </si>
  <si>
    <t>Price/KG</t>
  </si>
  <si>
    <t>SB Greasy</t>
  </si>
  <si>
    <t>SB Granules</t>
  </si>
  <si>
    <t>Sidronic</t>
  </si>
  <si>
    <t>Cu 1A</t>
  </si>
  <si>
    <t>Cu Pyro</t>
  </si>
  <si>
    <t>Al Foil</t>
  </si>
  <si>
    <t>Unclean</t>
  </si>
  <si>
    <t>3CR12</t>
  </si>
  <si>
    <t>Stainless Mag</t>
  </si>
  <si>
    <t>Fridge</t>
  </si>
  <si>
    <t>Motors</t>
  </si>
  <si>
    <t>DATE:</t>
  </si>
  <si>
    <t>A Grade</t>
  </si>
  <si>
    <t>Sub Grade</t>
  </si>
  <si>
    <t>YES</t>
  </si>
  <si>
    <t>NO</t>
  </si>
  <si>
    <t>Dealer's Prices</t>
  </si>
  <si>
    <t>General Prices</t>
  </si>
  <si>
    <t>Price Calculation Formula</t>
  </si>
  <si>
    <t>Cables</t>
  </si>
  <si>
    <t>PCB-L</t>
  </si>
  <si>
    <t>PCB-M</t>
  </si>
  <si>
    <t>PCB-C</t>
  </si>
  <si>
    <t>PCB-P</t>
  </si>
  <si>
    <t>Steel Can</t>
  </si>
  <si>
    <t>General</t>
  </si>
  <si>
    <t>Cu Mix</t>
  </si>
  <si>
    <t>Cu Tin</t>
  </si>
  <si>
    <t>Cu Brz</t>
  </si>
  <si>
    <t>Cu Rads</t>
  </si>
  <si>
    <t>Al O/R</t>
  </si>
  <si>
    <t>AI Rims</t>
  </si>
  <si>
    <t>SS 304</t>
  </si>
  <si>
    <t>Al/Cu Rads</t>
  </si>
  <si>
    <t>Al Rads</t>
  </si>
  <si>
    <t>Al Extrusion</t>
  </si>
  <si>
    <t>Cu Tin Granules</t>
  </si>
  <si>
    <t>S Shavings</t>
  </si>
  <si>
    <t>SS Elements</t>
  </si>
  <si>
    <t>ON</t>
  </si>
  <si>
    <t>OFF</t>
  </si>
  <si>
    <t>GROUPED PURCHASES</t>
  </si>
  <si>
    <t xml:space="preserve">ITEM </t>
  </si>
  <si>
    <t>TOTOAL KG'S</t>
  </si>
  <si>
    <t>CU Shavings</t>
  </si>
  <si>
    <t>Remaining Float</t>
  </si>
  <si>
    <t>OVERALL NOVEMBER SUMMARY</t>
  </si>
  <si>
    <t>WEEK 1:  Monday 1 December - Saturday 5 December</t>
  </si>
  <si>
    <t>WEEK 2: Monday  7 December - Saturday 12 December</t>
  </si>
  <si>
    <t>WEEK 3:  Monday 14 December - Saturday 19 December</t>
  </si>
  <si>
    <t xml:space="preserve">WEEK 5:  Monday 28 December - Saturday 31 December </t>
  </si>
  <si>
    <t>WEEK 4:  Monday 21 December - Saturday 26 December</t>
  </si>
  <si>
    <t>CASUAL</t>
  </si>
  <si>
    <t>RENT</t>
  </si>
  <si>
    <t>ALARM</t>
  </si>
  <si>
    <t>fuel</t>
  </si>
  <si>
    <t>FUEL</t>
  </si>
  <si>
    <t>TENDAI</t>
  </si>
  <si>
    <t>TINOTENDA</t>
  </si>
  <si>
    <t>UNCLEAN/CASUAL</t>
  </si>
  <si>
    <t>FMP</t>
  </si>
  <si>
    <t>SAPS</t>
  </si>
  <si>
    <t>BIG SIX</t>
  </si>
  <si>
    <t>B IG SIX/201</t>
  </si>
  <si>
    <t>BIG SIX/TINS</t>
  </si>
  <si>
    <t>OXYGEN</t>
  </si>
  <si>
    <t>PRIMO BATTRIES</t>
  </si>
  <si>
    <t>TRUST/CASUAL</t>
  </si>
  <si>
    <t>DAVID/CASUAL</t>
  </si>
  <si>
    <t>ENGENE STATER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</si>
</sst>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&quot;* #,##0.00_-;\-&quot;R&quot;* #,##0.00_-;_-&quot;R&quot;* &quot;-&quot;??_-;_-@_-"/>
    <numFmt numFmtId="164" formatCode="_ &quot;R&quot;\ * #,##0.00_ ;_ &quot;R&quot;\ * \-#,##0.00_ ;_ &quot;R&quot;\ * &quot;-&quot;??_ ;_ @_ "/>
    <numFmt numFmtId="165" formatCode="[$-F800]dddd\,\ mmmm\ dd\,\ yyyy"/>
    <numFmt numFmtId="166" formatCode="&quot;R&quot;#,##0.0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222222"/>
      <name val="Arial"/>
      <family val="2"/>
    </font>
    <font>
      <b/>
      <sz val="18"/>
      <color theme="1"/>
      <name val="Calibri"/>
      <family val="2"/>
      <scheme val="minor"/>
    </font>
    <font>
      <b/>
      <sz val="18"/>
      <color theme="1"/>
      <name val="Brush Script MT"/>
      <family val="4"/>
    </font>
    <font>
      <b/>
      <sz val="13"/>
      <color theme="1"/>
      <name val="Calibri"/>
      <family val="2"/>
      <scheme val="minor"/>
    </font>
    <font>
      <b/>
      <sz val="16"/>
      <color theme="1"/>
      <name val="Cambria"/>
      <family val="1"/>
    </font>
    <font>
      <b/>
      <sz val="14"/>
      <color theme="1"/>
      <name val="Cambria"/>
      <family val="1"/>
    </font>
    <font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8"/>
      <color rgb="FF000000"/>
      <name val="Calibri"/>
      <family val="2"/>
    </font>
    <font>
      <b/>
      <sz val="14"/>
      <color rgb="FF000000"/>
      <name val="Cambria Math"/>
      <family val="1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ashDotDot">
        <color indexed="64"/>
      </right>
      <top style="dashDotDot">
        <color indexed="64"/>
      </top>
      <bottom style="dashDotDot">
        <color indexed="64"/>
      </bottom>
      <diagonal/>
    </border>
    <border>
      <left style="dashDotDot">
        <color indexed="64"/>
      </left>
      <right/>
      <top/>
      <bottom style="thin">
        <color indexed="64"/>
      </bottom>
      <diagonal/>
    </border>
    <border>
      <left style="dashDotDot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29">
    <xf numFmtId="0" fontId="0" fillId="0" borderId="0" xfId="0"/>
    <xf numFmtId="44" fontId="3" fillId="0" borderId="0" xfId="0" applyNumberFormat="1" applyFont="1" applyProtection="1">
      <protection locked="0"/>
    </xf>
    <xf numFmtId="0" fontId="2" fillId="0" borderId="0" xfId="0" applyFont="1" applyProtection="1"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2" fillId="4" borderId="11" xfId="0" applyFont="1" applyFill="1" applyBorder="1" applyAlignment="1" applyProtection="1">
      <alignment horizontal="center"/>
      <protection locked="0"/>
    </xf>
    <xf numFmtId="44" fontId="2" fillId="4" borderId="12" xfId="0" applyNumberFormat="1" applyFont="1" applyFill="1" applyBorder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44" fontId="2" fillId="3" borderId="14" xfId="0" applyNumberFormat="1" applyFont="1" applyFill="1" applyBorder="1" applyAlignment="1" applyProtection="1">
      <alignment horizontal="center"/>
      <protection locked="0"/>
    </xf>
    <xf numFmtId="44" fontId="2" fillId="4" borderId="14" xfId="0" applyNumberFormat="1" applyFont="1" applyFill="1" applyBorder="1" applyAlignment="1" applyProtection="1">
      <alignment horizontal="center"/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2" fillId="3" borderId="16" xfId="0" applyFont="1" applyFill="1" applyBorder="1" applyAlignment="1" applyProtection="1">
      <alignment horizontal="center"/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7" xfId="0" applyFont="1" applyFill="1" applyBorder="1" applyAlignment="1" applyProtection="1">
      <alignment horizontal="center"/>
      <protection locked="0"/>
    </xf>
    <xf numFmtId="44" fontId="2" fillId="4" borderId="16" xfId="0" applyNumberFormat="1" applyFont="1" applyFill="1" applyBorder="1" applyProtection="1">
      <protection locked="0"/>
    </xf>
    <xf numFmtId="0" fontId="2" fillId="3" borderId="18" xfId="0" applyFont="1" applyFill="1" applyBorder="1" applyAlignment="1" applyProtection="1">
      <alignment horizontal="center"/>
      <protection locked="0"/>
    </xf>
    <xf numFmtId="44" fontId="2" fillId="3" borderId="9" xfId="0" applyNumberFormat="1" applyFont="1" applyFill="1" applyBorder="1" applyAlignment="1" applyProtection="1">
      <alignment horizontal="center"/>
      <protection locked="0"/>
    </xf>
    <xf numFmtId="44" fontId="2" fillId="4" borderId="9" xfId="0" applyNumberFormat="1" applyFont="1" applyFill="1" applyBorder="1" applyAlignment="1" applyProtection="1">
      <alignment horizontal="center"/>
      <protection locked="0"/>
    </xf>
    <xf numFmtId="0" fontId="2" fillId="3" borderId="15" xfId="0" applyFont="1" applyFill="1" applyBorder="1" applyAlignment="1" applyProtection="1">
      <alignment horizontal="center"/>
      <protection locked="0"/>
    </xf>
    <xf numFmtId="0" fontId="2" fillId="3" borderId="20" xfId="0" applyFont="1" applyFill="1" applyBorder="1" applyAlignment="1" applyProtection="1">
      <alignment horizontal="center"/>
      <protection locked="0"/>
    </xf>
    <xf numFmtId="0" fontId="2" fillId="4" borderId="19" xfId="0" applyFont="1" applyFill="1" applyBorder="1" applyAlignment="1" applyProtection="1">
      <alignment horizontal="center"/>
      <protection locked="0"/>
    </xf>
    <xf numFmtId="0" fontId="2" fillId="4" borderId="21" xfId="0" applyFont="1" applyFill="1" applyBorder="1" applyAlignment="1" applyProtection="1">
      <alignment horizontal="center"/>
      <protection locked="0"/>
    </xf>
    <xf numFmtId="44" fontId="2" fillId="4" borderId="20" xfId="0" applyNumberFormat="1" applyFont="1" applyFill="1" applyBorder="1" applyProtection="1">
      <protection locked="0"/>
    </xf>
    <xf numFmtId="0" fontId="2" fillId="3" borderId="22" xfId="0" applyFont="1" applyFill="1" applyBorder="1" applyAlignment="1" applyProtection="1">
      <alignment horizontal="center"/>
      <protection locked="0"/>
    </xf>
    <xf numFmtId="44" fontId="2" fillId="3" borderId="24" xfId="0" applyNumberFormat="1" applyFont="1" applyFill="1" applyBorder="1" applyAlignment="1" applyProtection="1">
      <alignment horizontal="center"/>
      <protection locked="0"/>
    </xf>
    <xf numFmtId="44" fontId="2" fillId="4" borderId="24" xfId="0" applyNumberFormat="1" applyFont="1" applyFill="1" applyBorder="1" applyAlignment="1" applyProtection="1">
      <alignment horizontal="center"/>
      <protection locked="0"/>
    </xf>
    <xf numFmtId="0" fontId="2" fillId="3" borderId="19" xfId="0" applyFont="1" applyFill="1" applyBorder="1" applyAlignment="1" applyProtection="1">
      <alignment horizontal="center"/>
      <protection locked="0"/>
    </xf>
    <xf numFmtId="44" fontId="2" fillId="3" borderId="25" xfId="0" applyNumberFormat="1" applyFont="1" applyFill="1" applyBorder="1" applyAlignment="1" applyProtection="1">
      <alignment horizontal="center"/>
      <protection locked="0"/>
    </xf>
    <xf numFmtId="0" fontId="2" fillId="4" borderId="16" xfId="0" applyFont="1" applyFill="1" applyBorder="1" applyAlignment="1" applyProtection="1">
      <alignment horizontal="center"/>
      <protection locked="0"/>
    </xf>
    <xf numFmtId="0" fontId="2" fillId="3" borderId="27" xfId="0" applyFont="1" applyFill="1" applyBorder="1" applyAlignment="1" applyProtection="1">
      <alignment horizontal="center"/>
      <protection locked="0"/>
    </xf>
    <xf numFmtId="0" fontId="2" fillId="4" borderId="26" xfId="0" applyFont="1" applyFill="1" applyBorder="1" applyAlignment="1" applyProtection="1">
      <alignment horizontal="center"/>
      <protection locked="0"/>
    </xf>
    <xf numFmtId="0" fontId="2" fillId="4" borderId="27" xfId="0" applyFont="1" applyFill="1" applyBorder="1" applyAlignment="1" applyProtection="1">
      <alignment horizontal="center"/>
      <protection locked="0"/>
    </xf>
    <xf numFmtId="44" fontId="2" fillId="4" borderId="27" xfId="0" applyNumberFormat="1" applyFont="1" applyFill="1" applyBorder="1" applyProtection="1">
      <protection locked="0"/>
    </xf>
    <xf numFmtId="44" fontId="2" fillId="3" borderId="28" xfId="0" applyNumberFormat="1" applyFont="1" applyFill="1" applyBorder="1" applyAlignment="1" applyProtection="1">
      <alignment horizontal="center"/>
      <protection locked="0"/>
    </xf>
    <xf numFmtId="44" fontId="2" fillId="4" borderId="28" xfId="0" applyNumberFormat="1" applyFont="1" applyFill="1" applyBorder="1" applyAlignment="1" applyProtection="1">
      <alignment horizontal="center"/>
      <protection locked="0"/>
    </xf>
    <xf numFmtId="0" fontId="2" fillId="3" borderId="26" xfId="0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0" borderId="0" xfId="0"/>
    <xf numFmtId="0" fontId="7" fillId="0" borderId="0" xfId="0" applyFont="1" applyAlignment="1">
      <alignment horizontal="center"/>
    </xf>
    <xf numFmtId="0" fontId="3" fillId="0" borderId="0" xfId="0" applyFont="1"/>
    <xf numFmtId="0" fontId="5" fillId="0" borderId="16" xfId="0" applyFont="1" applyBorder="1" applyAlignment="1">
      <alignment horizontal="center"/>
    </xf>
    <xf numFmtId="0" fontId="3" fillId="0" borderId="29" xfId="0" applyFont="1" applyBorder="1"/>
    <xf numFmtId="0" fontId="3" fillId="0" borderId="30" xfId="0" applyFont="1" applyBorder="1"/>
    <xf numFmtId="0" fontId="3" fillId="0" borderId="31" xfId="0" applyFont="1" applyBorder="1"/>
    <xf numFmtId="164" fontId="3" fillId="0" borderId="16" xfId="0" applyNumberFormat="1" applyFont="1" applyBorder="1"/>
    <xf numFmtId="0" fontId="3" fillId="3" borderId="16" xfId="0" applyFont="1" applyFill="1" applyBorder="1"/>
    <xf numFmtId="0" fontId="3" fillId="0" borderId="13" xfId="0" applyFont="1" applyBorder="1"/>
    <xf numFmtId="0" fontId="3" fillId="0" borderId="32" xfId="0" applyFont="1" applyBorder="1"/>
    <xf numFmtId="164" fontId="3" fillId="3" borderId="16" xfId="0" applyNumberFormat="1" applyFont="1" applyFill="1" applyBorder="1"/>
    <xf numFmtId="0" fontId="7" fillId="0" borderId="0" xfId="0" applyFont="1"/>
    <xf numFmtId="0" fontId="8" fillId="5" borderId="36" xfId="0" applyFont="1" applyFill="1" applyBorder="1" applyAlignment="1">
      <alignment vertical="center"/>
    </xf>
    <xf numFmtId="0" fontId="8" fillId="5" borderId="40" xfId="0" applyFont="1" applyFill="1" applyBorder="1" applyAlignment="1">
      <alignment vertical="center"/>
    </xf>
    <xf numFmtId="0" fontId="0" fillId="0" borderId="36" xfId="0" applyBorder="1"/>
    <xf numFmtId="0" fontId="0" fillId="0" borderId="42" xfId="0" applyBorder="1"/>
    <xf numFmtId="0" fontId="0" fillId="0" borderId="35" xfId="0" applyBorder="1"/>
    <xf numFmtId="0" fontId="1" fillId="0" borderId="0" xfId="0" applyFont="1" applyFill="1" applyBorder="1" applyAlignment="1">
      <alignment horizontal="center"/>
    </xf>
    <xf numFmtId="0" fontId="3" fillId="0" borderId="36" xfId="0" applyFont="1" applyBorder="1" applyAlignment="1">
      <alignment horizontal="center" vertical="center"/>
    </xf>
    <xf numFmtId="166" fontId="3" fillId="0" borderId="42" xfId="0" applyNumberFormat="1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166" fontId="3" fillId="0" borderId="35" xfId="0" applyNumberFormat="1" applyFont="1" applyBorder="1" applyAlignment="1">
      <alignment horizontal="center" vertical="center"/>
    </xf>
    <xf numFmtId="2" fontId="8" fillId="5" borderId="34" xfId="0" applyNumberFormat="1" applyFont="1" applyFill="1" applyBorder="1" applyAlignment="1">
      <alignment horizontal="right" vertical="center"/>
    </xf>
    <xf numFmtId="2" fontId="8" fillId="5" borderId="34" xfId="0" applyNumberFormat="1" applyFont="1" applyFill="1" applyBorder="1" applyAlignment="1">
      <alignment vertical="center"/>
    </xf>
    <xf numFmtId="2" fontId="8" fillId="5" borderId="35" xfId="0" applyNumberFormat="1" applyFont="1" applyFill="1" applyBorder="1" applyAlignment="1">
      <alignment horizontal="right" vertical="center"/>
    </xf>
    <xf numFmtId="2" fontId="8" fillId="5" borderId="35" xfId="0" applyNumberFormat="1" applyFont="1" applyFill="1" applyBorder="1" applyAlignment="1">
      <alignment vertical="center"/>
    </xf>
    <xf numFmtId="0" fontId="0" fillId="0" borderId="0" xfId="0" applyBorder="1"/>
    <xf numFmtId="0" fontId="0" fillId="0" borderId="33" xfId="0" applyBorder="1"/>
    <xf numFmtId="0" fontId="0" fillId="0" borderId="39" xfId="0" applyBorder="1"/>
    <xf numFmtId="0" fontId="11" fillId="6" borderId="39" xfId="0" applyFont="1" applyFill="1" applyBorder="1" applyAlignment="1">
      <alignment horizontal="center" vertical="center"/>
    </xf>
    <xf numFmtId="166" fontId="11" fillId="6" borderId="0" xfId="0" applyNumberFormat="1" applyFont="1" applyFill="1" applyBorder="1" applyAlignment="1">
      <alignment horizontal="center" vertical="center"/>
    </xf>
    <xf numFmtId="0" fontId="11" fillId="6" borderId="0" xfId="0" applyFont="1" applyFill="1" applyBorder="1" applyAlignment="1">
      <alignment horizontal="center" vertical="center"/>
    </xf>
    <xf numFmtId="166" fontId="11" fillId="6" borderId="33" xfId="0" applyNumberFormat="1" applyFont="1" applyFill="1" applyBorder="1" applyAlignment="1">
      <alignment horizontal="center" vertical="center"/>
    </xf>
    <xf numFmtId="0" fontId="1" fillId="0" borderId="0" xfId="0" applyFont="1"/>
    <xf numFmtId="0" fontId="8" fillId="5" borderId="4" xfId="0" applyFont="1" applyFill="1" applyBorder="1" applyAlignment="1">
      <alignment vertical="center"/>
    </xf>
    <xf numFmtId="2" fontId="8" fillId="5" borderId="4" xfId="0" applyNumberFormat="1" applyFont="1" applyFill="1" applyBorder="1" applyAlignment="1">
      <alignment horizontal="right" vertical="center"/>
    </xf>
    <xf numFmtId="0" fontId="0" fillId="0" borderId="4" xfId="0" applyBorder="1"/>
    <xf numFmtId="0" fontId="8" fillId="5" borderId="0" xfId="0" applyFont="1" applyFill="1" applyBorder="1" applyAlignment="1">
      <alignment vertical="center"/>
    </xf>
    <xf numFmtId="0" fontId="0" fillId="0" borderId="0" xfId="0" applyAlignment="1" applyProtection="1">
      <alignment horizontal="center"/>
    </xf>
    <xf numFmtId="44" fontId="3" fillId="0" borderId="0" xfId="0" applyNumberFormat="1" applyFont="1" applyProtection="1"/>
    <xf numFmtId="0" fontId="2" fillId="2" borderId="1" xfId="0" applyFont="1" applyFill="1" applyBorder="1" applyAlignment="1" applyProtection="1">
      <alignment horizontal="center"/>
    </xf>
    <xf numFmtId="0" fontId="2" fillId="2" borderId="2" xfId="0" applyFont="1" applyFill="1" applyBorder="1" applyAlignment="1" applyProtection="1">
      <alignment horizontal="center"/>
    </xf>
    <xf numFmtId="0" fontId="2" fillId="2" borderId="3" xfId="0" applyFont="1" applyFill="1" applyBorder="1" applyAlignment="1" applyProtection="1">
      <alignment horizontal="center"/>
    </xf>
    <xf numFmtId="0" fontId="2" fillId="3" borderId="1" xfId="0" applyFont="1" applyFill="1" applyBorder="1" applyAlignment="1" applyProtection="1">
      <alignment horizontal="center"/>
    </xf>
    <xf numFmtId="0" fontId="2" fillId="3" borderId="4" xfId="0" applyFont="1" applyFill="1" applyBorder="1" applyAlignment="1" applyProtection="1">
      <alignment horizontal="center"/>
    </xf>
    <xf numFmtId="0" fontId="2" fillId="0" borderId="0" xfId="0" applyFont="1" applyProtection="1"/>
    <xf numFmtId="0" fontId="2" fillId="4" borderId="4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</xf>
    <xf numFmtId="0" fontId="2" fillId="2" borderId="6" xfId="0" applyFont="1" applyFill="1" applyBorder="1" applyProtection="1"/>
    <xf numFmtId="0" fontId="2" fillId="2" borderId="7" xfId="0" applyFont="1" applyFill="1" applyBorder="1" applyAlignment="1" applyProtection="1">
      <alignment horizontal="center"/>
    </xf>
    <xf numFmtId="44" fontId="2" fillId="2" borderId="7" xfId="0" applyNumberFormat="1" applyFont="1" applyFill="1" applyBorder="1" applyProtection="1"/>
    <xf numFmtId="164" fontId="2" fillId="2" borderId="8" xfId="0" applyNumberFormat="1" applyFont="1" applyFill="1" applyBorder="1" applyProtection="1"/>
    <xf numFmtId="0" fontId="2" fillId="3" borderId="16" xfId="0" applyFont="1" applyFill="1" applyBorder="1" applyProtection="1"/>
    <xf numFmtId="0" fontId="2" fillId="3" borderId="16" xfId="0" applyFont="1" applyFill="1" applyBorder="1" applyAlignment="1" applyProtection="1">
      <alignment horizontal="center"/>
    </xf>
    <xf numFmtId="44" fontId="2" fillId="3" borderId="16" xfId="0" applyNumberFormat="1" applyFont="1" applyFill="1" applyBorder="1" applyProtection="1"/>
    <xf numFmtId="164" fontId="2" fillId="3" borderId="9" xfId="0" applyNumberFormat="1" applyFont="1" applyFill="1" applyBorder="1" applyProtection="1"/>
    <xf numFmtId="0" fontId="2" fillId="3" borderId="12" xfId="0" applyFont="1" applyFill="1" applyBorder="1" applyAlignment="1" applyProtection="1">
      <alignment horizontal="center"/>
    </xf>
    <xf numFmtId="0" fontId="2" fillId="2" borderId="15" xfId="0" applyFont="1" applyFill="1" applyBorder="1" applyProtection="1"/>
    <xf numFmtId="0" fontId="2" fillId="2" borderId="16" xfId="0" applyFont="1" applyFill="1" applyBorder="1" applyAlignment="1" applyProtection="1">
      <alignment horizontal="center"/>
    </xf>
    <xf numFmtId="44" fontId="2" fillId="2" borderId="16" xfId="0" applyNumberFormat="1" applyFont="1" applyFill="1" applyBorder="1" applyProtection="1"/>
    <xf numFmtId="164" fontId="2" fillId="2" borderId="16" xfId="0" applyNumberFormat="1" applyFont="1" applyFill="1" applyBorder="1" applyProtection="1"/>
    <xf numFmtId="0" fontId="2" fillId="3" borderId="20" xfId="0" applyFont="1" applyFill="1" applyBorder="1" applyProtection="1"/>
    <xf numFmtId="0" fontId="2" fillId="3" borderId="20" xfId="0" applyFont="1" applyFill="1" applyBorder="1" applyAlignment="1" applyProtection="1">
      <alignment horizontal="center"/>
    </xf>
    <xf numFmtId="44" fontId="2" fillId="3" borderId="20" xfId="0" applyNumberFormat="1" applyFont="1" applyFill="1" applyBorder="1" applyProtection="1"/>
    <xf numFmtId="164" fontId="2" fillId="3" borderId="24" xfId="0" applyNumberFormat="1" applyFont="1" applyFill="1" applyBorder="1" applyProtection="1"/>
    <xf numFmtId="0" fontId="2" fillId="3" borderId="12" xfId="0" applyFont="1" applyFill="1" applyBorder="1" applyProtection="1"/>
    <xf numFmtId="44" fontId="2" fillId="3" borderId="12" xfId="0" applyNumberFormat="1" applyFont="1" applyFill="1" applyBorder="1" applyProtection="1"/>
    <xf numFmtId="164" fontId="2" fillId="3" borderId="14" xfId="0" applyNumberFormat="1" applyFont="1" applyFill="1" applyBorder="1" applyProtection="1"/>
    <xf numFmtId="0" fontId="2" fillId="2" borderId="19" xfId="0" applyFont="1" applyFill="1" applyBorder="1" applyProtection="1"/>
    <xf numFmtId="0" fontId="2" fillId="2" borderId="20" xfId="0" applyFont="1" applyFill="1" applyBorder="1" applyAlignment="1" applyProtection="1">
      <alignment horizontal="center"/>
    </xf>
    <xf numFmtId="44" fontId="2" fillId="2" borderId="20" xfId="0" applyNumberFormat="1" applyFont="1" applyFill="1" applyBorder="1" applyProtection="1"/>
    <xf numFmtId="164" fontId="2" fillId="2" borderId="20" xfId="0" applyNumberFormat="1" applyFont="1" applyFill="1" applyBorder="1" applyProtection="1"/>
    <xf numFmtId="0" fontId="2" fillId="2" borderId="10" xfId="0" applyFont="1" applyFill="1" applyBorder="1" applyProtection="1"/>
    <xf numFmtId="0" fontId="2" fillId="2" borderId="12" xfId="0" applyFont="1" applyFill="1" applyBorder="1" applyAlignment="1" applyProtection="1">
      <alignment horizontal="center"/>
    </xf>
    <xf numFmtId="44" fontId="2" fillId="2" borderId="12" xfId="0" applyNumberFormat="1" applyFont="1" applyFill="1" applyBorder="1" applyProtection="1"/>
    <xf numFmtId="164" fontId="2" fillId="2" borderId="12" xfId="0" applyNumberFormat="1" applyFont="1" applyFill="1" applyBorder="1" applyProtection="1"/>
    <xf numFmtId="0" fontId="2" fillId="2" borderId="26" xfId="0" applyFont="1" applyFill="1" applyBorder="1" applyProtection="1"/>
    <xf numFmtId="0" fontId="2" fillId="2" borderId="27" xfId="0" applyFont="1" applyFill="1" applyBorder="1" applyAlignment="1" applyProtection="1">
      <alignment horizontal="center"/>
    </xf>
    <xf numFmtId="44" fontId="2" fillId="2" borderId="27" xfId="0" applyNumberFormat="1" applyFont="1" applyFill="1" applyBorder="1" applyProtection="1"/>
    <xf numFmtId="0" fontId="2" fillId="3" borderId="27" xfId="0" applyFont="1" applyFill="1" applyBorder="1" applyProtection="1"/>
    <xf numFmtId="0" fontId="2" fillId="3" borderId="27" xfId="0" applyFont="1" applyFill="1" applyBorder="1" applyAlignment="1" applyProtection="1">
      <alignment horizontal="center"/>
    </xf>
    <xf numFmtId="44" fontId="2" fillId="3" borderId="27" xfId="0" applyNumberFormat="1" applyFont="1" applyFill="1" applyBorder="1" applyProtection="1"/>
    <xf numFmtId="0" fontId="1" fillId="0" borderId="23" xfId="0" applyFont="1" applyBorder="1" applyProtection="1"/>
    <xf numFmtId="0" fontId="2" fillId="2" borderId="4" xfId="0" applyFont="1" applyFill="1" applyBorder="1" applyProtection="1"/>
    <xf numFmtId="0" fontId="2" fillId="2" borderId="4" xfId="0" applyFont="1" applyFill="1" applyBorder="1" applyAlignment="1" applyProtection="1">
      <alignment horizontal="center"/>
    </xf>
    <xf numFmtId="164" fontId="2" fillId="2" borderId="4" xfId="0" applyNumberFormat="1" applyFont="1" applyFill="1" applyBorder="1" applyProtection="1"/>
    <xf numFmtId="0" fontId="2" fillId="3" borderId="4" xfId="0" applyFont="1" applyFill="1" applyBorder="1" applyProtection="1"/>
    <xf numFmtId="164" fontId="2" fillId="3" borderId="4" xfId="0" applyNumberFormat="1" applyFont="1" applyFill="1" applyBorder="1" applyProtection="1"/>
    <xf numFmtId="0" fontId="2" fillId="4" borderId="23" xfId="0" applyFont="1" applyFill="1" applyBorder="1" applyAlignment="1" applyProtection="1">
      <alignment horizontal="center"/>
    </xf>
    <xf numFmtId="164" fontId="2" fillId="4" borderId="4" xfId="0" applyNumberFormat="1" applyFont="1" applyFill="1" applyBorder="1" applyProtection="1"/>
    <xf numFmtId="164" fontId="2" fillId="3" borderId="4" xfId="0" applyNumberFormat="1" applyFont="1" applyFill="1" applyBorder="1" applyAlignment="1" applyProtection="1">
      <alignment horizontal="center"/>
    </xf>
    <xf numFmtId="164" fontId="2" fillId="4" borderId="5" xfId="0" applyNumberFormat="1" applyFont="1" applyFill="1" applyBorder="1" applyAlignment="1" applyProtection="1">
      <alignment horizontal="center"/>
    </xf>
    <xf numFmtId="164" fontId="2" fillId="3" borderId="5" xfId="0" applyNumberFormat="1" applyFont="1" applyFill="1" applyBorder="1" applyAlignment="1" applyProtection="1">
      <alignment horizontal="center"/>
    </xf>
    <xf numFmtId="0" fontId="9" fillId="0" borderId="51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center"/>
    </xf>
    <xf numFmtId="0" fontId="1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5" fillId="0" borderId="39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9" fillId="0" borderId="52" xfId="0" applyFont="1" applyBorder="1" applyAlignment="1" applyProtection="1">
      <alignment horizontal="center" vertical="center"/>
      <protection locked="0"/>
    </xf>
    <xf numFmtId="0" fontId="9" fillId="0" borderId="32" xfId="0" applyFont="1" applyBorder="1" applyAlignment="1" applyProtection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9" fillId="0" borderId="53" xfId="0" applyFont="1" applyBorder="1" applyAlignment="1" applyProtection="1">
      <alignment horizontal="center" vertical="center"/>
      <protection locked="0"/>
    </xf>
    <xf numFmtId="0" fontId="9" fillId="0" borderId="54" xfId="0" applyFont="1" applyBorder="1" applyAlignment="1" applyProtection="1">
      <alignment horizontal="center" vertical="center"/>
    </xf>
    <xf numFmtId="0" fontId="9" fillId="0" borderId="55" xfId="0" applyFont="1" applyBorder="1" applyAlignment="1">
      <alignment horizontal="center" vertical="center"/>
    </xf>
    <xf numFmtId="0" fontId="9" fillId="0" borderId="49" xfId="0" applyFont="1" applyBorder="1" applyAlignment="1">
      <alignment horizontal="center" vertical="center"/>
    </xf>
    <xf numFmtId="0" fontId="14" fillId="0" borderId="0" xfId="0" applyFont="1"/>
    <xf numFmtId="0" fontId="2" fillId="8" borderId="4" xfId="0" applyFont="1" applyFill="1" applyBorder="1" applyAlignment="1" applyProtection="1">
      <alignment horizontal="center"/>
    </xf>
    <xf numFmtId="0" fontId="2" fillId="8" borderId="5" xfId="0" applyFont="1" applyFill="1" applyBorder="1" applyAlignment="1" applyProtection="1">
      <alignment horizontal="center"/>
    </xf>
    <xf numFmtId="0" fontId="2" fillId="8" borderId="10" xfId="0" applyFont="1" applyFill="1" applyBorder="1" applyProtection="1"/>
    <xf numFmtId="0" fontId="2" fillId="8" borderId="15" xfId="0" applyFont="1" applyFill="1" applyBorder="1" applyProtection="1"/>
    <xf numFmtId="0" fontId="2" fillId="8" borderId="26" xfId="0" applyFont="1" applyFill="1" applyBorder="1" applyProtection="1"/>
    <xf numFmtId="0" fontId="2" fillId="8" borderId="14" xfId="0" applyFont="1" applyFill="1" applyBorder="1" applyProtection="1"/>
    <xf numFmtId="0" fontId="2" fillId="8" borderId="9" xfId="0" applyFont="1" applyFill="1" applyBorder="1" applyProtection="1"/>
    <xf numFmtId="0" fontId="2" fillId="8" borderId="28" xfId="0" applyFont="1" applyFill="1" applyBorder="1" applyProtection="1"/>
    <xf numFmtId="44" fontId="3" fillId="0" borderId="16" xfId="0" applyNumberFormat="1" applyFont="1" applyBorder="1"/>
    <xf numFmtId="44" fontId="3" fillId="3" borderId="16" xfId="0" applyNumberFormat="1" applyFont="1" applyFill="1" applyBorder="1"/>
    <xf numFmtId="0" fontId="9" fillId="0" borderId="52" xfId="0" applyNumberFormat="1" applyFont="1" applyBorder="1" applyAlignment="1" applyProtection="1">
      <alignment horizontal="center" vertical="center"/>
      <protection locked="0"/>
    </xf>
    <xf numFmtId="0" fontId="9" fillId="0" borderId="32" xfId="0" applyNumberFormat="1" applyFont="1" applyBorder="1" applyAlignment="1" applyProtection="1">
      <alignment horizontal="center" vertical="center"/>
    </xf>
    <xf numFmtId="0" fontId="9" fillId="0" borderId="45" xfId="0" applyNumberFormat="1" applyFont="1" applyBorder="1" applyAlignment="1">
      <alignment horizontal="center" vertical="center"/>
    </xf>
    <xf numFmtId="0" fontId="9" fillId="0" borderId="53" xfId="0" applyNumberFormat="1" applyFont="1" applyBorder="1" applyAlignment="1" applyProtection="1">
      <alignment horizontal="center" vertical="center"/>
      <protection locked="0"/>
    </xf>
    <xf numFmtId="0" fontId="9" fillId="0" borderId="54" xfId="0" applyNumberFormat="1" applyFont="1" applyBorder="1" applyAlignment="1" applyProtection="1">
      <alignment horizontal="center" vertical="center"/>
    </xf>
    <xf numFmtId="0" fontId="9" fillId="0" borderId="55" xfId="0" applyNumberFormat="1" applyFont="1" applyBorder="1" applyAlignment="1">
      <alignment horizontal="center" vertical="center"/>
    </xf>
    <xf numFmtId="0" fontId="9" fillId="0" borderId="56" xfId="0" applyFont="1" applyBorder="1" applyAlignment="1">
      <alignment horizontal="center" vertical="center"/>
    </xf>
    <xf numFmtId="0" fontId="2" fillId="2" borderId="6" xfId="0" applyFont="1" applyFill="1" applyBorder="1"/>
    <xf numFmtId="0" fontId="2" fillId="2" borderId="7" xfId="0" applyFont="1" applyFill="1" applyBorder="1" applyAlignment="1">
      <alignment horizontal="center"/>
    </xf>
    <xf numFmtId="44" fontId="2" fillId="2" borderId="7" xfId="0" applyNumberFormat="1" applyFont="1" applyFill="1" applyBorder="1"/>
    <xf numFmtId="164" fontId="2" fillId="2" borderId="8" xfId="0" applyNumberFormat="1" applyFont="1" applyFill="1" applyBorder="1"/>
    <xf numFmtId="0" fontId="2" fillId="3" borderId="16" xfId="0" applyFont="1" applyFill="1" applyBorder="1"/>
    <xf numFmtId="0" fontId="2" fillId="3" borderId="16" xfId="0" applyFont="1" applyFill="1" applyBorder="1" applyAlignment="1">
      <alignment horizontal="center"/>
    </xf>
    <xf numFmtId="44" fontId="2" fillId="3" borderId="16" xfId="0" applyNumberFormat="1" applyFont="1" applyFill="1" applyBorder="1"/>
    <xf numFmtId="164" fontId="2" fillId="3" borderId="9" xfId="0" applyNumberFormat="1" applyFont="1" applyFill="1" applyBorder="1"/>
    <xf numFmtId="0" fontId="2" fillId="2" borderId="15" xfId="0" applyFont="1" applyFill="1" applyBorder="1"/>
    <xf numFmtId="0" fontId="2" fillId="2" borderId="16" xfId="0" applyFont="1" applyFill="1" applyBorder="1" applyAlignment="1">
      <alignment horizontal="center"/>
    </xf>
    <xf numFmtId="44" fontId="2" fillId="2" borderId="16" xfId="0" applyNumberFormat="1" applyFont="1" applyFill="1" applyBorder="1"/>
    <xf numFmtId="164" fontId="2" fillId="2" borderId="16" xfId="0" applyNumberFormat="1" applyFont="1" applyFill="1" applyBorder="1"/>
    <xf numFmtId="0" fontId="2" fillId="3" borderId="20" xfId="0" applyFont="1" applyFill="1" applyBorder="1"/>
    <xf numFmtId="0" fontId="2" fillId="3" borderId="20" xfId="0" applyFont="1" applyFill="1" applyBorder="1" applyAlignment="1">
      <alignment horizontal="center"/>
    </xf>
    <xf numFmtId="44" fontId="2" fillId="3" borderId="20" xfId="0" applyNumberFormat="1" applyFont="1" applyFill="1" applyBorder="1"/>
    <xf numFmtId="164" fontId="2" fillId="3" borderId="24" xfId="0" applyNumberFormat="1" applyFont="1" applyFill="1" applyBorder="1"/>
    <xf numFmtId="0" fontId="2" fillId="3" borderId="12" xfId="0" applyFont="1" applyFill="1" applyBorder="1"/>
    <xf numFmtId="0" fontId="2" fillId="3" borderId="12" xfId="0" applyFont="1" applyFill="1" applyBorder="1" applyAlignment="1">
      <alignment horizontal="center"/>
    </xf>
    <xf numFmtId="44" fontId="2" fillId="3" borderId="12" xfId="0" applyNumberFormat="1" applyFont="1" applyFill="1" applyBorder="1"/>
    <xf numFmtId="164" fontId="2" fillId="3" borderId="14" xfId="0" applyNumberFormat="1" applyFont="1" applyFill="1" applyBorder="1"/>
    <xf numFmtId="0" fontId="2" fillId="2" borderId="19" xfId="0" applyFont="1" applyFill="1" applyBorder="1"/>
    <xf numFmtId="0" fontId="2" fillId="2" borderId="20" xfId="0" applyFont="1" applyFill="1" applyBorder="1" applyAlignment="1">
      <alignment horizontal="center"/>
    </xf>
    <xf numFmtId="44" fontId="2" fillId="2" borderId="20" xfId="0" applyNumberFormat="1" applyFont="1" applyFill="1" applyBorder="1"/>
    <xf numFmtId="164" fontId="2" fillId="2" borderId="20" xfId="0" applyNumberFormat="1" applyFont="1" applyFill="1" applyBorder="1"/>
    <xf numFmtId="0" fontId="6" fillId="0" borderId="0" xfId="0" applyFont="1" applyAlignment="1" applyProtection="1">
      <alignment horizontal="center"/>
    </xf>
    <xf numFmtId="0" fontId="15" fillId="0" borderId="0" xfId="0" applyFont="1" applyAlignment="1" applyProtection="1">
      <alignment horizontal="center"/>
    </xf>
    <xf numFmtId="165" fontId="5" fillId="0" borderId="0" xfId="0" applyNumberFormat="1" applyFont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4" fillId="0" borderId="0" xfId="0" applyFont="1" applyAlignment="1" applyProtection="1">
      <alignment horizontal="center"/>
    </xf>
    <xf numFmtId="0" fontId="10" fillId="0" borderId="39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3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2" fillId="0" borderId="44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45" xfId="0" applyFont="1" applyBorder="1" applyAlignment="1">
      <alignment horizontal="center"/>
    </xf>
    <xf numFmtId="166" fontId="9" fillId="0" borderId="49" xfId="0" applyNumberFormat="1" applyFont="1" applyBorder="1" applyAlignment="1">
      <alignment horizontal="center" vertical="center"/>
    </xf>
    <xf numFmtId="166" fontId="9" fillId="0" borderId="50" xfId="0" applyNumberFormat="1" applyFont="1" applyBorder="1" applyAlignment="1">
      <alignment horizontal="center" vertical="center"/>
    </xf>
    <xf numFmtId="165" fontId="2" fillId="0" borderId="46" xfId="0" applyNumberFormat="1" applyFont="1" applyBorder="1" applyAlignment="1">
      <alignment horizontal="center"/>
    </xf>
    <xf numFmtId="165" fontId="2" fillId="0" borderId="47" xfId="0" applyNumberFormat="1" applyFont="1" applyBorder="1" applyAlignment="1">
      <alignment horizontal="center"/>
    </xf>
    <xf numFmtId="165" fontId="2" fillId="0" borderId="48" xfId="0" applyNumberFormat="1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3" fillId="0" borderId="0" xfId="0" applyFont="1" applyAlignment="1">
      <alignment horizontal="center"/>
    </xf>
    <xf numFmtId="44" fontId="3" fillId="0" borderId="0" xfId="0" applyNumberFormat="1" applyFont="1" applyAlignment="1">
      <alignment horizontal="center"/>
    </xf>
    <xf numFmtId="0" fontId="13" fillId="0" borderId="0" xfId="0" applyFont="1" applyAlignment="1" applyProtection="1">
      <alignment horizontal="center" vertical="center"/>
    </xf>
    <xf numFmtId="165" fontId="1" fillId="0" borderId="0" xfId="0" applyNumberFormat="1" applyFont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12" fillId="7" borderId="0" xfId="0" applyFont="1" applyFill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2" fillId="7" borderId="0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4" fontId="5" fillId="0" borderId="0" xfId="0" applyNumberFormat="1" applyFont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33" xfId="0" applyFont="1" applyBorder="1" applyAlignment="1">
      <alignment horizontal="center"/>
    </xf>
  </cellXfs>
  <cellStyles count="1">
    <cellStyle name="Normal" xfId="0" builtinId="0"/>
  </cellStyles>
  <dxfs count="5"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180457</xdr:rowOff>
    </xdr:from>
    <xdr:to>
      <xdr:col>4</xdr:col>
      <xdr:colOff>114473</xdr:colOff>
      <xdr:row>9</xdr:row>
      <xdr:rowOff>283845</xdr:rowOff>
    </xdr:to>
    <xdr:sp macro="" textlink="">
      <xdr:nvSpPr>
        <xdr:cNvPr id="5" name="Text Box 2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 txBox="1">
          <a:spLocks noChangeArrowheads="1"/>
        </xdr:cNvSpPr>
      </xdr:nvSpPr>
      <xdr:spPr bwMode="auto">
        <a:xfrm>
          <a:off x="0" y="1089662"/>
          <a:ext cx="3041246" cy="83075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5 Shaft Road</a:t>
          </a:r>
          <a:r>
            <a:rPr lang="en-ZA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,</a:t>
          </a:r>
          <a:r>
            <a:rPr lang="en-ZA" sz="1300" b="1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Knights, Germiston</a:t>
          </a:r>
          <a:r>
            <a:rPr lang="en-ZA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,</a:t>
          </a:r>
          <a:r>
            <a:rPr lang="en-ZA" sz="1300" b="1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1401 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Phone: +27 63 236 3034 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300" b="1" i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Tax Num : 9154951249</a:t>
          </a:r>
        </a:p>
        <a:p>
          <a:pPr algn="ctr">
            <a:spcAft>
              <a:spcPts val="0"/>
            </a:spcAft>
          </a:pPr>
          <a:r>
            <a:rPr lang="en-US" sz="1300" b="1" i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Reg</a:t>
          </a:r>
          <a:r>
            <a:rPr lang="en-US" sz="1300" b="1" i="0" baseline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istration : </a:t>
          </a:r>
          <a:r>
            <a:rPr lang="en-US" sz="1300" b="1">
              <a:effectLst/>
              <a:latin typeface="+mn-lt"/>
              <a:ea typeface="+mn-ea"/>
              <a:cs typeface="+mn-cs"/>
            </a:rPr>
            <a:t>2019/528743/07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l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1</xdr:col>
      <xdr:colOff>485775</xdr:colOff>
      <xdr:row>0</xdr:row>
      <xdr:rowOff>104428</xdr:rowOff>
    </xdr:from>
    <xdr:ext cx="1737359" cy="93775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 txBox="1"/>
      </xdr:nvSpPr>
      <xdr:spPr>
        <a:xfrm>
          <a:off x="1213139" y="104428"/>
          <a:ext cx="1737359" cy="937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ZA" sz="1800" b="1"/>
            <a:t>GREEN</a:t>
          </a:r>
          <a:r>
            <a:rPr lang="en-ZA" sz="1800" b="1" baseline="0"/>
            <a:t> ENVIRO </a:t>
          </a:r>
        </a:p>
        <a:p>
          <a:r>
            <a:rPr lang="en-ZA" sz="1800" b="1" baseline="0"/>
            <a:t>SA RECYCLING (PVT) LTD</a:t>
          </a:r>
          <a:endParaRPr lang="en-ZA" sz="1800" b="1"/>
        </a:p>
      </xdr:txBody>
    </xdr:sp>
    <xdr:clientData/>
  </xdr:oneCellAnchor>
  <xdr:twoCellAnchor editAs="oneCell">
    <xdr:from>
      <xdr:col>0</xdr:col>
      <xdr:colOff>95250</xdr:colOff>
      <xdr:row>0</xdr:row>
      <xdr:rowOff>43296</xdr:rowOff>
    </xdr:from>
    <xdr:to>
      <xdr:col>1</xdr:col>
      <xdr:colOff>342553</xdr:colOff>
      <xdr:row>5</xdr:row>
      <xdr:rowOff>162736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43296"/>
          <a:ext cx="974667" cy="10345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175260</xdr:rowOff>
        </xdr:from>
        <xdr:to>
          <xdr:col>6</xdr:col>
          <xdr:colOff>632460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1B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93776" rIns="45720" bIns="493776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mbria Math"/>
                  <a:ea typeface="Cambria Math"/>
                </a:rPr>
                <a:t>Record Purchase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1</xdr:row>
          <xdr:rowOff>175260</xdr:rowOff>
        </xdr:from>
        <xdr:to>
          <xdr:col>7</xdr:col>
          <xdr:colOff>655320</xdr:colOff>
          <xdr:row>4</xdr:row>
          <xdr:rowOff>68580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1B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93776" rIns="45720" bIns="493776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mbria Math"/>
                  <a:ea typeface="Cambria Math"/>
                </a:rPr>
                <a:t>Clear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175260</xdr:rowOff>
        </xdr:from>
        <xdr:to>
          <xdr:col>7</xdr:col>
          <xdr:colOff>22860</xdr:colOff>
          <xdr:row>11</xdr:row>
          <xdr:rowOff>38100</xdr:rowOff>
        </xdr:to>
        <xdr:sp macro="" textlink="">
          <xdr:nvSpPr>
            <xdr:cNvPr id="1061" name="DealerPrices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1B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12</xdr:col>
          <xdr:colOff>30480</xdr:colOff>
          <xdr:row>11</xdr:row>
          <xdr:rowOff>22860</xdr:rowOff>
        </xdr:to>
        <xdr:sp macro="" textlink="">
          <xdr:nvSpPr>
            <xdr:cNvPr id="1073" name="ManualPriceOverride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1B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0</xdr:rowOff>
        </xdr:from>
        <xdr:to>
          <xdr:col>11</xdr:col>
          <xdr:colOff>7620</xdr:colOff>
          <xdr:row>7</xdr:row>
          <xdr:rowOff>0</xdr:rowOff>
        </xdr:to>
        <xdr:sp macro="" textlink="">
          <xdr:nvSpPr>
            <xdr:cNvPr id="1079" name="PrinterOff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1B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632460</xdr:colOff>
          <xdr:row>7</xdr:row>
          <xdr:rowOff>30480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1B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93776" rIns="45720" bIns="493776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mbria Math"/>
                  <a:ea typeface="Cambria Math"/>
                </a:rPr>
                <a:t>Reprint Receipt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53</xdr:row>
          <xdr:rowOff>175260</xdr:rowOff>
        </xdr:from>
        <xdr:to>
          <xdr:col>4</xdr:col>
          <xdr:colOff>0</xdr:colOff>
          <xdr:row>57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C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ZA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Summaries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180457</xdr:rowOff>
    </xdr:from>
    <xdr:to>
      <xdr:col>4</xdr:col>
      <xdr:colOff>114473</xdr:colOff>
      <xdr:row>9</xdr:row>
      <xdr:rowOff>283845</xdr:rowOff>
    </xdr:to>
    <xdr:sp macro="" textlink="">
      <xdr:nvSpPr>
        <xdr:cNvPr id="17" name="Text Box 2">
          <a:extLst>
            <a:ext uri="{FF2B5EF4-FFF2-40B4-BE49-F238E27FC236}">
              <a16:creationId xmlns:a16="http://schemas.microsoft.com/office/drawing/2014/main" id="{00000000-0008-0000-1F00-000011000000}"/>
            </a:ext>
          </a:extLst>
        </xdr:cNvPr>
        <xdr:cNvSpPr txBox="1">
          <a:spLocks noChangeArrowheads="1"/>
        </xdr:cNvSpPr>
      </xdr:nvSpPr>
      <xdr:spPr bwMode="auto">
        <a:xfrm>
          <a:off x="0" y="1110097"/>
          <a:ext cx="3055793" cy="8349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5 Shaft Road</a:t>
          </a:r>
          <a:r>
            <a:rPr lang="en-ZA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,</a:t>
          </a:r>
          <a:r>
            <a:rPr lang="en-ZA" sz="1300" b="1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Knights, Germiston</a:t>
          </a:r>
          <a:r>
            <a:rPr lang="en-ZA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,</a:t>
          </a:r>
          <a:r>
            <a:rPr lang="en-ZA" sz="1300" b="1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1401 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Phone: +27 63 236 3034 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300" b="1" i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Tax Num : 9154951249</a:t>
          </a:r>
        </a:p>
        <a:p>
          <a:pPr algn="ctr">
            <a:spcAft>
              <a:spcPts val="0"/>
            </a:spcAft>
          </a:pPr>
          <a:r>
            <a:rPr lang="en-US" sz="1300" b="1" i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Reg</a:t>
          </a:r>
          <a:r>
            <a:rPr lang="en-US" sz="1300" b="1" i="0" baseline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istration : </a:t>
          </a:r>
          <a:r>
            <a:rPr lang="en-US" sz="1300" b="1">
              <a:effectLst/>
              <a:latin typeface="+mn-lt"/>
              <a:ea typeface="+mn-ea"/>
              <a:cs typeface="+mn-cs"/>
            </a:rPr>
            <a:t>2019/528743/07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l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1</xdr:col>
      <xdr:colOff>485775</xdr:colOff>
      <xdr:row>0</xdr:row>
      <xdr:rowOff>104428</xdr:rowOff>
    </xdr:from>
    <xdr:ext cx="1737359" cy="93775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1F00-000012000000}"/>
            </a:ext>
          </a:extLst>
        </xdr:cNvPr>
        <xdr:cNvSpPr txBox="1"/>
      </xdr:nvSpPr>
      <xdr:spPr>
        <a:xfrm>
          <a:off x="1209675" y="104428"/>
          <a:ext cx="1737359" cy="937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ZA" sz="1800" b="1"/>
            <a:t>GREEN</a:t>
          </a:r>
          <a:r>
            <a:rPr lang="en-ZA" sz="1800" b="1" baseline="0"/>
            <a:t> ENVIRO </a:t>
          </a:r>
        </a:p>
        <a:p>
          <a:r>
            <a:rPr lang="en-ZA" sz="1800" b="1" baseline="0"/>
            <a:t>SA RECYCLING (PVT) LTD</a:t>
          </a:r>
          <a:endParaRPr lang="en-ZA" sz="1800" b="1"/>
        </a:p>
      </xdr:txBody>
    </xdr:sp>
    <xdr:clientData/>
  </xdr:oneCellAnchor>
  <xdr:twoCellAnchor editAs="oneCell">
    <xdr:from>
      <xdr:col>0</xdr:col>
      <xdr:colOff>95250</xdr:colOff>
      <xdr:row>0</xdr:row>
      <xdr:rowOff>43296</xdr:rowOff>
    </xdr:from>
    <xdr:to>
      <xdr:col>1</xdr:col>
      <xdr:colOff>342553</xdr:colOff>
      <xdr:row>5</xdr:row>
      <xdr:rowOff>177976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1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43296"/>
          <a:ext cx="971203" cy="104908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180457</xdr:rowOff>
    </xdr:from>
    <xdr:to>
      <xdr:col>4</xdr:col>
      <xdr:colOff>114473</xdr:colOff>
      <xdr:row>9</xdr:row>
      <xdr:rowOff>283845</xdr:rowOff>
    </xdr:to>
    <xdr:sp macro="" textlink="">
      <xdr:nvSpPr>
        <xdr:cNvPr id="23" name="Text Box 2">
          <a:extLst>
            <a:ext uri="{FF2B5EF4-FFF2-40B4-BE49-F238E27FC236}">
              <a16:creationId xmlns:a16="http://schemas.microsoft.com/office/drawing/2014/main" id="{00000000-0008-0000-1F00-000017000000}"/>
            </a:ext>
          </a:extLst>
        </xdr:cNvPr>
        <xdr:cNvSpPr txBox="1">
          <a:spLocks noChangeArrowheads="1"/>
        </xdr:cNvSpPr>
      </xdr:nvSpPr>
      <xdr:spPr bwMode="auto">
        <a:xfrm>
          <a:off x="0" y="1110097"/>
          <a:ext cx="3055793" cy="8349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5 Shaft Road</a:t>
          </a:r>
          <a:r>
            <a:rPr lang="en-ZA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,</a:t>
          </a:r>
          <a:r>
            <a:rPr lang="en-ZA" sz="1300" b="1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Knights, Germiston</a:t>
          </a:r>
          <a:r>
            <a:rPr lang="en-ZA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,</a:t>
          </a:r>
          <a:r>
            <a:rPr lang="en-ZA" sz="1300" b="1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1401 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Phone: +27 63 236 3034 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300" b="1" i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Tax Num : 9154951249</a:t>
          </a:r>
        </a:p>
        <a:p>
          <a:pPr algn="ctr">
            <a:spcAft>
              <a:spcPts val="0"/>
            </a:spcAft>
          </a:pPr>
          <a:r>
            <a:rPr lang="en-US" sz="1300" b="1" i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Reg</a:t>
          </a:r>
          <a:r>
            <a:rPr lang="en-US" sz="1300" b="1" i="0" baseline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istration : </a:t>
          </a:r>
          <a:r>
            <a:rPr lang="en-US" sz="1300" b="1">
              <a:effectLst/>
              <a:latin typeface="+mn-lt"/>
              <a:ea typeface="+mn-ea"/>
              <a:cs typeface="+mn-cs"/>
            </a:rPr>
            <a:t>2019/528743/07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l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1</xdr:col>
      <xdr:colOff>485775</xdr:colOff>
      <xdr:row>0</xdr:row>
      <xdr:rowOff>104428</xdr:rowOff>
    </xdr:from>
    <xdr:ext cx="1737359" cy="937757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1F00-000018000000}"/>
            </a:ext>
          </a:extLst>
        </xdr:cNvPr>
        <xdr:cNvSpPr txBox="1"/>
      </xdr:nvSpPr>
      <xdr:spPr>
        <a:xfrm>
          <a:off x="1209675" y="104428"/>
          <a:ext cx="1737359" cy="937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ZA" sz="1800" b="1"/>
            <a:t>GREEN</a:t>
          </a:r>
          <a:r>
            <a:rPr lang="en-ZA" sz="1800" b="1" baseline="0"/>
            <a:t> ENVIRO </a:t>
          </a:r>
        </a:p>
        <a:p>
          <a:r>
            <a:rPr lang="en-ZA" sz="1800" b="1" baseline="0"/>
            <a:t>SA RECYCLING (PVT) LTD</a:t>
          </a:r>
          <a:endParaRPr lang="en-ZA" sz="1800" b="1"/>
        </a:p>
      </xdr:txBody>
    </xdr:sp>
    <xdr:clientData/>
  </xdr:oneCellAnchor>
  <xdr:twoCellAnchor editAs="oneCell">
    <xdr:from>
      <xdr:col>0</xdr:col>
      <xdr:colOff>95250</xdr:colOff>
      <xdr:row>0</xdr:row>
      <xdr:rowOff>43296</xdr:rowOff>
    </xdr:from>
    <xdr:to>
      <xdr:col>1</xdr:col>
      <xdr:colOff>342553</xdr:colOff>
      <xdr:row>5</xdr:row>
      <xdr:rowOff>177976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1F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43296"/>
          <a:ext cx="971203" cy="104908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180457</xdr:rowOff>
    </xdr:from>
    <xdr:to>
      <xdr:col>4</xdr:col>
      <xdr:colOff>114473</xdr:colOff>
      <xdr:row>9</xdr:row>
      <xdr:rowOff>283845</xdr:rowOff>
    </xdr:to>
    <xdr:sp macro="" textlink="">
      <xdr:nvSpPr>
        <xdr:cNvPr id="29" name="Text Box 2"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 txBox="1">
          <a:spLocks noChangeArrowheads="1"/>
        </xdr:cNvSpPr>
      </xdr:nvSpPr>
      <xdr:spPr bwMode="auto">
        <a:xfrm>
          <a:off x="0" y="1110097"/>
          <a:ext cx="3055793" cy="8349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5 Shaft Road</a:t>
          </a:r>
          <a:r>
            <a:rPr lang="en-ZA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,</a:t>
          </a:r>
          <a:r>
            <a:rPr lang="en-ZA" sz="1300" b="1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Knights, Germiston</a:t>
          </a:r>
          <a:r>
            <a:rPr lang="en-ZA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,</a:t>
          </a:r>
          <a:r>
            <a:rPr lang="en-ZA" sz="1300" b="1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1401 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Phone: +27 63 236 3034 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300" b="1" i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Tax Num : 9154951249</a:t>
          </a:r>
        </a:p>
        <a:p>
          <a:pPr algn="ctr">
            <a:spcAft>
              <a:spcPts val="0"/>
            </a:spcAft>
          </a:pPr>
          <a:r>
            <a:rPr lang="en-US" sz="1300" b="1" i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Reg</a:t>
          </a:r>
          <a:r>
            <a:rPr lang="en-US" sz="1300" b="1" i="0" baseline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istration : </a:t>
          </a:r>
          <a:r>
            <a:rPr lang="en-US" sz="1300" b="1">
              <a:effectLst/>
              <a:latin typeface="+mn-lt"/>
              <a:ea typeface="+mn-ea"/>
              <a:cs typeface="+mn-cs"/>
            </a:rPr>
            <a:t>2019/528743/07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l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1</xdr:col>
      <xdr:colOff>485775</xdr:colOff>
      <xdr:row>0</xdr:row>
      <xdr:rowOff>104428</xdr:rowOff>
    </xdr:from>
    <xdr:ext cx="1737359" cy="937757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1F00-00001E000000}"/>
            </a:ext>
          </a:extLst>
        </xdr:cNvPr>
        <xdr:cNvSpPr txBox="1"/>
      </xdr:nvSpPr>
      <xdr:spPr>
        <a:xfrm>
          <a:off x="1209675" y="104428"/>
          <a:ext cx="1737359" cy="937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ZA" sz="1800" b="1"/>
            <a:t>GREEN</a:t>
          </a:r>
          <a:r>
            <a:rPr lang="en-ZA" sz="1800" b="1" baseline="0"/>
            <a:t> ENVIRO </a:t>
          </a:r>
        </a:p>
        <a:p>
          <a:r>
            <a:rPr lang="en-ZA" sz="1800" b="1" baseline="0"/>
            <a:t>SA RECYCLING (PVT) LTD</a:t>
          </a:r>
          <a:endParaRPr lang="en-ZA" sz="1800" b="1"/>
        </a:p>
      </xdr:txBody>
    </xdr:sp>
    <xdr:clientData/>
  </xdr:oneCellAnchor>
  <xdr:twoCellAnchor editAs="oneCell">
    <xdr:from>
      <xdr:col>0</xdr:col>
      <xdr:colOff>95250</xdr:colOff>
      <xdr:row>0</xdr:row>
      <xdr:rowOff>43296</xdr:rowOff>
    </xdr:from>
    <xdr:to>
      <xdr:col>1</xdr:col>
      <xdr:colOff>342553</xdr:colOff>
      <xdr:row>5</xdr:row>
      <xdr:rowOff>177976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1F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43296"/>
          <a:ext cx="971203" cy="10490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4D9F4-AE00-4FF8-B241-FA3F6F9C2E22}">
  <sheetPr codeName="Sheet58"/>
  <dimension ref="A1:Z130"/>
  <sheetViews>
    <sheetView topLeftCell="P7" zoomScale="80" zoomScaleNormal="80" workbookViewId="0">
      <selection activeCell="N140" sqref="N130:N140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44166</v>
      </c>
      <c r="F1" s="189"/>
      <c r="G1" s="189"/>
    </row>
    <row r="2" spans="2:26" ht="18" x14ac:dyDescent="0.35">
      <c r="B2" s="190" t="s">
        <v>0</v>
      </c>
      <c r="C2" s="190"/>
      <c r="D2" s="1">
        <v>12847</v>
      </c>
    </row>
    <row r="3" spans="2:26" ht="18" x14ac:dyDescent="0.35">
      <c r="B3" s="190" t="s">
        <v>1</v>
      </c>
      <c r="C3" s="190"/>
      <c r="D3" s="77">
        <f>(D2-E130-I130)</f>
        <v>6242.8999999999987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163">
        <v>1</v>
      </c>
      <c r="C9" s="164" t="s">
        <v>76</v>
      </c>
      <c r="D9" s="165">
        <v>2.6</v>
      </c>
      <c r="E9" s="166">
        <v>2.6</v>
      </c>
      <c r="F9" s="167">
        <v>1</v>
      </c>
      <c r="G9" s="168" t="s">
        <v>47</v>
      </c>
      <c r="H9" s="169">
        <v>13</v>
      </c>
      <c r="I9" s="170">
        <v>13</v>
      </c>
      <c r="J9" s="83"/>
      <c r="K9" s="83"/>
      <c r="L9" s="3"/>
      <c r="M9" s="4"/>
      <c r="N9" s="5"/>
      <c r="O9" s="6"/>
      <c r="P9" s="7"/>
      <c r="Q9" s="8"/>
      <c r="R9" s="2"/>
      <c r="S9" s="3" t="s">
        <v>117</v>
      </c>
      <c r="T9" s="9">
        <v>5000</v>
      </c>
      <c r="U9" s="2"/>
      <c r="V9" s="10" t="s">
        <v>116</v>
      </c>
      <c r="W9" s="8">
        <v>120</v>
      </c>
      <c r="Y9" s="148" t="s">
        <v>88</v>
      </c>
      <c r="Z9" s="151">
        <f>SUMIF($C$9:$C$129, Y9, $B$9:$B$129)</f>
        <v>181</v>
      </c>
    </row>
    <row r="10" spans="2:26" ht="18" x14ac:dyDescent="0.35">
      <c r="B10" s="171">
        <v>4</v>
      </c>
      <c r="C10" s="172" t="s">
        <v>76</v>
      </c>
      <c r="D10" s="173">
        <v>2.6</v>
      </c>
      <c r="E10" s="174">
        <v>10.4</v>
      </c>
      <c r="F10" s="167">
        <v>4</v>
      </c>
      <c r="G10" s="168" t="s">
        <v>90</v>
      </c>
      <c r="H10" s="169">
        <v>90</v>
      </c>
      <c r="I10" s="170">
        <v>360</v>
      </c>
      <c r="J10" s="83"/>
      <c r="K10" s="83"/>
      <c r="L10" s="12"/>
      <c r="M10" s="13"/>
      <c r="N10" s="14"/>
      <c r="O10" s="11"/>
      <c r="P10" s="15"/>
      <c r="Q10" s="16"/>
      <c r="R10" s="2"/>
      <c r="S10" s="12" t="s">
        <v>118</v>
      </c>
      <c r="T10" s="17">
        <v>480</v>
      </c>
      <c r="U10" s="2"/>
      <c r="V10" s="18"/>
      <c r="W10" s="8"/>
      <c r="Y10" s="149" t="s">
        <v>76</v>
      </c>
      <c r="Z10" s="151">
        <f>SUMIF($C$9:$C$129, Y10, $B$9:$B$129)</f>
        <v>232</v>
      </c>
    </row>
    <row r="11" spans="2:26" ht="18" x14ac:dyDescent="0.35">
      <c r="B11" s="171">
        <v>14.5</v>
      </c>
      <c r="C11" s="172" t="s">
        <v>77</v>
      </c>
      <c r="D11" s="173">
        <v>2.4</v>
      </c>
      <c r="E11" s="174">
        <v>34.799999999999997</v>
      </c>
      <c r="F11" s="167">
        <v>2.5</v>
      </c>
      <c r="G11" s="168" t="s">
        <v>67</v>
      </c>
      <c r="H11" s="169">
        <v>92</v>
      </c>
      <c r="I11" s="170">
        <v>230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>SUMIF($C$9:$C$129, Y11, $B$9:$B$129)</f>
        <v>1192.5</v>
      </c>
    </row>
    <row r="12" spans="2:26" ht="18" x14ac:dyDescent="0.35">
      <c r="B12" s="171">
        <v>6</v>
      </c>
      <c r="C12" s="172" t="s">
        <v>77</v>
      </c>
      <c r="D12" s="173">
        <v>2.4</v>
      </c>
      <c r="E12" s="174">
        <v>14.399999999999999</v>
      </c>
      <c r="F12" s="167">
        <v>0.5</v>
      </c>
      <c r="G12" s="168" t="s">
        <v>18</v>
      </c>
      <c r="H12" s="169">
        <v>13</v>
      </c>
      <c r="I12" s="170">
        <v>6.5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171">
        <v>5</v>
      </c>
      <c r="C13" s="172" t="s">
        <v>77</v>
      </c>
      <c r="D13" s="173">
        <v>2.4</v>
      </c>
      <c r="E13" s="174">
        <v>12</v>
      </c>
      <c r="F13" s="167">
        <v>0.5</v>
      </c>
      <c r="G13" s="168" t="s">
        <v>94</v>
      </c>
      <c r="H13" s="169">
        <v>13</v>
      </c>
      <c r="I13" s="170">
        <v>6.5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0">SUMIF($G$9:$G$129, Y13, $F$9:$F$129)</f>
        <v>11</v>
      </c>
    </row>
    <row r="14" spans="2:26" ht="18" x14ac:dyDescent="0.35">
      <c r="B14" s="171">
        <v>753</v>
      </c>
      <c r="C14" s="172" t="s">
        <v>77</v>
      </c>
      <c r="D14" s="173">
        <v>2.4</v>
      </c>
      <c r="E14" s="174">
        <v>1807.2</v>
      </c>
      <c r="F14" s="167">
        <v>0.2</v>
      </c>
      <c r="G14" s="168" t="s">
        <v>90</v>
      </c>
      <c r="H14" s="169">
        <v>90</v>
      </c>
      <c r="I14" s="170">
        <v>18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0"/>
        <v>15</v>
      </c>
    </row>
    <row r="15" spans="2:26" ht="18" x14ac:dyDescent="0.35">
      <c r="B15" s="171">
        <v>9.5</v>
      </c>
      <c r="C15" s="172" t="s">
        <v>77</v>
      </c>
      <c r="D15" s="173">
        <v>2.4</v>
      </c>
      <c r="E15" s="174">
        <v>22.8</v>
      </c>
      <c r="F15" s="167">
        <v>2</v>
      </c>
      <c r="G15" s="168" t="s">
        <v>18</v>
      </c>
      <c r="H15" s="169">
        <v>13</v>
      </c>
      <c r="I15" s="170">
        <v>26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0"/>
        <v>22</v>
      </c>
    </row>
    <row r="16" spans="2:26" ht="18" x14ac:dyDescent="0.35">
      <c r="B16" s="171">
        <v>85</v>
      </c>
      <c r="C16" s="172" t="s">
        <v>88</v>
      </c>
      <c r="D16" s="173">
        <v>1.2</v>
      </c>
      <c r="E16" s="174">
        <v>102</v>
      </c>
      <c r="F16" s="167">
        <v>2</v>
      </c>
      <c r="G16" s="168" t="s">
        <v>47</v>
      </c>
      <c r="H16" s="169">
        <v>13</v>
      </c>
      <c r="I16" s="170">
        <v>26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0"/>
        <v>0.5</v>
      </c>
    </row>
    <row r="17" spans="2:26" ht="18" x14ac:dyDescent="0.35">
      <c r="B17" s="171">
        <v>3</v>
      </c>
      <c r="C17" s="172" t="s">
        <v>88</v>
      </c>
      <c r="D17" s="173">
        <v>1.2</v>
      </c>
      <c r="E17" s="174">
        <v>3.5999999999999996</v>
      </c>
      <c r="F17" s="167">
        <v>0.2</v>
      </c>
      <c r="G17" s="168" t="s">
        <v>94</v>
      </c>
      <c r="H17" s="169">
        <v>13</v>
      </c>
      <c r="I17" s="170">
        <v>2.6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0"/>
        <v>2.5</v>
      </c>
    </row>
    <row r="18" spans="2:26" ht="18" x14ac:dyDescent="0.35">
      <c r="B18" s="171">
        <v>5.5</v>
      </c>
      <c r="C18" s="172" t="s">
        <v>77</v>
      </c>
      <c r="D18" s="173">
        <v>2.4</v>
      </c>
      <c r="E18" s="174">
        <v>13.2</v>
      </c>
      <c r="F18" s="167">
        <v>0.5</v>
      </c>
      <c r="G18" s="168" t="s">
        <v>22</v>
      </c>
      <c r="H18" s="169">
        <v>94</v>
      </c>
      <c r="I18" s="170">
        <v>47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0"/>
        <v>11.4</v>
      </c>
    </row>
    <row r="19" spans="2:26" ht="18" x14ac:dyDescent="0.35">
      <c r="B19" s="171">
        <v>2.5</v>
      </c>
      <c r="C19" s="172" t="s">
        <v>88</v>
      </c>
      <c r="D19" s="173">
        <v>1.2</v>
      </c>
      <c r="E19" s="174">
        <v>3</v>
      </c>
      <c r="F19" s="167">
        <v>0.5</v>
      </c>
      <c r="G19" s="168" t="s">
        <v>18</v>
      </c>
      <c r="H19" s="169">
        <v>13</v>
      </c>
      <c r="I19" s="170">
        <v>6.5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0"/>
        <v>0</v>
      </c>
    </row>
    <row r="20" spans="2:26" ht="18" x14ac:dyDescent="0.35">
      <c r="B20" s="171">
        <v>3.5</v>
      </c>
      <c r="C20" s="172" t="s">
        <v>76</v>
      </c>
      <c r="D20" s="173">
        <v>2.6</v>
      </c>
      <c r="E20" s="174">
        <v>9.1</v>
      </c>
      <c r="F20" s="167">
        <v>0.5</v>
      </c>
      <c r="G20" s="168" t="s">
        <v>94</v>
      </c>
      <c r="H20" s="169">
        <v>13</v>
      </c>
      <c r="I20" s="170">
        <v>6.5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0"/>
        <v>2.6000000000000005</v>
      </c>
    </row>
    <row r="21" spans="2:26" ht="18" x14ac:dyDescent="0.35">
      <c r="B21" s="171">
        <v>1.5</v>
      </c>
      <c r="C21" s="172" t="s">
        <v>77</v>
      </c>
      <c r="D21" s="173">
        <v>2.4</v>
      </c>
      <c r="E21" s="174">
        <v>3.5999999999999996</v>
      </c>
      <c r="F21" s="167">
        <v>0.5</v>
      </c>
      <c r="G21" s="168" t="s">
        <v>92</v>
      </c>
      <c r="H21" s="169">
        <v>75</v>
      </c>
      <c r="I21" s="170">
        <v>37.5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0"/>
        <v>0</v>
      </c>
    </row>
    <row r="22" spans="2:26" ht="18" x14ac:dyDescent="0.35">
      <c r="B22" s="171">
        <v>9</v>
      </c>
      <c r="C22" s="172" t="s">
        <v>88</v>
      </c>
      <c r="D22" s="173">
        <v>1.2</v>
      </c>
      <c r="E22" s="174">
        <v>10.799999999999999</v>
      </c>
      <c r="F22" s="167">
        <v>0.5</v>
      </c>
      <c r="G22" s="168" t="s">
        <v>92</v>
      </c>
      <c r="H22" s="169">
        <v>75</v>
      </c>
      <c r="I22" s="170">
        <v>37.5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0"/>
        <v>0</v>
      </c>
    </row>
    <row r="23" spans="2:26" ht="18" x14ac:dyDescent="0.35">
      <c r="B23" s="171">
        <v>15.5</v>
      </c>
      <c r="C23" s="172" t="s">
        <v>76</v>
      </c>
      <c r="D23" s="173">
        <v>2.6</v>
      </c>
      <c r="E23" s="174">
        <v>40.300000000000004</v>
      </c>
      <c r="F23" s="167">
        <v>0.2</v>
      </c>
      <c r="G23" s="168" t="s">
        <v>90</v>
      </c>
      <c r="H23" s="169">
        <v>90</v>
      </c>
      <c r="I23" s="170">
        <v>18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0"/>
        <v>10.199999999999999</v>
      </c>
    </row>
    <row r="24" spans="2:26" ht="18" x14ac:dyDescent="0.35">
      <c r="B24" s="171">
        <v>4.5</v>
      </c>
      <c r="C24" s="172" t="s">
        <v>88</v>
      </c>
      <c r="D24" s="173">
        <v>1.2</v>
      </c>
      <c r="E24" s="174">
        <v>5.3999999999999995</v>
      </c>
      <c r="F24" s="167">
        <v>4</v>
      </c>
      <c r="G24" s="168" t="s">
        <v>18</v>
      </c>
      <c r="H24" s="169">
        <v>13</v>
      </c>
      <c r="I24" s="170">
        <v>52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0"/>
        <v>0</v>
      </c>
    </row>
    <row r="25" spans="2:26" ht="18" x14ac:dyDescent="0.35">
      <c r="B25" s="171">
        <v>1.5</v>
      </c>
      <c r="C25" s="172" t="s">
        <v>77</v>
      </c>
      <c r="D25" s="173">
        <v>2.4</v>
      </c>
      <c r="E25" s="174">
        <v>3.5999999999999996</v>
      </c>
      <c r="F25" s="167">
        <v>0.5</v>
      </c>
      <c r="G25" s="168" t="s">
        <v>94</v>
      </c>
      <c r="H25" s="169">
        <v>13</v>
      </c>
      <c r="I25" s="170">
        <v>6.5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0"/>
        <v>0</v>
      </c>
    </row>
    <row r="26" spans="2:26" ht="18" x14ac:dyDescent="0.35">
      <c r="B26" s="171">
        <v>14.5</v>
      </c>
      <c r="C26" s="172" t="s">
        <v>77</v>
      </c>
      <c r="D26" s="173">
        <v>2.4</v>
      </c>
      <c r="E26" s="174">
        <v>34.799999999999997</v>
      </c>
      <c r="F26" s="167">
        <v>2</v>
      </c>
      <c r="G26" s="168" t="s">
        <v>18</v>
      </c>
      <c r="H26" s="169">
        <v>13</v>
      </c>
      <c r="I26" s="170">
        <v>26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0"/>
        <v>0</v>
      </c>
    </row>
    <row r="27" spans="2:26" ht="18" x14ac:dyDescent="0.35">
      <c r="B27" s="171">
        <v>8</v>
      </c>
      <c r="C27" s="172" t="s">
        <v>88</v>
      </c>
      <c r="D27" s="173">
        <v>1.2</v>
      </c>
      <c r="E27" s="174">
        <v>9.6</v>
      </c>
      <c r="F27" s="167">
        <v>0.5</v>
      </c>
      <c r="G27" s="168" t="s">
        <v>90</v>
      </c>
      <c r="H27" s="169">
        <v>90</v>
      </c>
      <c r="I27" s="170">
        <v>45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0"/>
        <v>12.7</v>
      </c>
    </row>
    <row r="28" spans="2:26" ht="18" x14ac:dyDescent="0.35">
      <c r="B28" s="171">
        <v>67</v>
      </c>
      <c r="C28" s="172" t="s">
        <v>88</v>
      </c>
      <c r="D28" s="173">
        <v>1.2</v>
      </c>
      <c r="E28" s="174">
        <v>80.399999999999991</v>
      </c>
      <c r="F28" s="167">
        <v>0.5</v>
      </c>
      <c r="G28" s="168" t="s">
        <v>84</v>
      </c>
      <c r="H28" s="169">
        <v>5</v>
      </c>
      <c r="I28" s="170">
        <v>2.5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0"/>
        <v>0</v>
      </c>
    </row>
    <row r="29" spans="2:26" ht="18" x14ac:dyDescent="0.35">
      <c r="B29" s="171">
        <v>11.5</v>
      </c>
      <c r="C29" s="172" t="s">
        <v>77</v>
      </c>
      <c r="D29" s="173">
        <v>2.4</v>
      </c>
      <c r="E29" s="174">
        <v>27.599999999999998</v>
      </c>
      <c r="F29" s="167">
        <v>2.5</v>
      </c>
      <c r="G29" s="168" t="s">
        <v>18</v>
      </c>
      <c r="H29" s="169">
        <v>13</v>
      </c>
      <c r="I29" s="170">
        <v>32.5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0"/>
        <v>0</v>
      </c>
    </row>
    <row r="30" spans="2:26" ht="18" x14ac:dyDescent="0.35">
      <c r="B30" s="171">
        <v>36.5</v>
      </c>
      <c r="C30" s="172" t="s">
        <v>76</v>
      </c>
      <c r="D30" s="173">
        <v>2.6</v>
      </c>
      <c r="E30" s="174">
        <v>94.9</v>
      </c>
      <c r="F30" s="167">
        <v>0.5</v>
      </c>
      <c r="G30" s="168" t="s">
        <v>23</v>
      </c>
      <c r="H30" s="169">
        <v>55</v>
      </c>
      <c r="I30" s="170">
        <v>27.5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0"/>
        <v>0</v>
      </c>
    </row>
    <row r="31" spans="2:26" ht="18" x14ac:dyDescent="0.35">
      <c r="B31" s="171">
        <v>2.5</v>
      </c>
      <c r="C31" s="172" t="s">
        <v>76</v>
      </c>
      <c r="D31" s="173">
        <v>2.6</v>
      </c>
      <c r="E31" s="174">
        <v>6.5</v>
      </c>
      <c r="F31" s="167">
        <v>1</v>
      </c>
      <c r="G31" s="168" t="s">
        <v>94</v>
      </c>
      <c r="H31" s="169">
        <v>13</v>
      </c>
      <c r="I31" s="170">
        <v>13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0"/>
        <v>0</v>
      </c>
    </row>
    <row r="32" spans="2:26" ht="18" x14ac:dyDescent="0.35">
      <c r="B32" s="171">
        <v>5</v>
      </c>
      <c r="C32" s="172" t="s">
        <v>77</v>
      </c>
      <c r="D32" s="173">
        <v>2.4</v>
      </c>
      <c r="E32" s="174">
        <v>12</v>
      </c>
      <c r="F32" s="167">
        <v>0.5</v>
      </c>
      <c r="G32" s="168" t="s">
        <v>90</v>
      </c>
      <c r="H32" s="169">
        <v>90</v>
      </c>
      <c r="I32" s="170">
        <v>45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0"/>
        <v>0</v>
      </c>
    </row>
    <row r="33" spans="2:26" ht="18" x14ac:dyDescent="0.35">
      <c r="B33" s="171">
        <v>7.5</v>
      </c>
      <c r="C33" s="172" t="s">
        <v>76</v>
      </c>
      <c r="D33" s="173">
        <v>2.6</v>
      </c>
      <c r="E33" s="174">
        <v>19.5</v>
      </c>
      <c r="F33" s="167">
        <v>3</v>
      </c>
      <c r="G33" s="168" t="s">
        <v>18</v>
      </c>
      <c r="H33" s="169">
        <v>13</v>
      </c>
      <c r="I33" s="170">
        <v>39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0"/>
        <v>0</v>
      </c>
    </row>
    <row r="34" spans="2:26" ht="18" x14ac:dyDescent="0.35">
      <c r="B34" s="171">
        <v>15.5</v>
      </c>
      <c r="C34" s="172" t="s">
        <v>76</v>
      </c>
      <c r="D34" s="173">
        <v>2.6</v>
      </c>
      <c r="E34" s="174">
        <v>40.300000000000004</v>
      </c>
      <c r="F34" s="167">
        <v>11</v>
      </c>
      <c r="G34" s="168" t="s">
        <v>20</v>
      </c>
      <c r="H34" s="169">
        <v>1</v>
      </c>
      <c r="I34" s="170">
        <v>11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0"/>
        <v>0</v>
      </c>
    </row>
    <row r="35" spans="2:26" ht="18" x14ac:dyDescent="0.35">
      <c r="B35" s="171">
        <v>25</v>
      </c>
      <c r="C35" s="172" t="s">
        <v>77</v>
      </c>
      <c r="D35" s="173">
        <v>2.4</v>
      </c>
      <c r="E35" s="174">
        <v>60</v>
      </c>
      <c r="F35" s="167">
        <v>10</v>
      </c>
      <c r="G35" s="168" t="s">
        <v>19</v>
      </c>
      <c r="H35" s="169">
        <v>2</v>
      </c>
      <c r="I35" s="170">
        <v>20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0"/>
        <v>0</v>
      </c>
    </row>
    <row r="36" spans="2:26" ht="18" x14ac:dyDescent="0.35">
      <c r="B36" s="171">
        <v>2.5</v>
      </c>
      <c r="C36" s="172" t="s">
        <v>77</v>
      </c>
      <c r="D36" s="173">
        <v>2.4</v>
      </c>
      <c r="E36" s="174">
        <v>6</v>
      </c>
      <c r="F36" s="167">
        <v>1</v>
      </c>
      <c r="G36" s="168" t="s">
        <v>94</v>
      </c>
      <c r="H36" s="169">
        <v>13</v>
      </c>
      <c r="I36" s="170">
        <v>13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0"/>
        <v>0</v>
      </c>
    </row>
    <row r="37" spans="2:26" ht="18" x14ac:dyDescent="0.35">
      <c r="B37" s="171">
        <v>11</v>
      </c>
      <c r="C37" s="172" t="s">
        <v>76</v>
      </c>
      <c r="D37" s="173">
        <v>2.6</v>
      </c>
      <c r="E37" s="174">
        <v>28.6</v>
      </c>
      <c r="F37" s="167">
        <v>1</v>
      </c>
      <c r="G37" s="168" t="s">
        <v>96</v>
      </c>
      <c r="H37" s="169">
        <v>12</v>
      </c>
      <c r="I37" s="170">
        <v>12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0"/>
        <v>0</v>
      </c>
    </row>
    <row r="38" spans="2:26" ht="18" x14ac:dyDescent="0.35">
      <c r="B38" s="171">
        <v>2.5</v>
      </c>
      <c r="C38" s="172" t="s">
        <v>77</v>
      </c>
      <c r="D38" s="173">
        <v>2.4</v>
      </c>
      <c r="E38" s="174">
        <v>6</v>
      </c>
      <c r="F38" s="167">
        <v>1</v>
      </c>
      <c r="G38" s="168" t="s">
        <v>92</v>
      </c>
      <c r="H38" s="169">
        <v>75</v>
      </c>
      <c r="I38" s="170">
        <v>75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0"/>
        <v>0.7</v>
      </c>
    </row>
    <row r="39" spans="2:26" ht="18" x14ac:dyDescent="0.35">
      <c r="B39" s="171">
        <v>117</v>
      </c>
      <c r="C39" s="172" t="s">
        <v>77</v>
      </c>
      <c r="D39" s="173">
        <v>2.4</v>
      </c>
      <c r="E39" s="174">
        <v>280.8</v>
      </c>
      <c r="F39" s="167">
        <v>2</v>
      </c>
      <c r="G39" s="168" t="s">
        <v>94</v>
      </c>
      <c r="H39" s="169">
        <v>13</v>
      </c>
      <c r="I39" s="170">
        <v>26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0"/>
        <v>0</v>
      </c>
    </row>
    <row r="40" spans="2:26" ht="18" x14ac:dyDescent="0.35">
      <c r="B40" s="171">
        <v>15.5</v>
      </c>
      <c r="C40" s="172" t="s">
        <v>77</v>
      </c>
      <c r="D40" s="173">
        <v>2.4</v>
      </c>
      <c r="E40" s="174">
        <v>37.199999999999996</v>
      </c>
      <c r="F40" s="167">
        <v>1</v>
      </c>
      <c r="G40" s="168" t="s">
        <v>18</v>
      </c>
      <c r="H40" s="169">
        <v>13</v>
      </c>
      <c r="I40" s="170">
        <v>13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0"/>
        <v>0</v>
      </c>
    </row>
    <row r="41" spans="2:26" ht="18" x14ac:dyDescent="0.35">
      <c r="B41" s="171">
        <v>1.5</v>
      </c>
      <c r="C41" s="172" t="s">
        <v>76</v>
      </c>
      <c r="D41" s="173">
        <v>2.6</v>
      </c>
      <c r="E41" s="174">
        <v>3.9000000000000004</v>
      </c>
      <c r="F41" s="167">
        <v>1</v>
      </c>
      <c r="G41" s="168" t="s">
        <v>18</v>
      </c>
      <c r="H41" s="169">
        <v>13</v>
      </c>
      <c r="I41" s="170">
        <v>13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0"/>
        <v>0</v>
      </c>
    </row>
    <row r="42" spans="2:26" ht="18" x14ac:dyDescent="0.35">
      <c r="B42" s="171">
        <v>160</v>
      </c>
      <c r="C42" s="172" t="s">
        <v>77</v>
      </c>
      <c r="D42" s="173">
        <v>2.4</v>
      </c>
      <c r="E42" s="174">
        <v>384</v>
      </c>
      <c r="F42" s="167">
        <v>0.2</v>
      </c>
      <c r="G42" s="168" t="s">
        <v>92</v>
      </c>
      <c r="H42" s="169">
        <v>75</v>
      </c>
      <c r="I42" s="170">
        <v>15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0"/>
        <v>0</v>
      </c>
    </row>
    <row r="43" spans="2:26" ht="18" x14ac:dyDescent="0.35">
      <c r="B43" s="171">
        <v>40.5</v>
      </c>
      <c r="C43" s="172" t="s">
        <v>76</v>
      </c>
      <c r="D43" s="173">
        <v>2.6</v>
      </c>
      <c r="E43" s="174">
        <v>105.3</v>
      </c>
      <c r="F43" s="167">
        <v>1</v>
      </c>
      <c r="G43" s="168" t="s">
        <v>18</v>
      </c>
      <c r="H43" s="169">
        <v>13</v>
      </c>
      <c r="I43" s="170">
        <v>13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0"/>
        <v>3.5</v>
      </c>
    </row>
    <row r="44" spans="2:26" ht="18" x14ac:dyDescent="0.35">
      <c r="B44" s="171">
        <v>2</v>
      </c>
      <c r="C44" s="172" t="s">
        <v>88</v>
      </c>
      <c r="D44" s="173">
        <v>1.2</v>
      </c>
      <c r="E44" s="174">
        <v>2.4</v>
      </c>
      <c r="F44" s="167">
        <v>0.5</v>
      </c>
      <c r="G44" s="168" t="s">
        <v>94</v>
      </c>
      <c r="H44" s="169">
        <v>13</v>
      </c>
      <c r="I44" s="170">
        <v>6.5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0"/>
        <v>0</v>
      </c>
    </row>
    <row r="45" spans="2:26" ht="18" x14ac:dyDescent="0.35">
      <c r="B45" s="171">
        <v>1</v>
      </c>
      <c r="C45" s="172" t="s">
        <v>77</v>
      </c>
      <c r="D45" s="173">
        <v>2.4</v>
      </c>
      <c r="E45" s="174">
        <v>2.4</v>
      </c>
      <c r="F45" s="167">
        <v>0.5</v>
      </c>
      <c r="G45" s="168" t="s">
        <v>90</v>
      </c>
      <c r="H45" s="169">
        <v>90</v>
      </c>
      <c r="I45" s="170">
        <v>45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0"/>
        <v>0</v>
      </c>
    </row>
    <row r="46" spans="2:26" ht="18" x14ac:dyDescent="0.35">
      <c r="B46" s="171">
        <v>37.5</v>
      </c>
      <c r="C46" s="172" t="s">
        <v>77</v>
      </c>
      <c r="D46" s="173">
        <v>2.4</v>
      </c>
      <c r="E46" s="174">
        <v>90</v>
      </c>
      <c r="F46" s="167">
        <v>1</v>
      </c>
      <c r="G46" s="168" t="s">
        <v>23</v>
      </c>
      <c r="H46" s="169">
        <v>55</v>
      </c>
      <c r="I46" s="170">
        <v>55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0"/>
        <v>26.5</v>
      </c>
    </row>
    <row r="47" spans="2:26" ht="18" x14ac:dyDescent="0.35">
      <c r="B47" s="171">
        <v>89.5</v>
      </c>
      <c r="C47" s="172" t="s">
        <v>76</v>
      </c>
      <c r="D47" s="173">
        <v>2.6</v>
      </c>
      <c r="E47" s="174">
        <v>232.70000000000002</v>
      </c>
      <c r="F47" s="167">
        <v>3.5</v>
      </c>
      <c r="G47" s="168" t="s">
        <v>23</v>
      </c>
      <c r="H47" s="169">
        <v>55</v>
      </c>
      <c r="I47" s="170">
        <v>192.5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0"/>
        <v>0</v>
      </c>
    </row>
    <row r="48" spans="2:26" ht="18" x14ac:dyDescent="0.35">
      <c r="B48" s="171">
        <v>3.5</v>
      </c>
      <c r="C48" s="172" t="s">
        <v>76</v>
      </c>
      <c r="D48" s="173">
        <v>2.6</v>
      </c>
      <c r="E48" s="174">
        <v>9.1</v>
      </c>
      <c r="F48" s="167">
        <v>0.5</v>
      </c>
      <c r="G48" s="168" t="s">
        <v>47</v>
      </c>
      <c r="H48" s="169">
        <v>13</v>
      </c>
      <c r="I48" s="170">
        <v>6.5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0"/>
        <v>0</v>
      </c>
    </row>
    <row r="49" spans="2:26" ht="18" x14ac:dyDescent="0.35">
      <c r="B49" s="171">
        <v>4</v>
      </c>
      <c r="C49" s="172" t="s">
        <v>77</v>
      </c>
      <c r="D49" s="173">
        <v>2.4</v>
      </c>
      <c r="E49" s="174">
        <v>9.6</v>
      </c>
      <c r="F49" s="167">
        <v>0.2</v>
      </c>
      <c r="G49" s="168" t="s">
        <v>92</v>
      </c>
      <c r="H49" s="169">
        <v>75</v>
      </c>
      <c r="I49" s="170">
        <v>15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0"/>
        <v>0</v>
      </c>
    </row>
    <row r="50" spans="2:26" ht="18" x14ac:dyDescent="0.35">
      <c r="B50" s="171"/>
      <c r="C50" s="172"/>
      <c r="D50" s="173"/>
      <c r="E50" s="174"/>
      <c r="F50" s="167">
        <v>0.2</v>
      </c>
      <c r="G50" s="168" t="s">
        <v>92</v>
      </c>
      <c r="H50" s="169">
        <v>75</v>
      </c>
      <c r="I50" s="170">
        <v>15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0"/>
        <v>0</v>
      </c>
    </row>
    <row r="51" spans="2:26" ht="18" x14ac:dyDescent="0.35">
      <c r="B51" s="171"/>
      <c r="C51" s="172"/>
      <c r="D51" s="173"/>
      <c r="E51" s="174"/>
      <c r="F51" s="167">
        <v>5</v>
      </c>
      <c r="G51" s="168" t="s">
        <v>19</v>
      </c>
      <c r="H51" s="169">
        <v>2</v>
      </c>
      <c r="I51" s="170">
        <v>10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0"/>
        <v>0</v>
      </c>
    </row>
    <row r="52" spans="2:26" ht="18" x14ac:dyDescent="0.35">
      <c r="B52" s="171"/>
      <c r="C52" s="172"/>
      <c r="D52" s="173"/>
      <c r="E52" s="174"/>
      <c r="F52" s="167">
        <v>0.2</v>
      </c>
      <c r="G52" s="168" t="s">
        <v>84</v>
      </c>
      <c r="H52" s="169">
        <v>5</v>
      </c>
      <c r="I52" s="170">
        <v>1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0"/>
        <v>0</v>
      </c>
    </row>
    <row r="53" spans="2:26" ht="18" x14ac:dyDescent="0.35">
      <c r="B53" s="171"/>
      <c r="C53" s="172"/>
      <c r="D53" s="173"/>
      <c r="E53" s="174"/>
      <c r="F53" s="167">
        <v>1</v>
      </c>
      <c r="G53" s="168" t="s">
        <v>18</v>
      </c>
      <c r="H53" s="169">
        <v>13</v>
      </c>
      <c r="I53" s="170">
        <v>13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0"/>
        <v>0</v>
      </c>
    </row>
    <row r="54" spans="2:26" ht="18" x14ac:dyDescent="0.35">
      <c r="B54" s="171"/>
      <c r="C54" s="172"/>
      <c r="D54" s="173"/>
      <c r="E54" s="174"/>
      <c r="F54" s="167">
        <v>0.5</v>
      </c>
      <c r="G54" s="168" t="s">
        <v>96</v>
      </c>
      <c r="H54" s="169">
        <v>12</v>
      </c>
      <c r="I54" s="170">
        <v>6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0"/>
        <v>0</v>
      </c>
    </row>
    <row r="55" spans="2:26" ht="18" x14ac:dyDescent="0.35">
      <c r="B55" s="171"/>
      <c r="C55" s="172"/>
      <c r="D55" s="173"/>
      <c r="E55" s="174"/>
      <c r="F55" s="167">
        <v>0.5</v>
      </c>
      <c r="G55" s="168" t="s">
        <v>94</v>
      </c>
      <c r="H55" s="169">
        <v>13</v>
      </c>
      <c r="I55" s="170">
        <v>6.5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0"/>
        <v>0</v>
      </c>
    </row>
    <row r="56" spans="2:26" ht="18" x14ac:dyDescent="0.35">
      <c r="B56" s="171"/>
      <c r="C56" s="172"/>
      <c r="D56" s="173"/>
      <c r="E56" s="174"/>
      <c r="F56" s="167">
        <v>1</v>
      </c>
      <c r="G56" s="168" t="s">
        <v>23</v>
      </c>
      <c r="H56" s="169">
        <v>55</v>
      </c>
      <c r="I56" s="170">
        <v>55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0"/>
        <v>0</v>
      </c>
    </row>
    <row r="57" spans="2:26" ht="18" x14ac:dyDescent="0.35">
      <c r="B57" s="171"/>
      <c r="C57" s="172"/>
      <c r="D57" s="173"/>
      <c r="E57" s="174"/>
      <c r="F57" s="167">
        <v>2</v>
      </c>
      <c r="G57" s="168" t="s">
        <v>94</v>
      </c>
      <c r="H57" s="169">
        <v>13</v>
      </c>
      <c r="I57" s="170">
        <v>26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0"/>
        <v>0</v>
      </c>
    </row>
    <row r="58" spans="2:26" ht="18" x14ac:dyDescent="0.35">
      <c r="B58" s="171"/>
      <c r="C58" s="172"/>
      <c r="D58" s="173"/>
      <c r="E58" s="174"/>
      <c r="F58" s="167">
        <v>2</v>
      </c>
      <c r="G58" s="168" t="s">
        <v>90</v>
      </c>
      <c r="H58" s="169">
        <v>90</v>
      </c>
      <c r="I58" s="170">
        <v>180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0"/>
        <v>0</v>
      </c>
    </row>
    <row r="59" spans="2:26" ht="18" x14ac:dyDescent="0.35">
      <c r="B59" s="171"/>
      <c r="C59" s="172"/>
      <c r="D59" s="173"/>
      <c r="E59" s="174"/>
      <c r="F59" s="167">
        <v>2.2000000000000002</v>
      </c>
      <c r="G59" s="168" t="s">
        <v>23</v>
      </c>
      <c r="H59" s="169">
        <v>55</v>
      </c>
      <c r="I59" s="170">
        <v>121.00000000000001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0"/>
        <v>0</v>
      </c>
    </row>
    <row r="60" spans="2:26" ht="18" x14ac:dyDescent="0.35">
      <c r="B60" s="171"/>
      <c r="C60" s="172"/>
      <c r="D60" s="173"/>
      <c r="E60" s="174"/>
      <c r="F60" s="167">
        <v>1</v>
      </c>
      <c r="G60" s="168" t="s">
        <v>90</v>
      </c>
      <c r="H60" s="169">
        <v>90</v>
      </c>
      <c r="I60" s="170">
        <v>90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0"/>
        <v>0</v>
      </c>
    </row>
    <row r="61" spans="2:26" ht="18" x14ac:dyDescent="0.35">
      <c r="B61" s="171"/>
      <c r="C61" s="172"/>
      <c r="D61" s="173"/>
      <c r="E61" s="174"/>
      <c r="F61" s="167">
        <v>1.5</v>
      </c>
      <c r="G61" s="168" t="s">
        <v>90</v>
      </c>
      <c r="H61" s="169">
        <v>90</v>
      </c>
      <c r="I61" s="170">
        <v>135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0"/>
        <v>0</v>
      </c>
    </row>
    <row r="62" spans="2:26" ht="18" x14ac:dyDescent="0.35">
      <c r="B62" s="171"/>
      <c r="C62" s="172"/>
      <c r="D62" s="173"/>
      <c r="E62" s="174"/>
      <c r="F62" s="167">
        <v>1</v>
      </c>
      <c r="G62" s="168" t="s">
        <v>18</v>
      </c>
      <c r="H62" s="169">
        <v>13</v>
      </c>
      <c r="I62" s="170">
        <v>13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0"/>
        <v>0</v>
      </c>
    </row>
    <row r="63" spans="2:26" ht="18" x14ac:dyDescent="0.35">
      <c r="B63" s="171"/>
      <c r="C63" s="172"/>
      <c r="D63" s="173"/>
      <c r="E63" s="174"/>
      <c r="F63" s="167">
        <v>2</v>
      </c>
      <c r="G63" s="168" t="s">
        <v>23</v>
      </c>
      <c r="H63" s="169">
        <v>55</v>
      </c>
      <c r="I63" s="170">
        <v>110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0"/>
        <v>0</v>
      </c>
    </row>
    <row r="64" spans="2:26" ht="18" x14ac:dyDescent="0.35">
      <c r="B64" s="171"/>
      <c r="C64" s="172"/>
      <c r="D64" s="173"/>
      <c r="E64" s="174"/>
      <c r="F64" s="167">
        <v>2</v>
      </c>
      <c r="G64" s="168" t="s">
        <v>94</v>
      </c>
      <c r="H64" s="169">
        <v>13</v>
      </c>
      <c r="I64" s="170">
        <v>26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0"/>
        <v>0</v>
      </c>
    </row>
    <row r="65" spans="2:26" ht="18" x14ac:dyDescent="0.35">
      <c r="B65" s="171"/>
      <c r="C65" s="172"/>
      <c r="D65" s="173"/>
      <c r="E65" s="174"/>
      <c r="F65" s="175">
        <v>1</v>
      </c>
      <c r="G65" s="176" t="s">
        <v>90</v>
      </c>
      <c r="H65" s="177">
        <v>90</v>
      </c>
      <c r="I65" s="178">
        <v>90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0"/>
        <v>0</v>
      </c>
    </row>
    <row r="66" spans="2:26" ht="18" x14ac:dyDescent="0.35">
      <c r="B66" s="171"/>
      <c r="C66" s="172"/>
      <c r="D66" s="173"/>
      <c r="E66" s="174"/>
      <c r="F66" s="167">
        <v>2.5</v>
      </c>
      <c r="G66" s="168" t="s">
        <v>18</v>
      </c>
      <c r="H66" s="169">
        <v>13</v>
      </c>
      <c r="I66" s="170">
        <v>32.5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0"/>
        <v>0</v>
      </c>
    </row>
    <row r="67" spans="2:26" ht="18" x14ac:dyDescent="0.35">
      <c r="B67" s="171"/>
      <c r="C67" s="172"/>
      <c r="D67" s="173"/>
      <c r="E67" s="174"/>
      <c r="F67" s="179">
        <v>2</v>
      </c>
      <c r="G67" s="180" t="s">
        <v>94</v>
      </c>
      <c r="H67" s="181">
        <v>13</v>
      </c>
      <c r="I67" s="182">
        <v>26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0"/>
        <v>0</v>
      </c>
    </row>
    <row r="68" spans="2:26" ht="18" x14ac:dyDescent="0.35">
      <c r="B68" s="171"/>
      <c r="C68" s="172"/>
      <c r="D68" s="173"/>
      <c r="E68" s="174"/>
      <c r="F68" s="167">
        <v>3</v>
      </c>
      <c r="G68" s="168" t="s">
        <v>51</v>
      </c>
      <c r="H68" s="169">
        <v>1.2</v>
      </c>
      <c r="I68" s="182">
        <v>3.5999999999999996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0"/>
        <v>0</v>
      </c>
    </row>
    <row r="69" spans="2:26" ht="18" x14ac:dyDescent="0.35">
      <c r="B69" s="171"/>
      <c r="C69" s="172"/>
      <c r="D69" s="173"/>
      <c r="E69" s="174"/>
      <c r="F69" s="167">
        <v>25</v>
      </c>
      <c r="G69" s="168" t="s">
        <v>96</v>
      </c>
      <c r="H69" s="169">
        <v>12</v>
      </c>
      <c r="I69" s="182">
        <v>300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0"/>
        <v>0</v>
      </c>
    </row>
    <row r="70" spans="2:26" ht="18" x14ac:dyDescent="0.35">
      <c r="B70" s="171"/>
      <c r="C70" s="172"/>
      <c r="D70" s="173"/>
      <c r="E70" s="174"/>
      <c r="F70" s="167"/>
      <c r="G70" s="168"/>
      <c r="H70" s="169"/>
      <c r="I70" s="182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0"/>
        <v>0</v>
      </c>
    </row>
    <row r="71" spans="2:26" ht="18" x14ac:dyDescent="0.35">
      <c r="B71" s="183"/>
      <c r="C71" s="184"/>
      <c r="D71" s="185"/>
      <c r="E71" s="186"/>
      <c r="F71" s="167"/>
      <c r="G71" s="168"/>
      <c r="H71" s="169"/>
      <c r="I71" s="182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0"/>
        <v>0</v>
      </c>
    </row>
    <row r="72" spans="2:26" ht="18" x14ac:dyDescent="0.35">
      <c r="B72" s="171"/>
      <c r="C72" s="172"/>
      <c r="D72" s="173"/>
      <c r="E72" s="174"/>
      <c r="F72" s="167"/>
      <c r="G72" s="168"/>
      <c r="H72" s="169"/>
      <c r="I72" s="182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0"/>
        <v>0</v>
      </c>
    </row>
    <row r="73" spans="2:26" ht="18" x14ac:dyDescent="0.35">
      <c r="B73" s="110"/>
      <c r="C73" s="111"/>
      <c r="D73" s="112"/>
      <c r="E73" s="113"/>
      <c r="F73" s="167"/>
      <c r="G73" s="168"/>
      <c r="H73" s="169"/>
      <c r="I73" s="182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0"/>
        <v>3</v>
      </c>
    </row>
    <row r="74" spans="2:26" ht="18" x14ac:dyDescent="0.35">
      <c r="B74" s="95"/>
      <c r="C74" s="96"/>
      <c r="D74" s="97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0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0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0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1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1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1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106"/>
      <c r="C128" s="107"/>
      <c r="D128" s="108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1605.5</v>
      </c>
      <c r="C130" s="122"/>
      <c r="D130" s="121"/>
      <c r="E130" s="123">
        <f>SUM(E9:E129)</f>
        <v>3682.4000000000005</v>
      </c>
      <c r="F130" s="124">
        <f>SUM(F9:F129)</f>
        <v>121.60000000000001</v>
      </c>
      <c r="G130" s="82"/>
      <c r="H130" s="125"/>
      <c r="I130" s="125">
        <f>SUM(I9:I129)</f>
        <v>2921.7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5480</v>
      </c>
      <c r="U130" s="83"/>
      <c r="V130" s="82"/>
      <c r="W130" s="130">
        <f>SUM(W9:W129)</f>
        <v>120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E7602-60D2-454C-9C16-E93B15CB8CEC}">
  <sheetPr codeName="Sheet57"/>
  <dimension ref="A1:Z130"/>
  <sheetViews>
    <sheetView topLeftCell="O5" zoomScale="80" zoomScaleNormal="80" workbookViewId="0">
      <selection activeCell="E48" sqref="E48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44167</v>
      </c>
      <c r="F1" s="189"/>
      <c r="G1" s="189"/>
    </row>
    <row r="2" spans="2:26" ht="18" x14ac:dyDescent="0.35">
      <c r="B2" s="190" t="s">
        <v>0</v>
      </c>
      <c r="C2" s="190"/>
      <c r="D2" s="1">
        <v>10800</v>
      </c>
    </row>
    <row r="3" spans="2:26" ht="18" x14ac:dyDescent="0.35">
      <c r="B3" s="190" t="s">
        <v>1</v>
      </c>
      <c r="C3" s="190"/>
      <c r="D3" s="77">
        <f>(D2-E130-I130)</f>
        <v>8614.2160000000003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1</v>
      </c>
      <c r="C9" s="87" t="s">
        <v>76</v>
      </c>
      <c r="D9" s="88">
        <v>2.6</v>
      </c>
      <c r="E9" s="89">
        <v>2.6</v>
      </c>
      <c r="F9" s="90">
        <v>1</v>
      </c>
      <c r="G9" s="91" t="s">
        <v>20</v>
      </c>
      <c r="H9" s="92">
        <v>1</v>
      </c>
      <c r="I9" s="93">
        <v>1</v>
      </c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73.210000000000008</v>
      </c>
    </row>
    <row r="10" spans="2:26" ht="18" x14ac:dyDescent="0.35">
      <c r="B10" s="95">
        <v>0.01</v>
      </c>
      <c r="C10" s="96" t="s">
        <v>88</v>
      </c>
      <c r="D10" s="97">
        <v>1.2</v>
      </c>
      <c r="E10" s="98">
        <v>1.2E-2</v>
      </c>
      <c r="F10" s="90">
        <v>1E-3</v>
      </c>
      <c r="G10" s="91" t="s">
        <v>67</v>
      </c>
      <c r="H10" s="92">
        <v>92</v>
      </c>
      <c r="I10" s="93">
        <v>9.1999999999999998E-2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166</v>
      </c>
    </row>
    <row r="11" spans="2:26" ht="18" x14ac:dyDescent="0.35">
      <c r="B11" s="95">
        <v>62.5</v>
      </c>
      <c r="C11" s="96" t="s">
        <v>76</v>
      </c>
      <c r="D11" s="97">
        <v>2.4</v>
      </c>
      <c r="E11" s="98">
        <v>150</v>
      </c>
      <c r="F11" s="90">
        <v>4</v>
      </c>
      <c r="G11" s="91" t="s">
        <v>18</v>
      </c>
      <c r="H11" s="92">
        <v>10</v>
      </c>
      <c r="I11" s="93">
        <v>40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202.5</v>
      </c>
    </row>
    <row r="12" spans="2:26" ht="18" x14ac:dyDescent="0.35">
      <c r="B12" s="95">
        <v>11.5</v>
      </c>
      <c r="C12" s="96" t="s">
        <v>77</v>
      </c>
      <c r="D12" s="97">
        <v>2.1</v>
      </c>
      <c r="E12" s="98">
        <v>24.150000000000002</v>
      </c>
      <c r="F12" s="90">
        <v>1.5</v>
      </c>
      <c r="G12" s="91" t="s">
        <v>18</v>
      </c>
      <c r="H12" s="92">
        <v>10</v>
      </c>
      <c r="I12" s="93">
        <v>15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11.5</v>
      </c>
    </row>
    <row r="13" spans="2:26" ht="18" x14ac:dyDescent="0.35">
      <c r="B13" s="95">
        <v>10</v>
      </c>
      <c r="C13" s="96" t="s">
        <v>76</v>
      </c>
      <c r="D13" s="97">
        <v>2.4</v>
      </c>
      <c r="E13" s="98">
        <v>24</v>
      </c>
      <c r="F13" s="90">
        <v>0.5</v>
      </c>
      <c r="G13" s="91" t="s">
        <v>94</v>
      </c>
      <c r="H13" s="92">
        <v>10</v>
      </c>
      <c r="I13" s="93">
        <v>5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3</v>
      </c>
    </row>
    <row r="14" spans="2:26" ht="18" x14ac:dyDescent="0.35">
      <c r="B14" s="95">
        <v>9</v>
      </c>
      <c r="C14" s="96" t="s">
        <v>77</v>
      </c>
      <c r="D14" s="97">
        <v>2.1</v>
      </c>
      <c r="E14" s="98">
        <v>18.900000000000002</v>
      </c>
      <c r="F14" s="90">
        <v>1</v>
      </c>
      <c r="G14" s="91" t="s">
        <v>92</v>
      </c>
      <c r="H14" s="92">
        <v>75</v>
      </c>
      <c r="I14" s="93">
        <v>75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3</v>
      </c>
    </row>
    <row r="15" spans="2:26" ht="18" x14ac:dyDescent="0.35">
      <c r="B15" s="95">
        <v>4.5</v>
      </c>
      <c r="C15" s="96" t="s">
        <v>77</v>
      </c>
      <c r="D15" s="97">
        <v>2.1</v>
      </c>
      <c r="E15" s="98">
        <v>9.4500000000000011</v>
      </c>
      <c r="F15" s="90">
        <v>0.5</v>
      </c>
      <c r="G15" s="91" t="s">
        <v>23</v>
      </c>
      <c r="H15" s="92">
        <v>55</v>
      </c>
      <c r="I15" s="93">
        <v>27.5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28</v>
      </c>
    </row>
    <row r="16" spans="2:26" ht="18" x14ac:dyDescent="0.35">
      <c r="B16" s="95">
        <v>6</v>
      </c>
      <c r="C16" s="96" t="s">
        <v>88</v>
      </c>
      <c r="D16" s="97">
        <v>0.9</v>
      </c>
      <c r="E16" s="98">
        <v>5.4</v>
      </c>
      <c r="F16" s="90">
        <v>1</v>
      </c>
      <c r="G16" s="91" t="s">
        <v>90</v>
      </c>
      <c r="H16" s="92">
        <v>90</v>
      </c>
      <c r="I16" s="93">
        <v>90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>
        <v>3.5</v>
      </c>
      <c r="C17" s="96" t="s">
        <v>77</v>
      </c>
      <c r="D17" s="97">
        <v>2.1</v>
      </c>
      <c r="E17" s="98">
        <v>7.3500000000000005</v>
      </c>
      <c r="F17" s="90">
        <v>0.2</v>
      </c>
      <c r="G17" s="91" t="s">
        <v>94</v>
      </c>
      <c r="H17" s="92">
        <v>10</v>
      </c>
      <c r="I17" s="93">
        <v>2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1E-3</v>
      </c>
    </row>
    <row r="18" spans="2:26" ht="18" x14ac:dyDescent="0.35">
      <c r="B18" s="95">
        <v>6</v>
      </c>
      <c r="C18" s="96" t="s">
        <v>88</v>
      </c>
      <c r="D18" s="97">
        <v>0.9</v>
      </c>
      <c r="E18" s="98">
        <v>5.4</v>
      </c>
      <c r="F18" s="90">
        <v>3.5</v>
      </c>
      <c r="G18" s="91" t="s">
        <v>18</v>
      </c>
      <c r="H18" s="92">
        <v>10</v>
      </c>
      <c r="I18" s="93">
        <v>35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2.5</v>
      </c>
    </row>
    <row r="19" spans="2:26" ht="18" x14ac:dyDescent="0.35">
      <c r="B19" s="95">
        <v>3.5</v>
      </c>
      <c r="C19" s="96" t="s">
        <v>77</v>
      </c>
      <c r="D19" s="97">
        <v>2.1</v>
      </c>
      <c r="E19" s="98">
        <v>7.3500000000000005</v>
      </c>
      <c r="F19" s="90">
        <v>1.5</v>
      </c>
      <c r="G19" s="91" t="s">
        <v>94</v>
      </c>
      <c r="H19" s="92">
        <v>10</v>
      </c>
      <c r="I19" s="93">
        <v>15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>
        <v>18.5</v>
      </c>
      <c r="C20" s="96" t="s">
        <v>76</v>
      </c>
      <c r="D20" s="97">
        <v>2.4</v>
      </c>
      <c r="E20" s="98">
        <v>44.4</v>
      </c>
      <c r="F20" s="90">
        <v>0.5</v>
      </c>
      <c r="G20" s="91" t="s">
        <v>90</v>
      </c>
      <c r="H20" s="92">
        <v>90</v>
      </c>
      <c r="I20" s="93">
        <v>45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5</v>
      </c>
    </row>
    <row r="21" spans="2:26" ht="18" x14ac:dyDescent="0.35">
      <c r="B21" s="95">
        <v>4</v>
      </c>
      <c r="C21" s="96" t="s">
        <v>77</v>
      </c>
      <c r="D21" s="97">
        <v>2.1</v>
      </c>
      <c r="E21" s="98">
        <v>8.4</v>
      </c>
      <c r="F21" s="90">
        <v>0.2</v>
      </c>
      <c r="G21" s="91" t="s">
        <v>94</v>
      </c>
      <c r="H21" s="92">
        <v>10</v>
      </c>
      <c r="I21" s="93">
        <v>2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22.5</v>
      </c>
      <c r="C22" s="96" t="s">
        <v>88</v>
      </c>
      <c r="D22" s="97">
        <v>0.9</v>
      </c>
      <c r="E22" s="98">
        <v>20.25</v>
      </c>
      <c r="F22" s="90">
        <v>0.5</v>
      </c>
      <c r="G22" s="91" t="s">
        <v>18</v>
      </c>
      <c r="H22" s="92">
        <v>10</v>
      </c>
      <c r="I22" s="93">
        <v>5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2.5</v>
      </c>
      <c r="C23" s="96" t="s">
        <v>76</v>
      </c>
      <c r="D23" s="97">
        <v>2.4</v>
      </c>
      <c r="E23" s="98">
        <v>6</v>
      </c>
      <c r="F23" s="90">
        <v>0.5</v>
      </c>
      <c r="G23" s="91" t="s">
        <v>23</v>
      </c>
      <c r="H23" s="92">
        <v>55</v>
      </c>
      <c r="I23" s="93">
        <v>27.5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2.5</v>
      </c>
    </row>
    <row r="24" spans="2:26" ht="18" x14ac:dyDescent="0.35">
      <c r="B24" s="95">
        <v>6.5</v>
      </c>
      <c r="C24" s="96" t="s">
        <v>77</v>
      </c>
      <c r="D24" s="97">
        <v>2.1</v>
      </c>
      <c r="E24" s="98">
        <v>13.65</v>
      </c>
      <c r="F24" s="90">
        <v>0.5</v>
      </c>
      <c r="G24" s="91" t="s">
        <v>52</v>
      </c>
      <c r="H24" s="92">
        <v>2</v>
      </c>
      <c r="I24" s="93">
        <v>1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5.5</v>
      </c>
      <c r="C25" s="96" t="s">
        <v>88</v>
      </c>
      <c r="D25" s="97">
        <v>0.9</v>
      </c>
      <c r="E25" s="98">
        <v>4.95</v>
      </c>
      <c r="F25" s="90">
        <v>0.5</v>
      </c>
      <c r="G25" s="91" t="s">
        <v>92</v>
      </c>
      <c r="H25" s="92">
        <v>75</v>
      </c>
      <c r="I25" s="93">
        <v>37.5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>
        <v>7</v>
      </c>
      <c r="C26" s="96" t="s">
        <v>76</v>
      </c>
      <c r="D26" s="97">
        <v>2.4</v>
      </c>
      <c r="E26" s="98">
        <v>16.8</v>
      </c>
      <c r="F26" s="90">
        <v>3</v>
      </c>
      <c r="G26" s="91" t="s">
        <v>19</v>
      </c>
      <c r="H26" s="92">
        <v>2</v>
      </c>
      <c r="I26" s="93">
        <v>6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>
        <v>10</v>
      </c>
      <c r="C27" s="96" t="s">
        <v>88</v>
      </c>
      <c r="D27" s="97">
        <v>0.9</v>
      </c>
      <c r="E27" s="98">
        <v>9</v>
      </c>
      <c r="F27" s="90">
        <v>3</v>
      </c>
      <c r="G27" s="91" t="s">
        <v>18</v>
      </c>
      <c r="H27" s="92">
        <v>10</v>
      </c>
      <c r="I27" s="93">
        <v>30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21.4</v>
      </c>
    </row>
    <row r="28" spans="2:26" ht="18" x14ac:dyDescent="0.35">
      <c r="B28" s="95">
        <v>13</v>
      </c>
      <c r="C28" s="96" t="s">
        <v>76</v>
      </c>
      <c r="D28" s="97">
        <v>2.4</v>
      </c>
      <c r="E28" s="98">
        <v>31.2</v>
      </c>
      <c r="F28" s="90">
        <v>0.2</v>
      </c>
      <c r="G28" s="91" t="s">
        <v>87</v>
      </c>
      <c r="H28" s="92">
        <v>100</v>
      </c>
      <c r="I28" s="93">
        <v>20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2</v>
      </c>
      <c r="C29" s="96" t="s">
        <v>76</v>
      </c>
      <c r="D29" s="97">
        <v>2.4</v>
      </c>
      <c r="E29" s="98">
        <v>4.8</v>
      </c>
      <c r="F29" s="90">
        <v>2</v>
      </c>
      <c r="G29" s="91" t="s">
        <v>94</v>
      </c>
      <c r="H29" s="92">
        <v>10</v>
      </c>
      <c r="I29" s="93">
        <v>20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2.5</v>
      </c>
      <c r="C30" s="96" t="s">
        <v>77</v>
      </c>
      <c r="D30" s="97">
        <v>2.1</v>
      </c>
      <c r="E30" s="98">
        <v>5.25</v>
      </c>
      <c r="F30" s="90">
        <v>11.5</v>
      </c>
      <c r="G30" s="91" t="s">
        <v>89</v>
      </c>
      <c r="H30" s="92">
        <v>2.2999999999999998</v>
      </c>
      <c r="I30" s="93">
        <v>26.45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2</v>
      </c>
      <c r="C31" s="96" t="s">
        <v>77</v>
      </c>
      <c r="D31" s="97">
        <v>2.1</v>
      </c>
      <c r="E31" s="98">
        <v>4.2</v>
      </c>
      <c r="F31" s="90">
        <v>0.5</v>
      </c>
      <c r="G31" s="91" t="s">
        <v>90</v>
      </c>
      <c r="H31" s="92">
        <v>90</v>
      </c>
      <c r="I31" s="93">
        <v>45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1.5</v>
      </c>
      <c r="C32" s="96" t="s">
        <v>76</v>
      </c>
      <c r="D32" s="97">
        <v>2.4</v>
      </c>
      <c r="E32" s="98">
        <v>3.5999999999999996</v>
      </c>
      <c r="F32" s="90">
        <v>4</v>
      </c>
      <c r="G32" s="91" t="s">
        <v>18</v>
      </c>
      <c r="H32" s="92">
        <v>10</v>
      </c>
      <c r="I32" s="93">
        <v>40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4.2</v>
      </c>
      <c r="C33" s="96" t="s">
        <v>88</v>
      </c>
      <c r="D33" s="97">
        <v>0.9</v>
      </c>
      <c r="E33" s="98">
        <v>3.7800000000000002</v>
      </c>
      <c r="F33" s="90">
        <v>3.5</v>
      </c>
      <c r="G33" s="91" t="s">
        <v>18</v>
      </c>
      <c r="H33" s="92">
        <v>10</v>
      </c>
      <c r="I33" s="93">
        <v>35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5.5</v>
      </c>
      <c r="C34" s="96" t="s">
        <v>76</v>
      </c>
      <c r="D34" s="97">
        <v>2.4</v>
      </c>
      <c r="E34" s="98">
        <v>13.2</v>
      </c>
      <c r="F34" s="90">
        <v>3</v>
      </c>
      <c r="G34" s="91" t="s">
        <v>94</v>
      </c>
      <c r="H34" s="92">
        <v>10</v>
      </c>
      <c r="I34" s="93">
        <v>30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16.5</v>
      </c>
      <c r="C35" s="96" t="s">
        <v>76</v>
      </c>
      <c r="D35" s="97">
        <v>2.4</v>
      </c>
      <c r="E35" s="98">
        <v>39.6</v>
      </c>
      <c r="F35" s="90">
        <v>0.5</v>
      </c>
      <c r="G35" s="91" t="s">
        <v>92</v>
      </c>
      <c r="H35" s="92">
        <v>75</v>
      </c>
      <c r="I35" s="93">
        <v>37.5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17.5</v>
      </c>
      <c r="C36" s="96" t="s">
        <v>88</v>
      </c>
      <c r="D36" s="97">
        <v>0.9</v>
      </c>
      <c r="E36" s="98">
        <v>15.75</v>
      </c>
      <c r="F36" s="90">
        <v>2</v>
      </c>
      <c r="G36" s="91" t="s">
        <v>20</v>
      </c>
      <c r="H36" s="92">
        <v>1</v>
      </c>
      <c r="I36" s="93">
        <v>2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23</v>
      </c>
      <c r="C37" s="96" t="s">
        <v>77</v>
      </c>
      <c r="D37" s="97">
        <v>2.1</v>
      </c>
      <c r="E37" s="98">
        <v>48.300000000000004</v>
      </c>
      <c r="F37" s="90">
        <v>4</v>
      </c>
      <c r="G37" s="91" t="s">
        <v>18</v>
      </c>
      <c r="H37" s="92">
        <v>10</v>
      </c>
      <c r="I37" s="93">
        <v>40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>
        <v>42.5</v>
      </c>
      <c r="C38" s="96" t="s">
        <v>77</v>
      </c>
      <c r="D38" s="97">
        <v>2.1</v>
      </c>
      <c r="E38" s="98">
        <v>89.25</v>
      </c>
      <c r="F38" s="90">
        <v>1</v>
      </c>
      <c r="G38" s="91" t="s">
        <v>48</v>
      </c>
      <c r="H38" s="92">
        <v>6</v>
      </c>
      <c r="I38" s="93">
        <v>6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>
        <v>4.5</v>
      </c>
      <c r="C39" s="96" t="s">
        <v>76</v>
      </c>
      <c r="D39" s="97">
        <v>2.4</v>
      </c>
      <c r="E39" s="98">
        <v>10.799999999999999</v>
      </c>
      <c r="F39" s="90">
        <v>0.5</v>
      </c>
      <c r="G39" s="91" t="s">
        <v>92</v>
      </c>
      <c r="H39" s="92">
        <v>75</v>
      </c>
      <c r="I39" s="93">
        <v>37.5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0.2</v>
      </c>
    </row>
    <row r="40" spans="2:26" ht="18" x14ac:dyDescent="0.35">
      <c r="B40" s="95">
        <v>0.5</v>
      </c>
      <c r="C40" s="96" t="s">
        <v>76</v>
      </c>
      <c r="D40" s="97">
        <v>2.4</v>
      </c>
      <c r="E40" s="98">
        <v>1.2</v>
      </c>
      <c r="F40" s="90">
        <v>2.5</v>
      </c>
      <c r="G40" s="91" t="s">
        <v>94</v>
      </c>
      <c r="H40" s="92">
        <v>10</v>
      </c>
      <c r="I40" s="93">
        <v>25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>
        <v>1.5</v>
      </c>
      <c r="C41" s="96" t="s">
        <v>88</v>
      </c>
      <c r="D41" s="97">
        <v>0.9</v>
      </c>
      <c r="E41" s="98">
        <v>1.35</v>
      </c>
      <c r="F41" s="90">
        <v>0.5</v>
      </c>
      <c r="G41" s="91" t="s">
        <v>23</v>
      </c>
      <c r="H41" s="92">
        <v>55</v>
      </c>
      <c r="I41" s="93">
        <v>27.5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0.2</v>
      </c>
    </row>
    <row r="42" spans="2:26" ht="18" x14ac:dyDescent="0.35">
      <c r="B42" s="95">
        <v>31</v>
      </c>
      <c r="C42" s="96" t="s">
        <v>77</v>
      </c>
      <c r="D42" s="97">
        <v>2.1</v>
      </c>
      <c r="E42" s="98">
        <v>65.100000000000009</v>
      </c>
      <c r="F42" s="90">
        <v>0.5</v>
      </c>
      <c r="G42" s="91" t="s">
        <v>18</v>
      </c>
      <c r="H42" s="92">
        <v>10</v>
      </c>
      <c r="I42" s="93">
        <v>5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>
        <v>27.5</v>
      </c>
      <c r="C43" s="96" t="s">
        <v>77</v>
      </c>
      <c r="D43" s="97">
        <v>2.1</v>
      </c>
      <c r="E43" s="98">
        <v>57.75</v>
      </c>
      <c r="F43" s="90">
        <v>0.2</v>
      </c>
      <c r="G43" s="91" t="s">
        <v>85</v>
      </c>
      <c r="H43" s="92">
        <v>10</v>
      </c>
      <c r="I43" s="93">
        <v>2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>
        <v>20</v>
      </c>
      <c r="C44" s="96" t="s">
        <v>77</v>
      </c>
      <c r="D44" s="97">
        <v>2.1</v>
      </c>
      <c r="E44" s="98">
        <v>42</v>
      </c>
      <c r="F44" s="90">
        <v>2.5</v>
      </c>
      <c r="G44" s="91" t="s">
        <v>18</v>
      </c>
      <c r="H44" s="92">
        <v>10</v>
      </c>
      <c r="I44" s="93">
        <v>25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1</v>
      </c>
    </row>
    <row r="45" spans="2:26" ht="18" x14ac:dyDescent="0.35">
      <c r="B45" s="95">
        <v>6.5</v>
      </c>
      <c r="C45" s="96" t="s">
        <v>76</v>
      </c>
      <c r="D45" s="97">
        <v>2.4</v>
      </c>
      <c r="E45" s="98">
        <v>15.6</v>
      </c>
      <c r="F45" s="90">
        <v>1</v>
      </c>
      <c r="G45" s="91" t="s">
        <v>23</v>
      </c>
      <c r="H45" s="92">
        <v>55</v>
      </c>
      <c r="I45" s="93">
        <v>55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>
        <v>11.5</v>
      </c>
      <c r="C46" s="96" t="s">
        <v>77</v>
      </c>
      <c r="D46" s="97">
        <v>2.1</v>
      </c>
      <c r="E46" s="98">
        <v>24.150000000000002</v>
      </c>
      <c r="F46" s="90">
        <v>1.5</v>
      </c>
      <c r="G46" s="91" t="s">
        <v>92</v>
      </c>
      <c r="H46" s="92">
        <v>75</v>
      </c>
      <c r="I46" s="93">
        <v>112.5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>
        <v>7</v>
      </c>
      <c r="C47" s="96" t="s">
        <v>76</v>
      </c>
      <c r="D47" s="97">
        <v>2.4</v>
      </c>
      <c r="E47" s="98">
        <v>16.8</v>
      </c>
      <c r="F47" s="90">
        <v>9.5</v>
      </c>
      <c r="G47" s="91" t="s">
        <v>94</v>
      </c>
      <c r="H47" s="92">
        <v>10</v>
      </c>
      <c r="I47" s="93">
        <v>95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>
        <v>7.5</v>
      </c>
      <c r="C48" s="96" t="s">
        <v>76</v>
      </c>
      <c r="D48" s="97">
        <v>2.4</v>
      </c>
      <c r="E48" s="98">
        <v>18</v>
      </c>
      <c r="F48" s="90">
        <v>1</v>
      </c>
      <c r="G48" s="91" t="s">
        <v>92</v>
      </c>
      <c r="H48" s="92">
        <v>75</v>
      </c>
      <c r="I48" s="93">
        <v>75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>
        <v>2</v>
      </c>
      <c r="G49" s="91" t="s">
        <v>94</v>
      </c>
      <c r="H49" s="92">
        <v>10</v>
      </c>
      <c r="I49" s="93">
        <v>20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>
        <v>1</v>
      </c>
      <c r="G50" s="91" t="s">
        <v>18</v>
      </c>
      <c r="H50" s="92">
        <v>10</v>
      </c>
      <c r="I50" s="93">
        <v>10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0.5</v>
      </c>
      <c r="G51" s="91" t="s">
        <v>90</v>
      </c>
      <c r="H51" s="92">
        <v>90</v>
      </c>
      <c r="I51" s="93">
        <v>45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0.5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441.71</v>
      </c>
      <c r="C130" s="122"/>
      <c r="D130" s="121"/>
      <c r="E130" s="123">
        <f>SUM(E9:E129)</f>
        <v>889.74199999999996</v>
      </c>
      <c r="F130" s="124">
        <f>SUM(F9:F129)</f>
        <v>78.801000000000002</v>
      </c>
      <c r="G130" s="82"/>
      <c r="H130" s="125"/>
      <c r="I130" s="125">
        <f>SUM(I9:I129)</f>
        <v>1296.0419999999999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sheetProtection algorithmName="SHA-512" hashValue="bT4MByowV+BqgU5rt+Q+1Y0feiyiLbjkl7tVjbiM8FiwYeyD2g7+c9xPUoaDiDaOr8Fh20fU1h2NahKjf/84rQ==" saltValue="YhzWjXV4lBiSZYg6nIbSAw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96E8C-0158-48C0-BF1D-B27E6E5657DE}">
  <sheetPr codeName="Sheet56"/>
  <dimension ref="A1:Z130"/>
  <sheetViews>
    <sheetView topLeftCell="O4" zoomScale="80" zoomScaleNormal="80" workbookViewId="0">
      <selection activeCell="I94" sqref="I94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44168</v>
      </c>
      <c r="F1" s="189"/>
      <c r="G1" s="189"/>
    </row>
    <row r="2" spans="2:26" ht="18" x14ac:dyDescent="0.35">
      <c r="B2" s="190" t="s">
        <v>0</v>
      </c>
      <c r="C2" s="190"/>
      <c r="D2" s="1">
        <v>8950</v>
      </c>
    </row>
    <row r="3" spans="2:26" ht="18" x14ac:dyDescent="0.35">
      <c r="B3" s="190" t="s">
        <v>1</v>
      </c>
      <c r="C3" s="190"/>
      <c r="D3" s="77">
        <f>(D2-E130-I130)</f>
        <v>2874.7499999999991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11.5</v>
      </c>
      <c r="C9" s="87" t="s">
        <v>76</v>
      </c>
      <c r="D9" s="88">
        <v>2.4</v>
      </c>
      <c r="E9" s="89">
        <v>27.599999999999998</v>
      </c>
      <c r="F9" s="90">
        <v>2</v>
      </c>
      <c r="G9" s="91" t="s">
        <v>22</v>
      </c>
      <c r="H9" s="92">
        <v>94</v>
      </c>
      <c r="I9" s="93">
        <v>188</v>
      </c>
      <c r="J9" s="83"/>
      <c r="K9" s="83"/>
      <c r="L9" s="3"/>
      <c r="M9" s="4"/>
      <c r="N9" s="5"/>
      <c r="O9" s="6"/>
      <c r="P9" s="7"/>
      <c r="Q9" s="8"/>
      <c r="R9" s="2"/>
      <c r="S9" s="3" t="s">
        <v>119</v>
      </c>
      <c r="T9" s="9">
        <v>400</v>
      </c>
      <c r="U9" s="2"/>
      <c r="V9" s="10"/>
      <c r="W9" s="8"/>
      <c r="Y9" s="148" t="s">
        <v>88</v>
      </c>
      <c r="Z9" s="151">
        <f>SUMIF($C$9:$C$129, Y9, $B$9:$B$129)</f>
        <v>126</v>
      </c>
    </row>
    <row r="10" spans="2:26" ht="18" x14ac:dyDescent="0.35">
      <c r="B10" s="95">
        <v>93</v>
      </c>
      <c r="C10" s="96" t="s">
        <v>88</v>
      </c>
      <c r="D10" s="97">
        <v>0.9</v>
      </c>
      <c r="E10" s="98">
        <v>83.7</v>
      </c>
      <c r="F10" s="90">
        <v>3</v>
      </c>
      <c r="G10" s="91" t="s">
        <v>83</v>
      </c>
      <c r="H10" s="92">
        <v>15</v>
      </c>
      <c r="I10" s="93">
        <v>45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188.5</v>
      </c>
    </row>
    <row r="11" spans="2:26" ht="18" x14ac:dyDescent="0.35">
      <c r="B11" s="95">
        <v>22.5</v>
      </c>
      <c r="C11" s="96" t="s">
        <v>76</v>
      </c>
      <c r="D11" s="97">
        <v>2.4</v>
      </c>
      <c r="E11" s="98">
        <v>54</v>
      </c>
      <c r="F11" s="90">
        <v>5.5</v>
      </c>
      <c r="G11" s="91" t="s">
        <v>84</v>
      </c>
      <c r="H11" s="92">
        <v>5</v>
      </c>
      <c r="I11" s="93">
        <v>27.5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147.5</v>
      </c>
    </row>
    <row r="12" spans="2:26" ht="18" x14ac:dyDescent="0.35">
      <c r="B12" s="95">
        <v>38.5</v>
      </c>
      <c r="C12" s="96" t="s">
        <v>76</v>
      </c>
      <c r="D12" s="97">
        <v>2.4</v>
      </c>
      <c r="E12" s="98">
        <v>92.399999999999991</v>
      </c>
      <c r="F12" s="90">
        <v>1</v>
      </c>
      <c r="G12" s="91" t="s">
        <v>85</v>
      </c>
      <c r="H12" s="92">
        <v>10</v>
      </c>
      <c r="I12" s="93">
        <v>10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23.5</v>
      </c>
      <c r="C13" s="96" t="s">
        <v>88</v>
      </c>
      <c r="D13" s="97">
        <v>0.9</v>
      </c>
      <c r="E13" s="98">
        <v>21.150000000000002</v>
      </c>
      <c r="F13" s="90">
        <v>4.5</v>
      </c>
      <c r="G13" s="91" t="s">
        <v>18</v>
      </c>
      <c r="H13" s="92">
        <v>10</v>
      </c>
      <c r="I13" s="93">
        <v>45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1</v>
      </c>
    </row>
    <row r="14" spans="2:26" ht="18" x14ac:dyDescent="0.35">
      <c r="B14" s="95">
        <v>8.5</v>
      </c>
      <c r="C14" s="96" t="s">
        <v>77</v>
      </c>
      <c r="D14" s="97">
        <v>2.1</v>
      </c>
      <c r="E14" s="98">
        <v>17.850000000000001</v>
      </c>
      <c r="F14" s="90">
        <v>2.5</v>
      </c>
      <c r="G14" s="91" t="s">
        <v>48</v>
      </c>
      <c r="H14" s="92">
        <v>6</v>
      </c>
      <c r="I14" s="93">
        <v>15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14.5</v>
      </c>
    </row>
    <row r="15" spans="2:26" ht="18" x14ac:dyDescent="0.35">
      <c r="B15" s="95">
        <v>13</v>
      </c>
      <c r="C15" s="96" t="s">
        <v>77</v>
      </c>
      <c r="D15" s="97">
        <v>2.1</v>
      </c>
      <c r="E15" s="98">
        <v>27.3</v>
      </c>
      <c r="F15" s="90">
        <v>1</v>
      </c>
      <c r="G15" s="91" t="s">
        <v>84</v>
      </c>
      <c r="H15" s="92">
        <v>5</v>
      </c>
      <c r="I15" s="93">
        <v>5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35.5</v>
      </c>
    </row>
    <row r="16" spans="2:26" ht="18" x14ac:dyDescent="0.35">
      <c r="B16" s="95">
        <v>3.5</v>
      </c>
      <c r="C16" s="96" t="s">
        <v>77</v>
      </c>
      <c r="D16" s="97">
        <v>2.1</v>
      </c>
      <c r="E16" s="98">
        <v>7.3500000000000005</v>
      </c>
      <c r="F16" s="90">
        <v>4</v>
      </c>
      <c r="G16" s="91" t="s">
        <v>18</v>
      </c>
      <c r="H16" s="92">
        <v>10</v>
      </c>
      <c r="I16" s="93">
        <v>40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2</v>
      </c>
    </row>
    <row r="17" spans="2:26" ht="18" x14ac:dyDescent="0.35">
      <c r="B17" s="95">
        <v>6.5</v>
      </c>
      <c r="C17" s="96" t="s">
        <v>76</v>
      </c>
      <c r="D17" s="97">
        <v>2.4</v>
      </c>
      <c r="E17" s="98">
        <v>15.6</v>
      </c>
      <c r="F17" s="90">
        <v>0.5</v>
      </c>
      <c r="G17" s="91" t="s">
        <v>18</v>
      </c>
      <c r="H17" s="92">
        <v>10</v>
      </c>
      <c r="I17" s="93">
        <v>5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6.1</v>
      </c>
    </row>
    <row r="18" spans="2:26" ht="18" x14ac:dyDescent="0.35">
      <c r="B18" s="95">
        <v>8.5</v>
      </c>
      <c r="C18" s="96" t="s">
        <v>77</v>
      </c>
      <c r="D18" s="97">
        <v>2.1</v>
      </c>
      <c r="E18" s="98">
        <v>17.850000000000001</v>
      </c>
      <c r="F18" s="90">
        <v>0.5</v>
      </c>
      <c r="G18" s="91" t="s">
        <v>92</v>
      </c>
      <c r="H18" s="92">
        <v>75</v>
      </c>
      <c r="I18" s="93">
        <v>37.5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22.5</v>
      </c>
    </row>
    <row r="19" spans="2:26" ht="18" x14ac:dyDescent="0.35">
      <c r="B19" s="95">
        <v>7</v>
      </c>
      <c r="C19" s="96" t="s">
        <v>76</v>
      </c>
      <c r="D19" s="97">
        <v>2.4</v>
      </c>
      <c r="E19" s="98">
        <v>16.8</v>
      </c>
      <c r="F19" s="90">
        <v>0.5</v>
      </c>
      <c r="G19" s="91" t="s">
        <v>23</v>
      </c>
      <c r="H19" s="92">
        <v>55</v>
      </c>
      <c r="I19" s="93">
        <v>27.5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>
        <v>3</v>
      </c>
      <c r="C20" s="96" t="s">
        <v>77</v>
      </c>
      <c r="D20" s="97">
        <v>2.1</v>
      </c>
      <c r="E20" s="98">
        <v>6.3000000000000007</v>
      </c>
      <c r="F20" s="90">
        <v>10</v>
      </c>
      <c r="G20" s="91" t="s">
        <v>94</v>
      </c>
      <c r="H20" s="92">
        <v>10</v>
      </c>
      <c r="I20" s="93">
        <v>100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8.5</v>
      </c>
    </row>
    <row r="21" spans="2:26" ht="18" x14ac:dyDescent="0.35">
      <c r="B21" s="95">
        <v>5</v>
      </c>
      <c r="C21" s="96" t="s">
        <v>76</v>
      </c>
      <c r="D21" s="97">
        <v>2.4</v>
      </c>
      <c r="E21" s="98">
        <v>12</v>
      </c>
      <c r="F21" s="90">
        <v>0.5</v>
      </c>
      <c r="G21" s="91" t="s">
        <v>90</v>
      </c>
      <c r="H21" s="92">
        <v>90</v>
      </c>
      <c r="I21" s="93">
        <v>45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5</v>
      </c>
      <c r="C22" s="96" t="s">
        <v>77</v>
      </c>
      <c r="D22" s="97">
        <v>2.1</v>
      </c>
      <c r="E22" s="98">
        <v>10.5</v>
      </c>
      <c r="F22" s="90">
        <v>0.2</v>
      </c>
      <c r="G22" s="91" t="s">
        <v>94</v>
      </c>
      <c r="H22" s="92">
        <v>10</v>
      </c>
      <c r="I22" s="93">
        <v>2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22.5</v>
      </c>
      <c r="C23" s="96" t="s">
        <v>76</v>
      </c>
      <c r="D23" s="97">
        <v>2.4</v>
      </c>
      <c r="E23" s="98">
        <v>54</v>
      </c>
      <c r="F23" s="90">
        <v>0.2</v>
      </c>
      <c r="G23" s="91" t="s">
        <v>23</v>
      </c>
      <c r="H23" s="92">
        <v>55</v>
      </c>
      <c r="I23" s="93">
        <v>11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5.5</v>
      </c>
    </row>
    <row r="24" spans="2:26" ht="18" x14ac:dyDescent="0.35">
      <c r="B24" s="95">
        <v>4.5</v>
      </c>
      <c r="C24" s="96" t="s">
        <v>76</v>
      </c>
      <c r="D24" s="97">
        <v>2.4</v>
      </c>
      <c r="E24" s="98">
        <v>10.799999999999999</v>
      </c>
      <c r="F24" s="90">
        <v>1</v>
      </c>
      <c r="G24" s="91" t="s">
        <v>18</v>
      </c>
      <c r="H24" s="92">
        <v>10</v>
      </c>
      <c r="I24" s="93">
        <v>10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11.5</v>
      </c>
      <c r="C25" s="96" t="s">
        <v>77</v>
      </c>
      <c r="D25" s="97">
        <v>2.1</v>
      </c>
      <c r="E25" s="98">
        <v>24.150000000000002</v>
      </c>
      <c r="F25" s="90">
        <v>0.5</v>
      </c>
      <c r="G25" s="91" t="s">
        <v>92</v>
      </c>
      <c r="H25" s="92">
        <v>75</v>
      </c>
      <c r="I25" s="93">
        <v>37.5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>
        <v>3.5</v>
      </c>
      <c r="C26" s="96" t="s">
        <v>77</v>
      </c>
      <c r="D26" s="97">
        <v>2.1</v>
      </c>
      <c r="E26" s="98">
        <v>7.3500000000000005</v>
      </c>
      <c r="F26" s="90">
        <v>0.6</v>
      </c>
      <c r="G26" s="91" t="s">
        <v>90</v>
      </c>
      <c r="H26" s="92">
        <v>90</v>
      </c>
      <c r="I26" s="93">
        <v>54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>
        <v>9</v>
      </c>
      <c r="C27" s="96" t="s">
        <v>77</v>
      </c>
      <c r="D27" s="97">
        <v>2.1</v>
      </c>
      <c r="E27" s="98">
        <v>18.900000000000002</v>
      </c>
      <c r="F27" s="90">
        <v>0.8</v>
      </c>
      <c r="G27" s="91" t="s">
        <v>92</v>
      </c>
      <c r="H27" s="92">
        <v>75</v>
      </c>
      <c r="I27" s="93">
        <v>60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44.739999999999995</v>
      </c>
    </row>
    <row r="28" spans="2:26" ht="18" x14ac:dyDescent="0.35">
      <c r="B28" s="95">
        <v>4.5</v>
      </c>
      <c r="C28" s="96" t="s">
        <v>76</v>
      </c>
      <c r="D28" s="97">
        <v>2.4</v>
      </c>
      <c r="E28" s="98">
        <v>10.799999999999999</v>
      </c>
      <c r="F28" s="90">
        <v>0.6</v>
      </c>
      <c r="G28" s="91" t="s">
        <v>67</v>
      </c>
      <c r="H28" s="92">
        <v>92</v>
      </c>
      <c r="I28" s="93">
        <v>55.199999999999996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6.5</v>
      </c>
      <c r="C29" s="96" t="s">
        <v>76</v>
      </c>
      <c r="D29" s="97">
        <v>2.4</v>
      </c>
      <c r="E29" s="98">
        <v>15.6</v>
      </c>
      <c r="F29" s="90">
        <v>3.5</v>
      </c>
      <c r="G29" s="91" t="s">
        <v>90</v>
      </c>
      <c r="H29" s="92">
        <v>90</v>
      </c>
      <c r="I29" s="93">
        <v>315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9.5</v>
      </c>
      <c r="C30" s="96" t="s">
        <v>88</v>
      </c>
      <c r="D30" s="97">
        <v>0.9</v>
      </c>
      <c r="E30" s="98">
        <v>8.5500000000000007</v>
      </c>
      <c r="F30" s="90">
        <v>0.2</v>
      </c>
      <c r="G30" s="91" t="s">
        <v>84</v>
      </c>
      <c r="H30" s="92">
        <v>5</v>
      </c>
      <c r="I30" s="93">
        <v>1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14.5</v>
      </c>
      <c r="C31" s="96" t="s">
        <v>77</v>
      </c>
      <c r="D31" s="97">
        <v>2.1</v>
      </c>
      <c r="E31" s="98">
        <v>30.450000000000003</v>
      </c>
      <c r="F31" s="90">
        <v>0.4</v>
      </c>
      <c r="G31" s="91" t="s">
        <v>86</v>
      </c>
      <c r="H31" s="92">
        <v>40</v>
      </c>
      <c r="I31" s="93">
        <v>16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21.5</v>
      </c>
      <c r="C32" s="96" t="s">
        <v>77</v>
      </c>
      <c r="D32" s="97">
        <v>2.1</v>
      </c>
      <c r="E32" s="98">
        <v>45.15</v>
      </c>
      <c r="F32" s="90">
        <v>12</v>
      </c>
      <c r="G32" s="91" t="s">
        <v>19</v>
      </c>
      <c r="H32" s="92">
        <v>2</v>
      </c>
      <c r="I32" s="93">
        <v>24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5</v>
      </c>
      <c r="C33" s="96" t="s">
        <v>76</v>
      </c>
      <c r="D33" s="97">
        <v>2.4</v>
      </c>
      <c r="E33" s="98">
        <v>12</v>
      </c>
      <c r="F33" s="90">
        <v>2.5</v>
      </c>
      <c r="G33" s="91" t="s">
        <v>18</v>
      </c>
      <c r="H33" s="92">
        <v>10</v>
      </c>
      <c r="I33" s="93">
        <v>25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6.5</v>
      </c>
      <c r="C34" s="96" t="s">
        <v>76</v>
      </c>
      <c r="D34" s="97">
        <v>2.4</v>
      </c>
      <c r="E34" s="98">
        <v>15.6</v>
      </c>
      <c r="F34" s="90">
        <v>0.5</v>
      </c>
      <c r="G34" s="91" t="s">
        <v>92</v>
      </c>
      <c r="H34" s="92">
        <v>75</v>
      </c>
      <c r="I34" s="93">
        <v>37.5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10.5</v>
      </c>
      <c r="C35" s="96" t="s">
        <v>76</v>
      </c>
      <c r="D35" s="97">
        <v>2.4</v>
      </c>
      <c r="E35" s="98">
        <v>25.2</v>
      </c>
      <c r="F35" s="90">
        <v>2</v>
      </c>
      <c r="G35" s="91" t="s">
        <v>90</v>
      </c>
      <c r="H35" s="92">
        <v>90</v>
      </c>
      <c r="I35" s="93">
        <v>180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10</v>
      </c>
      <c r="C36" s="96" t="s">
        <v>77</v>
      </c>
      <c r="D36" s="97">
        <v>2.1</v>
      </c>
      <c r="E36" s="98">
        <v>21</v>
      </c>
      <c r="F36" s="90">
        <v>1</v>
      </c>
      <c r="G36" s="91" t="s">
        <v>92</v>
      </c>
      <c r="H36" s="92">
        <v>75</v>
      </c>
      <c r="I36" s="93">
        <v>75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7.5</v>
      </c>
      <c r="C37" s="96" t="s">
        <v>77</v>
      </c>
      <c r="D37" s="97">
        <v>2.1</v>
      </c>
      <c r="E37" s="98">
        <v>15.75</v>
      </c>
      <c r="F37" s="90">
        <v>0.54</v>
      </c>
      <c r="G37" s="91" t="s">
        <v>94</v>
      </c>
      <c r="H37" s="92">
        <v>10</v>
      </c>
      <c r="I37" s="93">
        <v>5.4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>
        <v>8</v>
      </c>
      <c r="C38" s="96" t="s">
        <v>76</v>
      </c>
      <c r="D38" s="97">
        <v>2.4</v>
      </c>
      <c r="E38" s="98">
        <v>19.2</v>
      </c>
      <c r="F38" s="90">
        <v>0.4</v>
      </c>
      <c r="G38" s="91" t="s">
        <v>23</v>
      </c>
      <c r="H38" s="92">
        <v>55</v>
      </c>
      <c r="I38" s="93">
        <v>22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19.5</v>
      </c>
    </row>
    <row r="39" spans="2:26" ht="18" x14ac:dyDescent="0.35">
      <c r="B39" s="95">
        <v>12.5</v>
      </c>
      <c r="C39" s="96" t="s">
        <v>76</v>
      </c>
      <c r="D39" s="97">
        <v>2.4</v>
      </c>
      <c r="E39" s="98">
        <v>30</v>
      </c>
      <c r="F39" s="90">
        <v>1</v>
      </c>
      <c r="G39" s="91" t="s">
        <v>18</v>
      </c>
      <c r="H39" s="92">
        <v>10</v>
      </c>
      <c r="I39" s="93">
        <v>10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1</v>
      </c>
    </row>
    <row r="40" spans="2:26" ht="18" x14ac:dyDescent="0.35">
      <c r="B40" s="95">
        <v>18</v>
      </c>
      <c r="C40" s="96" t="s">
        <v>77</v>
      </c>
      <c r="D40" s="97">
        <v>2.1</v>
      </c>
      <c r="E40" s="98">
        <v>37.800000000000004</v>
      </c>
      <c r="F40" s="90">
        <v>0.5</v>
      </c>
      <c r="G40" s="91" t="s">
        <v>90</v>
      </c>
      <c r="H40" s="92">
        <v>90</v>
      </c>
      <c r="I40" s="93">
        <v>45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1.4000000000000001</v>
      </c>
    </row>
    <row r="41" spans="2:26" ht="18" x14ac:dyDescent="0.35">
      <c r="B41" s="95">
        <v>5</v>
      </c>
      <c r="C41" s="96" t="s">
        <v>76</v>
      </c>
      <c r="D41" s="97">
        <v>2.4</v>
      </c>
      <c r="E41" s="98">
        <v>12</v>
      </c>
      <c r="F41" s="90">
        <v>0.6</v>
      </c>
      <c r="G41" s="91" t="s">
        <v>84</v>
      </c>
      <c r="H41" s="92">
        <v>5</v>
      </c>
      <c r="I41" s="93">
        <v>3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0.2</v>
      </c>
    </row>
    <row r="42" spans="2:26" ht="18" x14ac:dyDescent="0.35">
      <c r="B42" s="95">
        <v>7.5</v>
      </c>
      <c r="C42" s="96" t="s">
        <v>77</v>
      </c>
      <c r="D42" s="97">
        <v>2.1</v>
      </c>
      <c r="E42" s="98">
        <v>15.75</v>
      </c>
      <c r="F42" s="90">
        <v>1</v>
      </c>
      <c r="G42" s="91" t="s">
        <v>94</v>
      </c>
      <c r="H42" s="92">
        <v>10</v>
      </c>
      <c r="I42" s="93">
        <v>10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>
        <v>8</v>
      </c>
      <c r="C43" s="96" t="s">
        <v>76</v>
      </c>
      <c r="D43" s="97">
        <v>2.4</v>
      </c>
      <c r="E43" s="98">
        <v>19.2</v>
      </c>
      <c r="F43" s="90">
        <v>1</v>
      </c>
      <c r="G43" s="91" t="s">
        <v>20</v>
      </c>
      <c r="H43" s="92">
        <v>1</v>
      </c>
      <c r="I43" s="93">
        <v>1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0.2</v>
      </c>
    </row>
    <row r="44" spans="2:26" ht="18" x14ac:dyDescent="0.35">
      <c r="B44" s="95">
        <v>3</v>
      </c>
      <c r="C44" s="96" t="s">
        <v>77</v>
      </c>
      <c r="D44" s="97">
        <v>2.1</v>
      </c>
      <c r="E44" s="98">
        <v>6.3000000000000007</v>
      </c>
      <c r="F44" s="90">
        <v>6</v>
      </c>
      <c r="G44" s="91" t="s">
        <v>18</v>
      </c>
      <c r="H44" s="92">
        <v>10</v>
      </c>
      <c r="I44" s="93">
        <v>60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2.5</v>
      </c>
    </row>
    <row r="45" spans="2:26" ht="18" x14ac:dyDescent="0.35">
      <c r="B45" s="95">
        <v>4</v>
      </c>
      <c r="C45" s="96" t="s">
        <v>76</v>
      </c>
      <c r="D45" s="97">
        <v>2.4</v>
      </c>
      <c r="E45" s="98">
        <v>9.6</v>
      </c>
      <c r="F45" s="90">
        <v>2</v>
      </c>
      <c r="G45" s="91" t="s">
        <v>94</v>
      </c>
      <c r="H45" s="92">
        <v>10</v>
      </c>
      <c r="I45" s="93">
        <v>20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3</v>
      </c>
    </row>
    <row r="46" spans="2:26" ht="18" x14ac:dyDescent="0.35">
      <c r="B46" s="95"/>
      <c r="C46" s="96"/>
      <c r="D46" s="97"/>
      <c r="E46" s="98"/>
      <c r="F46" s="90">
        <v>0.5</v>
      </c>
      <c r="G46" s="91" t="s">
        <v>23</v>
      </c>
      <c r="H46" s="92">
        <v>55</v>
      </c>
      <c r="I46" s="93">
        <v>27.5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33.5</v>
      </c>
    </row>
    <row r="47" spans="2:26" ht="18" x14ac:dyDescent="0.35">
      <c r="B47" s="95"/>
      <c r="C47" s="96"/>
      <c r="D47" s="97"/>
      <c r="E47" s="98"/>
      <c r="F47" s="90">
        <v>3</v>
      </c>
      <c r="G47" s="91" t="s">
        <v>90</v>
      </c>
      <c r="H47" s="92">
        <v>90</v>
      </c>
      <c r="I47" s="93">
        <v>270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>
        <v>1</v>
      </c>
      <c r="G48" s="91" t="s">
        <v>90</v>
      </c>
      <c r="H48" s="92">
        <v>90</v>
      </c>
      <c r="I48" s="93">
        <v>90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1</v>
      </c>
    </row>
    <row r="49" spans="2:26" ht="18" x14ac:dyDescent="0.35">
      <c r="B49" s="95"/>
      <c r="C49" s="96"/>
      <c r="D49" s="97"/>
      <c r="E49" s="98"/>
      <c r="F49" s="90">
        <v>1</v>
      </c>
      <c r="G49" s="91" t="s">
        <v>94</v>
      </c>
      <c r="H49" s="92">
        <v>10</v>
      </c>
      <c r="I49" s="93">
        <v>10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>
        <v>0.5</v>
      </c>
      <c r="G50" s="91" t="s">
        <v>94</v>
      </c>
      <c r="H50" s="92">
        <v>10</v>
      </c>
      <c r="I50" s="93">
        <v>5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0.2</v>
      </c>
      <c r="G51" s="91" t="s">
        <v>23</v>
      </c>
      <c r="H51" s="92">
        <v>55</v>
      </c>
      <c r="I51" s="93">
        <v>11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0.2</v>
      </c>
      <c r="G52" s="91" t="s">
        <v>90</v>
      </c>
      <c r="H52" s="92">
        <v>90</v>
      </c>
      <c r="I52" s="93">
        <v>18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0.8</v>
      </c>
      <c r="G53" s="91" t="s">
        <v>86</v>
      </c>
      <c r="H53" s="92">
        <v>40</v>
      </c>
      <c r="I53" s="93">
        <v>32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1.5</v>
      </c>
      <c r="G54" s="91" t="s">
        <v>84</v>
      </c>
      <c r="H54" s="92">
        <v>5</v>
      </c>
      <c r="I54" s="93">
        <v>7.5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>
        <v>1</v>
      </c>
      <c r="G55" s="91" t="s">
        <v>74</v>
      </c>
      <c r="H55" s="92">
        <v>5</v>
      </c>
      <c r="I55" s="93">
        <v>5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>
        <v>0.2</v>
      </c>
      <c r="G56" s="91" t="s">
        <v>87</v>
      </c>
      <c r="H56" s="92">
        <v>100</v>
      </c>
      <c r="I56" s="93">
        <v>20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0.2</v>
      </c>
      <c r="G57" s="91" t="s">
        <v>86</v>
      </c>
      <c r="H57" s="92">
        <v>40</v>
      </c>
      <c r="I57" s="93">
        <v>8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0.2</v>
      </c>
      <c r="G58" s="91" t="s">
        <v>84</v>
      </c>
      <c r="H58" s="92">
        <v>5</v>
      </c>
      <c r="I58" s="93">
        <v>1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1</v>
      </c>
      <c r="G59" s="91" t="s">
        <v>94</v>
      </c>
      <c r="H59" s="92">
        <v>10</v>
      </c>
      <c r="I59" s="93">
        <v>10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1</v>
      </c>
      <c r="G60" s="91" t="s">
        <v>92</v>
      </c>
      <c r="H60" s="92">
        <v>75</v>
      </c>
      <c r="I60" s="93">
        <v>75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8</v>
      </c>
      <c r="G61" s="91" t="s">
        <v>94</v>
      </c>
      <c r="H61" s="92">
        <v>10</v>
      </c>
      <c r="I61" s="93">
        <v>80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0.2</v>
      </c>
      <c r="G62" s="91" t="s">
        <v>90</v>
      </c>
      <c r="H62" s="92">
        <v>90</v>
      </c>
      <c r="I62" s="93">
        <v>18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0.5</v>
      </c>
      <c r="G63" s="91" t="s">
        <v>23</v>
      </c>
      <c r="H63" s="92">
        <v>55</v>
      </c>
      <c r="I63" s="93">
        <v>27.5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10</v>
      </c>
      <c r="G64" s="91" t="s">
        <v>84</v>
      </c>
      <c r="H64" s="92">
        <v>5</v>
      </c>
      <c r="I64" s="93">
        <v>50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1.5</v>
      </c>
      <c r="G65" s="100" t="s">
        <v>90</v>
      </c>
      <c r="H65" s="101">
        <v>90</v>
      </c>
      <c r="I65" s="102">
        <v>135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2.5</v>
      </c>
      <c r="G66" s="91" t="s">
        <v>96</v>
      </c>
      <c r="H66" s="92">
        <v>12</v>
      </c>
      <c r="I66" s="93">
        <v>30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1</v>
      </c>
      <c r="G67" s="94" t="s">
        <v>23</v>
      </c>
      <c r="H67" s="104">
        <v>55</v>
      </c>
      <c r="I67" s="105">
        <v>55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1</v>
      </c>
      <c r="G68" s="91" t="s">
        <v>90</v>
      </c>
      <c r="H68" s="92">
        <v>90</v>
      </c>
      <c r="I68" s="105">
        <v>90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>
        <v>9.5</v>
      </c>
      <c r="G69" s="91" t="s">
        <v>94</v>
      </c>
      <c r="H69" s="92">
        <v>10</v>
      </c>
      <c r="I69" s="105">
        <v>95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>
        <v>13</v>
      </c>
      <c r="G70" s="91" t="s">
        <v>18</v>
      </c>
      <c r="H70" s="92">
        <v>10</v>
      </c>
      <c r="I70" s="105">
        <v>130</v>
      </c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>
        <v>1.5</v>
      </c>
      <c r="G71" s="91" t="s">
        <v>18</v>
      </c>
      <c r="H71" s="92">
        <v>10</v>
      </c>
      <c r="I71" s="105">
        <v>15</v>
      </c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>
        <v>0.5</v>
      </c>
      <c r="G72" s="91" t="s">
        <v>84</v>
      </c>
      <c r="H72" s="92">
        <v>5</v>
      </c>
      <c r="I72" s="105">
        <v>2.5</v>
      </c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>
        <v>0.5</v>
      </c>
      <c r="G73" s="91" t="s">
        <v>90</v>
      </c>
      <c r="H73" s="92">
        <v>90</v>
      </c>
      <c r="I73" s="105">
        <v>45</v>
      </c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>
        <v>2</v>
      </c>
      <c r="G74" s="91" t="s">
        <v>90</v>
      </c>
      <c r="H74" s="92">
        <v>90</v>
      </c>
      <c r="I74" s="105">
        <v>180</v>
      </c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>
        <v>0.5</v>
      </c>
      <c r="G75" s="91" t="s">
        <v>92</v>
      </c>
      <c r="H75" s="92">
        <v>75</v>
      </c>
      <c r="I75" s="105">
        <v>37.5</v>
      </c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>
        <v>1</v>
      </c>
      <c r="G76" s="91" t="s">
        <v>67</v>
      </c>
      <c r="H76" s="92">
        <v>92</v>
      </c>
      <c r="I76" s="105">
        <v>92</v>
      </c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>
        <v>4.5</v>
      </c>
      <c r="G77" s="91" t="s">
        <v>67</v>
      </c>
      <c r="H77" s="92">
        <v>92</v>
      </c>
      <c r="I77" s="105">
        <v>414</v>
      </c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>
        <v>0.5</v>
      </c>
      <c r="G78" s="91" t="s">
        <v>90</v>
      </c>
      <c r="H78" s="92">
        <v>90</v>
      </c>
      <c r="I78" s="105">
        <v>45</v>
      </c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>
        <v>1</v>
      </c>
      <c r="G79" s="91" t="s">
        <v>23</v>
      </c>
      <c r="H79" s="92">
        <v>55</v>
      </c>
      <c r="I79" s="105">
        <v>55</v>
      </c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>
        <v>0.2</v>
      </c>
      <c r="G80" s="91" t="s">
        <v>92</v>
      </c>
      <c r="H80" s="92">
        <v>75</v>
      </c>
      <c r="I80" s="105">
        <v>15</v>
      </c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>
        <v>0.2</v>
      </c>
      <c r="G81" s="91" t="s">
        <v>47</v>
      </c>
      <c r="H81" s="92">
        <v>13</v>
      </c>
      <c r="I81" s="105">
        <v>2.6</v>
      </c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>
        <v>0.5</v>
      </c>
      <c r="G82" s="91" t="s">
        <v>92</v>
      </c>
      <c r="H82" s="92">
        <v>75</v>
      </c>
      <c r="I82" s="105">
        <v>37.5</v>
      </c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>
        <v>0.5</v>
      </c>
      <c r="G83" s="91" t="s">
        <v>90</v>
      </c>
      <c r="H83" s="92">
        <v>90</v>
      </c>
      <c r="I83" s="105">
        <v>45</v>
      </c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>
        <v>2.5</v>
      </c>
      <c r="G84" s="91" t="s">
        <v>19</v>
      </c>
      <c r="H84" s="92">
        <v>2</v>
      </c>
      <c r="I84" s="105">
        <v>5</v>
      </c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>
        <v>3</v>
      </c>
      <c r="G85" s="91" t="s">
        <v>94</v>
      </c>
      <c r="H85" s="92">
        <v>10</v>
      </c>
      <c r="I85" s="105">
        <v>30</v>
      </c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>
        <v>1.2</v>
      </c>
      <c r="G86" s="91" t="s">
        <v>23</v>
      </c>
      <c r="H86" s="92">
        <v>55</v>
      </c>
      <c r="I86" s="105">
        <v>66</v>
      </c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>
        <v>1.5</v>
      </c>
      <c r="G87" s="91" t="s">
        <v>92</v>
      </c>
      <c r="H87" s="92">
        <v>75</v>
      </c>
      <c r="I87" s="105">
        <v>112.5</v>
      </c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>
        <v>2.5</v>
      </c>
      <c r="G88" s="91" t="s">
        <v>94</v>
      </c>
      <c r="H88" s="92">
        <v>10</v>
      </c>
      <c r="I88" s="105">
        <v>25</v>
      </c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>
        <v>0.5</v>
      </c>
      <c r="G89" s="91" t="s">
        <v>96</v>
      </c>
      <c r="H89" s="92">
        <v>12</v>
      </c>
      <c r="I89" s="105">
        <v>6</v>
      </c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>
        <v>1.5</v>
      </c>
      <c r="G90" s="91" t="s">
        <v>92</v>
      </c>
      <c r="H90" s="92">
        <v>75</v>
      </c>
      <c r="I90" s="105">
        <v>112.5</v>
      </c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>
        <v>5.5</v>
      </c>
      <c r="G91" s="91" t="s">
        <v>94</v>
      </c>
      <c r="H91" s="92">
        <v>10</v>
      </c>
      <c r="I91" s="105">
        <v>55</v>
      </c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>
        <v>30.5</v>
      </c>
      <c r="G92" s="91" t="s">
        <v>96</v>
      </c>
      <c r="H92" s="92">
        <v>12</v>
      </c>
      <c r="I92" s="105">
        <v>366</v>
      </c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>
        <v>5</v>
      </c>
      <c r="G93" s="91" t="s">
        <v>90</v>
      </c>
      <c r="H93" s="92">
        <v>90</v>
      </c>
      <c r="I93" s="105">
        <v>450</v>
      </c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>
        <v>1.5</v>
      </c>
      <c r="G94" s="91" t="s">
        <v>18</v>
      </c>
      <c r="H94" s="92">
        <v>10</v>
      </c>
      <c r="I94" s="105">
        <v>15</v>
      </c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462</v>
      </c>
      <c r="C130" s="122"/>
      <c r="D130" s="121"/>
      <c r="E130" s="123">
        <f>SUM(E9:E129)</f>
        <v>875.55000000000018</v>
      </c>
      <c r="F130" s="124">
        <f>SUM(F9:F129)</f>
        <v>202.64</v>
      </c>
      <c r="G130" s="82"/>
      <c r="H130" s="125"/>
      <c r="I130" s="125">
        <f>SUM(I9:I129)</f>
        <v>5199.7000000000007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400</v>
      </c>
      <c r="U130" s="83"/>
      <c r="V130" s="82"/>
      <c r="W130" s="130">
        <f>SUM(W9:W129)</f>
        <v>0</v>
      </c>
    </row>
  </sheetData>
  <sheetProtection algorithmName="SHA-512" hashValue="Zurz1Ogbs42PfQYPz6mveFsIi+ZWU4aJUDuZBuJhBfs28Hucdz4pluchDV/3xOEZ+Ykmgn6dTQKvz2aT/D86XQ==" saltValue="xcaiALfhUXLVciTvVeyf/A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97D56-BA7E-47B4-8A26-423EC41FE4A7}">
  <sheetPr codeName="Sheet55"/>
  <dimension ref="A1:Z130"/>
  <sheetViews>
    <sheetView topLeftCell="P1" zoomScale="80" zoomScaleNormal="80" workbookViewId="0">
      <selection activeCell="V13" sqref="V13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44169</v>
      </c>
      <c r="F1" s="189"/>
      <c r="G1" s="189"/>
    </row>
    <row r="2" spans="2:26" ht="18" x14ac:dyDescent="0.35">
      <c r="B2" s="190" t="s">
        <v>0</v>
      </c>
      <c r="C2" s="190"/>
      <c r="D2" s="1">
        <v>8870</v>
      </c>
    </row>
    <row r="3" spans="2:26" ht="18" x14ac:dyDescent="0.35">
      <c r="B3" s="190" t="s">
        <v>1</v>
      </c>
      <c r="C3" s="190"/>
      <c r="D3" s="77">
        <f>(D2-E130-I130)</f>
        <v>477.54999999999927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10.5</v>
      </c>
      <c r="C9" s="87" t="s">
        <v>76</v>
      </c>
      <c r="D9" s="88">
        <v>2.4</v>
      </c>
      <c r="E9" s="89">
        <v>25.2</v>
      </c>
      <c r="F9" s="90">
        <v>6</v>
      </c>
      <c r="G9" s="91" t="s">
        <v>23</v>
      </c>
      <c r="H9" s="92">
        <v>55</v>
      </c>
      <c r="I9" s="93">
        <v>330</v>
      </c>
      <c r="J9" s="83"/>
      <c r="K9" s="83"/>
      <c r="L9" s="3"/>
      <c r="M9" s="4"/>
      <c r="N9" s="5"/>
      <c r="O9" s="6"/>
      <c r="P9" s="7"/>
      <c r="Q9" s="8"/>
      <c r="R9" s="2"/>
      <c r="S9" s="3" t="s">
        <v>120</v>
      </c>
      <c r="T9" s="9">
        <v>400</v>
      </c>
      <c r="U9" s="2"/>
      <c r="V9" s="10" t="s">
        <v>121</v>
      </c>
      <c r="W9" s="8">
        <v>1350</v>
      </c>
      <c r="Y9" s="148" t="s">
        <v>88</v>
      </c>
      <c r="Z9" s="151">
        <f>SUMIF($C$9:$C$129, Y9, $B$9:$B$129)</f>
        <v>102.5</v>
      </c>
    </row>
    <row r="10" spans="2:26" ht="18" x14ac:dyDescent="0.35">
      <c r="B10" s="95">
        <v>2</v>
      </c>
      <c r="C10" s="96" t="s">
        <v>76</v>
      </c>
      <c r="D10" s="97">
        <v>2.4</v>
      </c>
      <c r="E10" s="98">
        <v>4.8</v>
      </c>
      <c r="F10" s="90">
        <v>0.6</v>
      </c>
      <c r="G10" s="91" t="s">
        <v>90</v>
      </c>
      <c r="H10" s="92">
        <v>90</v>
      </c>
      <c r="I10" s="93">
        <v>54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 t="s">
        <v>122</v>
      </c>
      <c r="W10" s="8">
        <v>1250</v>
      </c>
      <c r="Y10" s="149" t="s">
        <v>76</v>
      </c>
      <c r="Z10" s="151">
        <f t="shared" ref="Z10:Z11" si="0">SUMIF($C$9:$C$129, Y10, $B$9:$B$129)</f>
        <v>110</v>
      </c>
    </row>
    <row r="11" spans="2:26" ht="18" x14ac:dyDescent="0.35">
      <c r="B11" s="95">
        <v>16</v>
      </c>
      <c r="C11" s="96" t="s">
        <v>77</v>
      </c>
      <c r="D11" s="97">
        <v>2.1</v>
      </c>
      <c r="E11" s="98">
        <v>33.6</v>
      </c>
      <c r="F11" s="90">
        <v>0.5</v>
      </c>
      <c r="G11" s="91" t="s">
        <v>90</v>
      </c>
      <c r="H11" s="92">
        <v>90</v>
      </c>
      <c r="I11" s="93">
        <v>45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323.5</v>
      </c>
    </row>
    <row r="12" spans="2:26" ht="18" x14ac:dyDescent="0.35">
      <c r="B12" s="95">
        <v>4</v>
      </c>
      <c r="C12" s="96" t="s">
        <v>76</v>
      </c>
      <c r="D12" s="97">
        <v>2.4</v>
      </c>
      <c r="E12" s="98">
        <v>9.6</v>
      </c>
      <c r="F12" s="90">
        <v>1</v>
      </c>
      <c r="G12" s="91" t="s">
        <v>94</v>
      </c>
      <c r="H12" s="92">
        <v>10</v>
      </c>
      <c r="I12" s="93">
        <v>10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2.5</v>
      </c>
      <c r="C13" s="96" t="s">
        <v>76</v>
      </c>
      <c r="D13" s="97">
        <v>2.4</v>
      </c>
      <c r="E13" s="98">
        <v>6</v>
      </c>
      <c r="F13" s="90">
        <v>0.5</v>
      </c>
      <c r="G13" s="91" t="s">
        <v>90</v>
      </c>
      <c r="H13" s="92">
        <v>90</v>
      </c>
      <c r="I13" s="93">
        <v>45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17</v>
      </c>
    </row>
    <row r="14" spans="2:26" ht="18" x14ac:dyDescent="0.35">
      <c r="B14" s="95">
        <v>5.5</v>
      </c>
      <c r="C14" s="96" t="s">
        <v>77</v>
      </c>
      <c r="D14" s="97">
        <v>2.1</v>
      </c>
      <c r="E14" s="98">
        <v>11.55</v>
      </c>
      <c r="F14" s="90">
        <v>1</v>
      </c>
      <c r="G14" s="91" t="s">
        <v>18</v>
      </c>
      <c r="H14" s="92">
        <v>10</v>
      </c>
      <c r="I14" s="93">
        <v>10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>
        <v>4.5</v>
      </c>
      <c r="C15" s="96" t="s">
        <v>76</v>
      </c>
      <c r="D15" s="97">
        <v>2.4</v>
      </c>
      <c r="E15" s="98">
        <v>10.799999999999999</v>
      </c>
      <c r="F15" s="90">
        <v>1.4</v>
      </c>
      <c r="G15" s="91" t="s">
        <v>18</v>
      </c>
      <c r="H15" s="92">
        <v>10</v>
      </c>
      <c r="I15" s="93">
        <v>14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58</v>
      </c>
    </row>
    <row r="16" spans="2:26" ht="18" x14ac:dyDescent="0.35">
      <c r="B16" s="95">
        <v>15</v>
      </c>
      <c r="C16" s="96" t="s">
        <v>77</v>
      </c>
      <c r="D16" s="97">
        <v>2.1</v>
      </c>
      <c r="E16" s="98">
        <v>31.5</v>
      </c>
      <c r="F16" s="90">
        <v>4.5999999999999996</v>
      </c>
      <c r="G16" s="91" t="s">
        <v>18</v>
      </c>
      <c r="H16" s="92">
        <v>10</v>
      </c>
      <c r="I16" s="93">
        <v>46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9</v>
      </c>
    </row>
    <row r="17" spans="2:26" ht="18" x14ac:dyDescent="0.35">
      <c r="B17" s="95">
        <v>1</v>
      </c>
      <c r="C17" s="96" t="s">
        <v>77</v>
      </c>
      <c r="D17" s="97">
        <v>2.1</v>
      </c>
      <c r="E17" s="98">
        <v>2.1</v>
      </c>
      <c r="F17" s="90">
        <v>0.5</v>
      </c>
      <c r="G17" s="91" t="s">
        <v>90</v>
      </c>
      <c r="H17" s="92">
        <v>90</v>
      </c>
      <c r="I17" s="93">
        <v>45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10.5</v>
      </c>
    </row>
    <row r="18" spans="2:26" ht="18" x14ac:dyDescent="0.35">
      <c r="B18" s="95">
        <v>3</v>
      </c>
      <c r="C18" s="96" t="s">
        <v>77</v>
      </c>
      <c r="D18" s="97">
        <v>2.1</v>
      </c>
      <c r="E18" s="98">
        <v>6.3000000000000007</v>
      </c>
      <c r="F18" s="90">
        <v>0.5</v>
      </c>
      <c r="G18" s="91" t="s">
        <v>94</v>
      </c>
      <c r="H18" s="92">
        <v>10</v>
      </c>
      <c r="I18" s="93">
        <v>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19.200000000000003</v>
      </c>
    </row>
    <row r="19" spans="2:26" ht="18" x14ac:dyDescent="0.35">
      <c r="B19" s="95">
        <v>6</v>
      </c>
      <c r="C19" s="96" t="s">
        <v>77</v>
      </c>
      <c r="D19" s="97">
        <v>2.1</v>
      </c>
      <c r="E19" s="98">
        <v>12.600000000000001</v>
      </c>
      <c r="F19" s="90">
        <v>0.5</v>
      </c>
      <c r="G19" s="91" t="s">
        <v>23</v>
      </c>
      <c r="H19" s="92">
        <v>55</v>
      </c>
      <c r="I19" s="93">
        <v>27.5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0.5</v>
      </c>
    </row>
    <row r="20" spans="2:26" ht="18" x14ac:dyDescent="0.35">
      <c r="B20" s="95">
        <v>11</v>
      </c>
      <c r="C20" s="96" t="s">
        <v>88</v>
      </c>
      <c r="D20" s="97">
        <v>0.9</v>
      </c>
      <c r="E20" s="98">
        <v>9.9</v>
      </c>
      <c r="F20" s="90">
        <v>0.5</v>
      </c>
      <c r="G20" s="91" t="s">
        <v>92</v>
      </c>
      <c r="H20" s="92">
        <v>75</v>
      </c>
      <c r="I20" s="93">
        <v>37.5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2.5</v>
      </c>
    </row>
    <row r="21" spans="2:26" ht="18" x14ac:dyDescent="0.35">
      <c r="B21" s="95">
        <v>8.5</v>
      </c>
      <c r="C21" s="96" t="s">
        <v>77</v>
      </c>
      <c r="D21" s="97">
        <v>2.1</v>
      </c>
      <c r="E21" s="98">
        <v>17.850000000000001</v>
      </c>
      <c r="F21" s="90">
        <v>1.5</v>
      </c>
      <c r="G21" s="91" t="s">
        <v>90</v>
      </c>
      <c r="H21" s="92">
        <v>90</v>
      </c>
      <c r="I21" s="93">
        <v>135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3</v>
      </c>
      <c r="C22" s="96" t="s">
        <v>76</v>
      </c>
      <c r="D22" s="97">
        <v>2.4</v>
      </c>
      <c r="E22" s="98">
        <v>7.1999999999999993</v>
      </c>
      <c r="F22" s="90">
        <v>0.5</v>
      </c>
      <c r="G22" s="91" t="s">
        <v>18</v>
      </c>
      <c r="H22" s="92">
        <v>10</v>
      </c>
      <c r="I22" s="93">
        <v>5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4.5</v>
      </c>
      <c r="C23" s="96" t="s">
        <v>76</v>
      </c>
      <c r="D23" s="97">
        <v>2.4</v>
      </c>
      <c r="E23" s="98">
        <v>10.799999999999999</v>
      </c>
      <c r="F23" s="90">
        <v>4.5</v>
      </c>
      <c r="G23" s="91" t="s">
        <v>94</v>
      </c>
      <c r="H23" s="92">
        <v>10</v>
      </c>
      <c r="I23" s="93">
        <v>45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16.600000000000001</v>
      </c>
    </row>
    <row r="24" spans="2:26" ht="18" x14ac:dyDescent="0.35">
      <c r="B24" s="95">
        <v>46</v>
      </c>
      <c r="C24" s="96" t="s">
        <v>88</v>
      </c>
      <c r="D24" s="97">
        <v>0.9</v>
      </c>
      <c r="E24" s="98">
        <v>41.4</v>
      </c>
      <c r="F24" s="90">
        <v>2</v>
      </c>
      <c r="G24" s="91" t="s">
        <v>67</v>
      </c>
      <c r="H24" s="92">
        <v>92</v>
      </c>
      <c r="I24" s="93">
        <v>184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23.5</v>
      </c>
      <c r="C25" s="96" t="s">
        <v>88</v>
      </c>
      <c r="D25" s="97">
        <v>0.9</v>
      </c>
      <c r="E25" s="98">
        <v>21.150000000000002</v>
      </c>
      <c r="F25" s="90">
        <v>1</v>
      </c>
      <c r="G25" s="91" t="s">
        <v>92</v>
      </c>
      <c r="H25" s="92">
        <v>75</v>
      </c>
      <c r="I25" s="93">
        <v>75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35</v>
      </c>
    </row>
    <row r="26" spans="2:26" ht="18" x14ac:dyDescent="0.35">
      <c r="B26" s="95">
        <v>25.5</v>
      </c>
      <c r="C26" s="96" t="s">
        <v>76</v>
      </c>
      <c r="D26" s="97">
        <v>2.4</v>
      </c>
      <c r="E26" s="98">
        <v>61.199999999999996</v>
      </c>
      <c r="F26" s="90">
        <v>3.5</v>
      </c>
      <c r="G26" s="91" t="s">
        <v>94</v>
      </c>
      <c r="H26" s="92">
        <v>10</v>
      </c>
      <c r="I26" s="93">
        <v>35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>
        <v>24</v>
      </c>
      <c r="C27" s="96" t="s">
        <v>76</v>
      </c>
      <c r="D27" s="97">
        <v>2.4</v>
      </c>
      <c r="E27" s="98">
        <v>57.599999999999994</v>
      </c>
      <c r="F27" s="90">
        <v>16.5</v>
      </c>
      <c r="G27" s="91" t="s">
        <v>18</v>
      </c>
      <c r="H27" s="92">
        <v>10</v>
      </c>
      <c r="I27" s="93">
        <v>165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29.5</v>
      </c>
    </row>
    <row r="28" spans="2:26" ht="18" x14ac:dyDescent="0.35">
      <c r="B28" s="95">
        <v>30</v>
      </c>
      <c r="C28" s="96" t="s">
        <v>77</v>
      </c>
      <c r="D28" s="97">
        <v>2.1</v>
      </c>
      <c r="E28" s="98">
        <v>63</v>
      </c>
      <c r="F28" s="90">
        <v>0.5</v>
      </c>
      <c r="G28" s="91" t="s">
        <v>84</v>
      </c>
      <c r="H28" s="92">
        <v>5</v>
      </c>
      <c r="I28" s="93">
        <v>2.5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15</v>
      </c>
      <c r="C29" s="96" t="s">
        <v>88</v>
      </c>
      <c r="D29" s="97">
        <v>0.9</v>
      </c>
      <c r="E29" s="98">
        <v>13.5</v>
      </c>
      <c r="F29" s="90">
        <v>2</v>
      </c>
      <c r="G29" s="91" t="s">
        <v>90</v>
      </c>
      <c r="H29" s="92">
        <v>90</v>
      </c>
      <c r="I29" s="93">
        <v>180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3.5</v>
      </c>
      <c r="C30" s="96" t="s">
        <v>76</v>
      </c>
      <c r="D30" s="97">
        <v>2.4</v>
      </c>
      <c r="E30" s="98">
        <v>8.4</v>
      </c>
      <c r="F30" s="90">
        <v>1</v>
      </c>
      <c r="G30" s="91" t="s">
        <v>18</v>
      </c>
      <c r="H30" s="92">
        <v>10</v>
      </c>
      <c r="I30" s="93">
        <v>10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3</v>
      </c>
      <c r="C31" s="96" t="s">
        <v>77</v>
      </c>
      <c r="D31" s="97">
        <v>2.1</v>
      </c>
      <c r="E31" s="98">
        <v>6.3000000000000007</v>
      </c>
      <c r="F31" s="90">
        <v>1</v>
      </c>
      <c r="G31" s="91" t="s">
        <v>94</v>
      </c>
      <c r="H31" s="92">
        <v>10</v>
      </c>
      <c r="I31" s="93">
        <v>10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7</v>
      </c>
      <c r="C32" s="96" t="s">
        <v>88</v>
      </c>
      <c r="D32" s="97">
        <v>0.9</v>
      </c>
      <c r="E32" s="98">
        <v>6.3</v>
      </c>
      <c r="F32" s="90">
        <v>0.5</v>
      </c>
      <c r="G32" s="91" t="s">
        <v>92</v>
      </c>
      <c r="H32" s="92">
        <v>75</v>
      </c>
      <c r="I32" s="93">
        <v>37.5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36</v>
      </c>
      <c r="C33" s="96" t="s">
        <v>77</v>
      </c>
      <c r="D33" s="97">
        <v>2.1</v>
      </c>
      <c r="E33" s="98">
        <v>75.600000000000009</v>
      </c>
      <c r="F33" s="90">
        <v>2</v>
      </c>
      <c r="G33" s="91" t="s">
        <v>18</v>
      </c>
      <c r="H33" s="92">
        <v>10</v>
      </c>
      <c r="I33" s="93">
        <v>20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3</v>
      </c>
      <c r="C34" s="96" t="s">
        <v>77</v>
      </c>
      <c r="D34" s="97">
        <v>2.1</v>
      </c>
      <c r="E34" s="98">
        <v>6.3000000000000007</v>
      </c>
      <c r="F34" s="90">
        <v>4.5</v>
      </c>
      <c r="G34" s="91" t="s">
        <v>90</v>
      </c>
      <c r="H34" s="92">
        <v>90</v>
      </c>
      <c r="I34" s="93">
        <v>405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5.5</v>
      </c>
      <c r="C35" s="96" t="s">
        <v>76</v>
      </c>
      <c r="D35" s="97">
        <v>2.4</v>
      </c>
      <c r="E35" s="98">
        <v>13.2</v>
      </c>
      <c r="F35" s="90">
        <v>0.4</v>
      </c>
      <c r="G35" s="91" t="s">
        <v>23</v>
      </c>
      <c r="H35" s="92">
        <v>55</v>
      </c>
      <c r="I35" s="93">
        <v>22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20.5</v>
      </c>
      <c r="C36" s="96" t="s">
        <v>76</v>
      </c>
      <c r="D36" s="97">
        <v>2.4</v>
      </c>
      <c r="E36" s="98">
        <v>49.199999999999996</v>
      </c>
      <c r="F36" s="90">
        <v>0.5</v>
      </c>
      <c r="G36" s="91" t="s">
        <v>92</v>
      </c>
      <c r="H36" s="92">
        <v>75</v>
      </c>
      <c r="I36" s="93">
        <v>37.5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196.5</v>
      </c>
      <c r="C37" s="96" t="s">
        <v>77</v>
      </c>
      <c r="D37" s="97">
        <v>2.1</v>
      </c>
      <c r="E37" s="98">
        <v>412.65000000000003</v>
      </c>
      <c r="F37" s="90">
        <v>17</v>
      </c>
      <c r="G37" s="91" t="s">
        <v>20</v>
      </c>
      <c r="H37" s="92">
        <v>1</v>
      </c>
      <c r="I37" s="93">
        <v>17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>
        <v>0.5</v>
      </c>
      <c r="G38" s="91" t="s">
        <v>23</v>
      </c>
      <c r="H38" s="92">
        <v>55</v>
      </c>
      <c r="I38" s="93">
        <v>27.5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4</v>
      </c>
    </row>
    <row r="39" spans="2:26" ht="18" x14ac:dyDescent="0.35">
      <c r="B39" s="95"/>
      <c r="C39" s="96"/>
      <c r="D39" s="97"/>
      <c r="E39" s="98"/>
      <c r="F39" s="90">
        <v>1.5</v>
      </c>
      <c r="G39" s="91" t="s">
        <v>94</v>
      </c>
      <c r="H39" s="92">
        <v>10</v>
      </c>
      <c r="I39" s="93">
        <v>15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0.5</v>
      </c>
    </row>
    <row r="40" spans="2:26" ht="18" x14ac:dyDescent="0.35">
      <c r="B40" s="95"/>
      <c r="C40" s="96"/>
      <c r="D40" s="97"/>
      <c r="E40" s="98"/>
      <c r="F40" s="90">
        <v>0.5</v>
      </c>
      <c r="G40" s="91" t="s">
        <v>84</v>
      </c>
      <c r="H40" s="92">
        <v>5</v>
      </c>
      <c r="I40" s="93">
        <v>2.5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>
        <v>0.5</v>
      </c>
      <c r="G41" s="91" t="s">
        <v>85</v>
      </c>
      <c r="H41" s="92">
        <v>10</v>
      </c>
      <c r="I41" s="93">
        <v>5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>
        <v>2</v>
      </c>
      <c r="G42" s="91" t="s">
        <v>84</v>
      </c>
      <c r="H42" s="92">
        <v>5</v>
      </c>
      <c r="I42" s="93">
        <v>10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>
        <v>2</v>
      </c>
      <c r="G43" s="91" t="s">
        <v>67</v>
      </c>
      <c r="H43" s="92">
        <v>92</v>
      </c>
      <c r="I43" s="93">
        <v>184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>
        <v>0.5</v>
      </c>
      <c r="G44" s="91" t="s">
        <v>91</v>
      </c>
      <c r="H44" s="92">
        <v>88</v>
      </c>
      <c r="I44" s="93">
        <v>44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2</v>
      </c>
    </row>
    <row r="45" spans="2:26" ht="18" x14ac:dyDescent="0.35">
      <c r="B45" s="95"/>
      <c r="C45" s="96"/>
      <c r="D45" s="97"/>
      <c r="E45" s="98"/>
      <c r="F45" s="90">
        <v>1</v>
      </c>
      <c r="G45" s="91" t="s">
        <v>23</v>
      </c>
      <c r="H45" s="92">
        <v>55</v>
      </c>
      <c r="I45" s="93">
        <v>55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>
        <v>2.5</v>
      </c>
      <c r="G46" s="91" t="s">
        <v>23</v>
      </c>
      <c r="H46" s="92">
        <v>55</v>
      </c>
      <c r="I46" s="93">
        <v>137.5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53</v>
      </c>
    </row>
    <row r="47" spans="2:26" ht="18" x14ac:dyDescent="0.35">
      <c r="B47" s="95"/>
      <c r="C47" s="96"/>
      <c r="D47" s="97"/>
      <c r="E47" s="98"/>
      <c r="F47" s="90">
        <v>0.5</v>
      </c>
      <c r="G47" s="91" t="s">
        <v>96</v>
      </c>
      <c r="H47" s="92">
        <v>12</v>
      </c>
      <c r="I47" s="93">
        <v>6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3.5</v>
      </c>
    </row>
    <row r="48" spans="2:26" ht="18" x14ac:dyDescent="0.35">
      <c r="B48" s="95"/>
      <c r="C48" s="96"/>
      <c r="D48" s="97"/>
      <c r="E48" s="98"/>
      <c r="F48" s="90">
        <v>6.5</v>
      </c>
      <c r="G48" s="91" t="s">
        <v>90</v>
      </c>
      <c r="H48" s="92">
        <v>90</v>
      </c>
      <c r="I48" s="93">
        <v>585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>
        <v>8.5</v>
      </c>
      <c r="G49" s="91" t="s">
        <v>94</v>
      </c>
      <c r="H49" s="92">
        <v>10</v>
      </c>
      <c r="I49" s="93">
        <v>85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>
        <v>1</v>
      </c>
      <c r="G50" s="91" t="s">
        <v>52</v>
      </c>
      <c r="H50" s="92">
        <v>2</v>
      </c>
      <c r="I50" s="93">
        <v>2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2.5</v>
      </c>
      <c r="G51" s="91" t="s">
        <v>23</v>
      </c>
      <c r="H51" s="92">
        <v>55</v>
      </c>
      <c r="I51" s="93">
        <v>137.5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2</v>
      </c>
      <c r="G52" s="91" t="s">
        <v>94</v>
      </c>
      <c r="H52" s="92">
        <v>10</v>
      </c>
      <c r="I52" s="93">
        <v>20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9</v>
      </c>
      <c r="G53" s="91" t="s">
        <v>18</v>
      </c>
      <c r="H53" s="92">
        <v>10</v>
      </c>
      <c r="I53" s="93">
        <v>90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0.5</v>
      </c>
      <c r="G54" s="91" t="s">
        <v>90</v>
      </c>
      <c r="H54" s="92">
        <v>90</v>
      </c>
      <c r="I54" s="93">
        <v>45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34.5</v>
      </c>
    </row>
    <row r="55" spans="2:26" ht="18" x14ac:dyDescent="0.35">
      <c r="B55" s="95"/>
      <c r="C55" s="96"/>
      <c r="D55" s="97"/>
      <c r="E55" s="98"/>
      <c r="F55" s="90">
        <v>3</v>
      </c>
      <c r="G55" s="91" t="s">
        <v>18</v>
      </c>
      <c r="H55" s="92">
        <v>10</v>
      </c>
      <c r="I55" s="93">
        <v>30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>
        <v>0.5</v>
      </c>
      <c r="G56" s="91" t="s">
        <v>94</v>
      </c>
      <c r="H56" s="92">
        <v>10</v>
      </c>
      <c r="I56" s="93">
        <v>5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0.2</v>
      </c>
      <c r="G57" s="91" t="s">
        <v>23</v>
      </c>
      <c r="H57" s="92">
        <v>55</v>
      </c>
      <c r="I57" s="93">
        <v>11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0.6</v>
      </c>
      <c r="G58" s="91" t="s">
        <v>90</v>
      </c>
      <c r="H58" s="92">
        <v>90</v>
      </c>
      <c r="I58" s="93">
        <v>54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9</v>
      </c>
      <c r="G59" s="91" t="s">
        <v>22</v>
      </c>
      <c r="H59" s="92">
        <v>94</v>
      </c>
      <c r="I59" s="93">
        <v>846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27.5</v>
      </c>
      <c r="G60" s="91" t="s">
        <v>96</v>
      </c>
      <c r="H60" s="92">
        <v>12</v>
      </c>
      <c r="I60" s="93">
        <v>330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3</v>
      </c>
      <c r="G61" s="91" t="s">
        <v>94</v>
      </c>
      <c r="H61" s="92">
        <v>10</v>
      </c>
      <c r="I61" s="93">
        <v>30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35</v>
      </c>
      <c r="G62" s="91" t="s">
        <v>25</v>
      </c>
      <c r="H62" s="92">
        <v>30</v>
      </c>
      <c r="I62" s="93">
        <v>1050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34.5</v>
      </c>
      <c r="G63" s="91" t="s">
        <v>101</v>
      </c>
      <c r="H63" s="92">
        <v>1.3</v>
      </c>
      <c r="I63" s="93">
        <v>44.85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1</v>
      </c>
      <c r="G64" s="91" t="s">
        <v>84</v>
      </c>
      <c r="H64" s="92">
        <v>5</v>
      </c>
      <c r="I64" s="93">
        <v>5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1.5</v>
      </c>
      <c r="G65" s="100" t="s">
        <v>94</v>
      </c>
      <c r="H65" s="101">
        <v>10</v>
      </c>
      <c r="I65" s="102">
        <v>15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3.5</v>
      </c>
      <c r="G66" s="91" t="s">
        <v>73</v>
      </c>
      <c r="H66" s="92">
        <v>3</v>
      </c>
      <c r="I66" s="93">
        <v>10.5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2</v>
      </c>
      <c r="G67" s="94" t="s">
        <v>48</v>
      </c>
      <c r="H67" s="104">
        <v>6</v>
      </c>
      <c r="I67" s="105">
        <v>12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1.5</v>
      </c>
      <c r="G68" s="91" t="s">
        <v>90</v>
      </c>
      <c r="H68" s="92">
        <v>90</v>
      </c>
      <c r="I68" s="105">
        <v>135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>
        <v>1</v>
      </c>
      <c r="G69" s="91" t="s">
        <v>23</v>
      </c>
      <c r="H69" s="92">
        <v>55</v>
      </c>
      <c r="I69" s="105">
        <v>55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>
        <v>2</v>
      </c>
      <c r="G70" s="91" t="s">
        <v>94</v>
      </c>
      <c r="H70" s="92">
        <v>10</v>
      </c>
      <c r="I70" s="105">
        <v>20</v>
      </c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>
        <v>18</v>
      </c>
      <c r="G71" s="91" t="s">
        <v>18</v>
      </c>
      <c r="H71" s="92">
        <v>10</v>
      </c>
      <c r="I71" s="105">
        <v>180</v>
      </c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>
        <v>1</v>
      </c>
      <c r="G72" s="91" t="s">
        <v>18</v>
      </c>
      <c r="H72" s="92">
        <v>10</v>
      </c>
      <c r="I72" s="105">
        <v>10</v>
      </c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>
        <v>2</v>
      </c>
      <c r="G73" s="91" t="s">
        <v>23</v>
      </c>
      <c r="H73" s="92">
        <v>55</v>
      </c>
      <c r="I73" s="105">
        <v>110</v>
      </c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>
        <v>6.5</v>
      </c>
      <c r="G74" s="91" t="s">
        <v>67</v>
      </c>
      <c r="H74" s="92">
        <v>92</v>
      </c>
      <c r="I74" s="105">
        <v>598</v>
      </c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1</v>
      </c>
    </row>
    <row r="75" spans="2:26" ht="18" x14ac:dyDescent="0.35">
      <c r="B75" s="95"/>
      <c r="C75" s="96"/>
      <c r="D75" s="97"/>
      <c r="E75" s="113"/>
      <c r="F75" s="90">
        <v>25</v>
      </c>
      <c r="G75" s="91" t="s">
        <v>96</v>
      </c>
      <c r="H75" s="92">
        <v>12</v>
      </c>
      <c r="I75" s="105">
        <v>300</v>
      </c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536</v>
      </c>
      <c r="C130" s="122"/>
      <c r="D130" s="121"/>
      <c r="E130" s="123">
        <f>SUM(E9:E129)</f>
        <v>1035.6000000000001</v>
      </c>
      <c r="F130" s="124">
        <f>SUM(F9:F129)</f>
        <v>296.3</v>
      </c>
      <c r="G130" s="82"/>
      <c r="H130" s="125"/>
      <c r="I130" s="125">
        <f>SUM(I9:I129)</f>
        <v>7356.85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400</v>
      </c>
      <c r="U130" s="83"/>
      <c r="V130" s="82"/>
      <c r="W130" s="130">
        <f>SUM(W9:W129)</f>
        <v>2600</v>
      </c>
    </row>
  </sheetData>
  <sheetProtection algorithmName="SHA-512" hashValue="uA4nWAb4lhspOqDrEzhKuAPKXVharwZHt5au9PxwMGvt8X34kH+hFwXg4cRD9JqhDCPWfu8Dj7NEUuBCbuBJYA==" saltValue="60y6VJRB1LGp9mQyjFUE2g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5C966-231C-4C32-AE98-FF7F2BC2D817}">
  <sheetPr codeName="Sheet54"/>
  <dimension ref="A1:Z130"/>
  <sheetViews>
    <sheetView topLeftCell="O1" zoomScale="80" zoomScaleNormal="80" workbookViewId="0">
      <selection activeCell="I68" sqref="I68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44170</v>
      </c>
      <c r="F1" s="189"/>
      <c r="G1" s="189"/>
    </row>
    <row r="2" spans="2:26" ht="18" x14ac:dyDescent="0.35">
      <c r="B2" s="190" t="s">
        <v>0</v>
      </c>
      <c r="C2" s="190"/>
      <c r="D2" s="1">
        <v>19600</v>
      </c>
    </row>
    <row r="3" spans="2:26" ht="18" x14ac:dyDescent="0.35">
      <c r="B3" s="190" t="s">
        <v>1</v>
      </c>
      <c r="C3" s="190"/>
      <c r="D3" s="77">
        <f>(D2-E130-I130)</f>
        <v>9781.15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75</v>
      </c>
      <c r="C9" s="87" t="s">
        <v>76</v>
      </c>
      <c r="D9" s="88">
        <v>2.4</v>
      </c>
      <c r="E9" s="89">
        <v>180</v>
      </c>
      <c r="F9" s="90">
        <v>1</v>
      </c>
      <c r="G9" s="91" t="s">
        <v>90</v>
      </c>
      <c r="H9" s="92">
        <v>90</v>
      </c>
      <c r="I9" s="93">
        <v>90</v>
      </c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146</v>
      </c>
    </row>
    <row r="10" spans="2:26" ht="18" x14ac:dyDescent="0.35">
      <c r="B10" s="95">
        <v>24.5</v>
      </c>
      <c r="C10" s="96" t="s">
        <v>76</v>
      </c>
      <c r="D10" s="97">
        <v>2.4</v>
      </c>
      <c r="E10" s="98">
        <v>58.8</v>
      </c>
      <c r="F10" s="90">
        <v>0.2</v>
      </c>
      <c r="G10" s="91" t="s">
        <v>47</v>
      </c>
      <c r="H10" s="92">
        <v>13</v>
      </c>
      <c r="I10" s="93">
        <v>2.6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282.5</v>
      </c>
    </row>
    <row r="11" spans="2:26" ht="18" x14ac:dyDescent="0.35">
      <c r="B11" s="95">
        <v>72.5</v>
      </c>
      <c r="C11" s="96" t="s">
        <v>77</v>
      </c>
      <c r="D11" s="97">
        <v>2.1</v>
      </c>
      <c r="E11" s="98">
        <v>152.25</v>
      </c>
      <c r="F11" s="90">
        <v>1</v>
      </c>
      <c r="G11" s="91" t="s">
        <v>90</v>
      </c>
      <c r="H11" s="92">
        <v>90</v>
      </c>
      <c r="I11" s="93">
        <v>90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346</v>
      </c>
    </row>
    <row r="12" spans="2:26" ht="18" x14ac:dyDescent="0.35">
      <c r="B12" s="95">
        <v>57.5</v>
      </c>
      <c r="C12" s="96" t="s">
        <v>77</v>
      </c>
      <c r="D12" s="97">
        <v>2.1</v>
      </c>
      <c r="E12" s="98">
        <v>120.75</v>
      </c>
      <c r="F12" s="90">
        <v>4</v>
      </c>
      <c r="G12" s="91" t="s">
        <v>94</v>
      </c>
      <c r="H12" s="92">
        <v>10</v>
      </c>
      <c r="I12" s="93">
        <v>40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63</v>
      </c>
      <c r="C13" s="96" t="s">
        <v>76</v>
      </c>
      <c r="D13" s="97">
        <v>2.4</v>
      </c>
      <c r="E13" s="98">
        <v>151.19999999999999</v>
      </c>
      <c r="F13" s="90">
        <v>3.5</v>
      </c>
      <c r="G13" s="91" t="s">
        <v>90</v>
      </c>
      <c r="H13" s="92">
        <v>90</v>
      </c>
      <c r="I13" s="93">
        <v>315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3.5</v>
      </c>
    </row>
    <row r="14" spans="2:26" ht="18" x14ac:dyDescent="0.35">
      <c r="B14" s="95">
        <v>9</v>
      </c>
      <c r="C14" s="96" t="s">
        <v>76</v>
      </c>
      <c r="D14" s="97">
        <v>2.4</v>
      </c>
      <c r="E14" s="98">
        <v>21.599999999999998</v>
      </c>
      <c r="F14" s="90">
        <v>28</v>
      </c>
      <c r="G14" s="91" t="s">
        <v>90</v>
      </c>
      <c r="H14" s="92">
        <v>90</v>
      </c>
      <c r="I14" s="93">
        <v>2520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>
        <v>18</v>
      </c>
      <c r="C15" s="96" t="s">
        <v>77</v>
      </c>
      <c r="D15" s="97">
        <v>2.1</v>
      </c>
      <c r="E15" s="98">
        <v>37.800000000000004</v>
      </c>
      <c r="F15" s="90">
        <v>24.5</v>
      </c>
      <c r="G15" s="91" t="s">
        <v>48</v>
      </c>
      <c r="H15" s="92">
        <v>6</v>
      </c>
      <c r="I15" s="93">
        <v>147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47.1</v>
      </c>
    </row>
    <row r="16" spans="2:26" ht="18" x14ac:dyDescent="0.35">
      <c r="B16" s="95">
        <v>4</v>
      </c>
      <c r="C16" s="96" t="s">
        <v>77</v>
      </c>
      <c r="D16" s="97">
        <v>2.1</v>
      </c>
      <c r="E16" s="98">
        <v>8.4</v>
      </c>
      <c r="F16" s="90">
        <v>19.5</v>
      </c>
      <c r="G16" s="91" t="s">
        <v>83</v>
      </c>
      <c r="H16" s="92">
        <v>20</v>
      </c>
      <c r="I16" s="93">
        <v>390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>
        <v>141</v>
      </c>
      <c r="C17" s="96" t="s">
        <v>88</v>
      </c>
      <c r="D17" s="97">
        <v>0.9</v>
      </c>
      <c r="E17" s="98">
        <v>126.9</v>
      </c>
      <c r="F17" s="90">
        <v>4</v>
      </c>
      <c r="G17" s="91" t="s">
        <v>18</v>
      </c>
      <c r="H17" s="92">
        <v>10</v>
      </c>
      <c r="I17" s="93">
        <v>40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>
        <v>5</v>
      </c>
      <c r="C18" s="96" t="s">
        <v>77</v>
      </c>
      <c r="D18" s="97">
        <v>2.1</v>
      </c>
      <c r="E18" s="98">
        <v>10.5</v>
      </c>
      <c r="F18" s="90">
        <v>1</v>
      </c>
      <c r="G18" s="91" t="s">
        <v>84</v>
      </c>
      <c r="H18" s="92">
        <v>5</v>
      </c>
      <c r="I18" s="93">
        <v>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52.300000000000004</v>
      </c>
    </row>
    <row r="19" spans="2:26" ht="18" x14ac:dyDescent="0.35">
      <c r="B19" s="95">
        <v>5</v>
      </c>
      <c r="C19" s="96" t="s">
        <v>88</v>
      </c>
      <c r="D19" s="97">
        <v>0.9</v>
      </c>
      <c r="E19" s="98">
        <v>4.5</v>
      </c>
      <c r="F19" s="90">
        <v>1.5</v>
      </c>
      <c r="G19" s="91" t="s">
        <v>90</v>
      </c>
      <c r="H19" s="92">
        <v>90</v>
      </c>
      <c r="I19" s="93">
        <v>135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>
        <v>5</v>
      </c>
      <c r="C20" s="96" t="s">
        <v>77</v>
      </c>
      <c r="D20" s="97">
        <v>2.1</v>
      </c>
      <c r="E20" s="98">
        <v>10.5</v>
      </c>
      <c r="F20" s="90">
        <v>0.5</v>
      </c>
      <c r="G20" s="91" t="s">
        <v>52</v>
      </c>
      <c r="H20" s="92">
        <v>2</v>
      </c>
      <c r="I20" s="93">
        <v>1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0.7</v>
      </c>
    </row>
    <row r="21" spans="2:26" ht="18" x14ac:dyDescent="0.35">
      <c r="B21" s="95">
        <v>86</v>
      </c>
      <c r="C21" s="96" t="s">
        <v>77</v>
      </c>
      <c r="D21" s="97">
        <v>2.1</v>
      </c>
      <c r="E21" s="98">
        <v>180.6</v>
      </c>
      <c r="F21" s="90">
        <v>8</v>
      </c>
      <c r="G21" s="91" t="s">
        <v>18</v>
      </c>
      <c r="H21" s="92">
        <v>10</v>
      </c>
      <c r="I21" s="93">
        <v>80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23.5</v>
      </c>
      <c r="C22" s="96" t="s">
        <v>77</v>
      </c>
      <c r="D22" s="97">
        <v>2.1</v>
      </c>
      <c r="E22" s="98">
        <v>49.35</v>
      </c>
      <c r="F22" s="90">
        <v>1.5</v>
      </c>
      <c r="G22" s="91" t="s">
        <v>94</v>
      </c>
      <c r="H22" s="92">
        <v>10</v>
      </c>
      <c r="I22" s="93">
        <v>15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24</v>
      </c>
      <c r="C23" s="96" t="s">
        <v>77</v>
      </c>
      <c r="D23" s="97">
        <v>2.1</v>
      </c>
      <c r="E23" s="98">
        <v>50.400000000000006</v>
      </c>
      <c r="F23" s="90">
        <v>3.5</v>
      </c>
      <c r="G23" s="91" t="s">
        <v>32</v>
      </c>
      <c r="H23" s="92">
        <v>60</v>
      </c>
      <c r="I23" s="93">
        <v>210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9.1</v>
      </c>
    </row>
    <row r="24" spans="2:26" ht="18" x14ac:dyDescent="0.35">
      <c r="B24" s="95">
        <v>2</v>
      </c>
      <c r="C24" s="96" t="s">
        <v>76</v>
      </c>
      <c r="D24" s="97">
        <v>2.4</v>
      </c>
      <c r="E24" s="98">
        <v>4.8</v>
      </c>
      <c r="F24" s="90">
        <v>7.5</v>
      </c>
      <c r="G24" s="91" t="s">
        <v>90</v>
      </c>
      <c r="H24" s="92">
        <v>90</v>
      </c>
      <c r="I24" s="93">
        <v>675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15</v>
      </c>
      <c r="C25" s="96" t="s">
        <v>77</v>
      </c>
      <c r="D25" s="97">
        <v>2.1</v>
      </c>
      <c r="E25" s="98">
        <v>31.5</v>
      </c>
      <c r="F25" s="90">
        <v>9.5</v>
      </c>
      <c r="G25" s="91" t="s">
        <v>94</v>
      </c>
      <c r="H25" s="92">
        <v>10</v>
      </c>
      <c r="I25" s="93">
        <v>95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>
        <v>7</v>
      </c>
      <c r="C26" s="96" t="s">
        <v>77</v>
      </c>
      <c r="D26" s="97">
        <v>2.1</v>
      </c>
      <c r="E26" s="98">
        <v>14.700000000000001</v>
      </c>
      <c r="F26" s="90">
        <v>10.5</v>
      </c>
      <c r="G26" s="91" t="s">
        <v>18</v>
      </c>
      <c r="H26" s="92">
        <v>10</v>
      </c>
      <c r="I26" s="93">
        <v>105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>
        <v>18.5</v>
      </c>
      <c r="C27" s="96" t="s">
        <v>77</v>
      </c>
      <c r="D27" s="97">
        <v>2.1</v>
      </c>
      <c r="E27" s="98">
        <v>38.85</v>
      </c>
      <c r="F27" s="90">
        <v>3</v>
      </c>
      <c r="G27" s="91" t="s">
        <v>96</v>
      </c>
      <c r="H27" s="92">
        <v>12</v>
      </c>
      <c r="I27" s="93">
        <v>36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51.5</v>
      </c>
    </row>
    <row r="28" spans="2:26" ht="18" x14ac:dyDescent="0.35">
      <c r="B28" s="95">
        <v>109</v>
      </c>
      <c r="C28" s="96" t="s">
        <v>76</v>
      </c>
      <c r="D28" s="97">
        <v>2.4</v>
      </c>
      <c r="E28" s="98">
        <v>261.59999999999997</v>
      </c>
      <c r="F28" s="90">
        <v>2.5</v>
      </c>
      <c r="G28" s="91" t="s">
        <v>23</v>
      </c>
      <c r="H28" s="92">
        <v>55</v>
      </c>
      <c r="I28" s="93">
        <v>137.5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10</v>
      </c>
      <c r="C29" s="96" t="s">
        <v>77</v>
      </c>
      <c r="D29" s="97">
        <v>2.1</v>
      </c>
      <c r="E29" s="98">
        <v>21</v>
      </c>
      <c r="F29" s="90">
        <v>0.5</v>
      </c>
      <c r="G29" s="91" t="s">
        <v>23</v>
      </c>
      <c r="H29" s="92">
        <v>55</v>
      </c>
      <c r="I29" s="93">
        <v>27.5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>
        <v>1</v>
      </c>
      <c r="G30" s="91" t="s">
        <v>90</v>
      </c>
      <c r="H30" s="92">
        <v>90</v>
      </c>
      <c r="I30" s="93">
        <v>90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>
        <v>0.5</v>
      </c>
      <c r="G31" s="91" t="s">
        <v>94</v>
      </c>
      <c r="H31" s="92">
        <v>10</v>
      </c>
      <c r="I31" s="93">
        <v>5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>
        <v>3</v>
      </c>
      <c r="G32" s="91" t="s">
        <v>18</v>
      </c>
      <c r="H32" s="92">
        <v>10</v>
      </c>
      <c r="I32" s="93">
        <v>30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>
        <v>2.5</v>
      </c>
      <c r="G33" s="91" t="s">
        <v>18</v>
      </c>
      <c r="H33" s="92">
        <v>10</v>
      </c>
      <c r="I33" s="93">
        <v>25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>
        <v>0.5</v>
      </c>
      <c r="G34" s="91" t="s">
        <v>94</v>
      </c>
      <c r="H34" s="92">
        <v>10</v>
      </c>
      <c r="I34" s="93">
        <v>5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3.5</v>
      </c>
    </row>
    <row r="35" spans="2:26" ht="18" x14ac:dyDescent="0.35">
      <c r="B35" s="95"/>
      <c r="C35" s="96"/>
      <c r="D35" s="97"/>
      <c r="E35" s="98"/>
      <c r="F35" s="90">
        <v>7.5</v>
      </c>
      <c r="G35" s="91" t="s">
        <v>94</v>
      </c>
      <c r="H35" s="92">
        <v>10</v>
      </c>
      <c r="I35" s="93">
        <v>75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>
        <v>1</v>
      </c>
      <c r="G36" s="91" t="s">
        <v>90</v>
      </c>
      <c r="H36" s="92">
        <v>90</v>
      </c>
      <c r="I36" s="93">
        <v>90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>
        <v>2</v>
      </c>
      <c r="G37" s="91" t="s">
        <v>90</v>
      </c>
      <c r="H37" s="92">
        <v>90</v>
      </c>
      <c r="I37" s="93">
        <v>180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>
        <v>0.6</v>
      </c>
      <c r="G38" s="91" t="s">
        <v>23</v>
      </c>
      <c r="H38" s="92">
        <v>55</v>
      </c>
      <c r="I38" s="93">
        <v>33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4</v>
      </c>
    </row>
    <row r="39" spans="2:26" ht="18" x14ac:dyDescent="0.35">
      <c r="B39" s="95"/>
      <c r="C39" s="96"/>
      <c r="D39" s="97"/>
      <c r="E39" s="98"/>
      <c r="F39" s="90">
        <v>4</v>
      </c>
      <c r="G39" s="91" t="s">
        <v>23</v>
      </c>
      <c r="H39" s="92">
        <v>55</v>
      </c>
      <c r="I39" s="93">
        <v>220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2.5</v>
      </c>
    </row>
    <row r="40" spans="2:26" ht="18" x14ac:dyDescent="0.35">
      <c r="B40" s="95"/>
      <c r="C40" s="96"/>
      <c r="D40" s="97"/>
      <c r="E40" s="98"/>
      <c r="F40" s="90">
        <v>35</v>
      </c>
      <c r="G40" s="91" t="s">
        <v>48</v>
      </c>
      <c r="H40" s="92">
        <v>6</v>
      </c>
      <c r="I40" s="93">
        <v>210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2</v>
      </c>
    </row>
    <row r="41" spans="2:26" ht="18" x14ac:dyDescent="0.35">
      <c r="B41" s="95"/>
      <c r="C41" s="96"/>
      <c r="D41" s="97"/>
      <c r="E41" s="98"/>
      <c r="F41" s="90">
        <v>158.5</v>
      </c>
      <c r="G41" s="91" t="s">
        <v>70</v>
      </c>
      <c r="H41" s="92">
        <v>5.5</v>
      </c>
      <c r="I41" s="93">
        <v>871.75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>
        <v>1</v>
      </c>
      <c r="G42" s="91" t="s">
        <v>18</v>
      </c>
      <c r="H42" s="92">
        <v>10</v>
      </c>
      <c r="I42" s="93">
        <v>10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>
        <v>1</v>
      </c>
      <c r="G43" s="91" t="s">
        <v>90</v>
      </c>
      <c r="H43" s="92">
        <v>90</v>
      </c>
      <c r="I43" s="93">
        <v>90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0.2</v>
      </c>
    </row>
    <row r="44" spans="2:26" ht="18" x14ac:dyDescent="0.35">
      <c r="B44" s="95"/>
      <c r="C44" s="96"/>
      <c r="D44" s="97"/>
      <c r="E44" s="98"/>
      <c r="F44" s="90">
        <v>1</v>
      </c>
      <c r="G44" s="91" t="s">
        <v>90</v>
      </c>
      <c r="H44" s="92">
        <v>90</v>
      </c>
      <c r="I44" s="93">
        <v>90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59.5</v>
      </c>
    </row>
    <row r="45" spans="2:26" ht="18" x14ac:dyDescent="0.35">
      <c r="B45" s="95"/>
      <c r="C45" s="96"/>
      <c r="D45" s="97"/>
      <c r="E45" s="98"/>
      <c r="F45" s="90">
        <v>0.5</v>
      </c>
      <c r="G45" s="91" t="s">
        <v>92</v>
      </c>
      <c r="H45" s="92">
        <v>75</v>
      </c>
      <c r="I45" s="93">
        <v>37.5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19.5</v>
      </c>
    </row>
    <row r="46" spans="2:26" ht="18" x14ac:dyDescent="0.35">
      <c r="B46" s="95"/>
      <c r="C46" s="96"/>
      <c r="D46" s="97"/>
      <c r="E46" s="98"/>
      <c r="F46" s="90">
        <v>0.2</v>
      </c>
      <c r="G46" s="91" t="s">
        <v>90</v>
      </c>
      <c r="H46" s="92">
        <v>90</v>
      </c>
      <c r="I46" s="93">
        <v>18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3</v>
      </c>
    </row>
    <row r="47" spans="2:26" ht="18" x14ac:dyDescent="0.35">
      <c r="B47" s="95"/>
      <c r="C47" s="96"/>
      <c r="D47" s="97"/>
      <c r="E47" s="98"/>
      <c r="F47" s="90">
        <v>3.5</v>
      </c>
      <c r="G47" s="91" t="s">
        <v>20</v>
      </c>
      <c r="H47" s="92">
        <v>1</v>
      </c>
      <c r="I47" s="93">
        <v>3.5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>
        <v>2</v>
      </c>
      <c r="G48" s="91" t="s">
        <v>84</v>
      </c>
      <c r="H48" s="92">
        <v>5</v>
      </c>
      <c r="I48" s="93">
        <v>10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4.5</v>
      </c>
    </row>
    <row r="49" spans="2:26" ht="18" x14ac:dyDescent="0.35">
      <c r="B49" s="95"/>
      <c r="C49" s="96"/>
      <c r="D49" s="97"/>
      <c r="E49" s="98"/>
      <c r="F49" s="90">
        <v>1.5</v>
      </c>
      <c r="G49" s="91" t="s">
        <v>94</v>
      </c>
      <c r="H49" s="92">
        <v>10</v>
      </c>
      <c r="I49" s="93">
        <v>15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158.5</v>
      </c>
    </row>
    <row r="50" spans="2:26" ht="18" x14ac:dyDescent="0.35">
      <c r="B50" s="95"/>
      <c r="C50" s="96"/>
      <c r="D50" s="97"/>
      <c r="E50" s="98"/>
      <c r="F50" s="90">
        <v>0.5</v>
      </c>
      <c r="G50" s="91" t="s">
        <v>90</v>
      </c>
      <c r="H50" s="92">
        <v>90</v>
      </c>
      <c r="I50" s="93">
        <v>45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0.6</v>
      </c>
      <c r="G51" s="91" t="s">
        <v>90</v>
      </c>
      <c r="H51" s="92">
        <v>90</v>
      </c>
      <c r="I51" s="93">
        <v>54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13.5</v>
      </c>
      <c r="G52" s="91" t="s">
        <v>18</v>
      </c>
      <c r="H52" s="92">
        <v>10</v>
      </c>
      <c r="I52" s="93">
        <v>135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0.6</v>
      </c>
      <c r="G53" s="91" t="s">
        <v>18</v>
      </c>
      <c r="H53" s="92">
        <v>10</v>
      </c>
      <c r="I53" s="93">
        <v>6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2.5</v>
      </c>
      <c r="G54" s="91" t="s">
        <v>94</v>
      </c>
      <c r="H54" s="92">
        <v>10</v>
      </c>
      <c r="I54" s="93">
        <v>25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>
        <v>3</v>
      </c>
      <c r="G55" s="91" t="s">
        <v>18</v>
      </c>
      <c r="H55" s="92">
        <v>10</v>
      </c>
      <c r="I55" s="93">
        <v>30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3.5</v>
      </c>
    </row>
    <row r="56" spans="2:26" ht="18" x14ac:dyDescent="0.35">
      <c r="B56" s="95"/>
      <c r="C56" s="96"/>
      <c r="D56" s="97"/>
      <c r="E56" s="98"/>
      <c r="F56" s="90">
        <v>2</v>
      </c>
      <c r="G56" s="91" t="s">
        <v>90</v>
      </c>
      <c r="H56" s="92">
        <v>90</v>
      </c>
      <c r="I56" s="93">
        <v>180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0.5</v>
      </c>
      <c r="G57" s="91" t="s">
        <v>23</v>
      </c>
      <c r="H57" s="92">
        <v>55</v>
      </c>
      <c r="I57" s="93">
        <v>27.5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2.5</v>
      </c>
      <c r="G58" s="91" t="s">
        <v>85</v>
      </c>
      <c r="H58" s="92">
        <v>10</v>
      </c>
      <c r="I58" s="93">
        <v>25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1</v>
      </c>
      <c r="G59" s="91" t="s">
        <v>84</v>
      </c>
      <c r="H59" s="92">
        <v>5</v>
      </c>
      <c r="I59" s="93">
        <v>5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1</v>
      </c>
      <c r="G60" s="91" t="s">
        <v>23</v>
      </c>
      <c r="H60" s="92">
        <v>55</v>
      </c>
      <c r="I60" s="93">
        <v>55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0.5</v>
      </c>
      <c r="G61" s="91" t="s">
        <v>90</v>
      </c>
      <c r="H61" s="92">
        <v>90</v>
      </c>
      <c r="I61" s="93">
        <v>45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23.5</v>
      </c>
      <c r="G62" s="91" t="s">
        <v>94</v>
      </c>
      <c r="H62" s="92">
        <v>10</v>
      </c>
      <c r="I62" s="93">
        <v>235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3.5</v>
      </c>
      <c r="G63" s="91" t="s">
        <v>102</v>
      </c>
      <c r="H63" s="92">
        <v>5</v>
      </c>
      <c r="I63" s="93">
        <v>17.5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4.5</v>
      </c>
      <c r="G64" s="91" t="s">
        <v>74</v>
      </c>
      <c r="H64" s="92">
        <v>5</v>
      </c>
      <c r="I64" s="93">
        <v>22.5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2</v>
      </c>
      <c r="G65" s="100" t="s">
        <v>86</v>
      </c>
      <c r="H65" s="101">
        <v>40</v>
      </c>
      <c r="I65" s="102">
        <v>80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1</v>
      </c>
      <c r="G66" s="91" t="s">
        <v>18</v>
      </c>
      <c r="H66" s="92">
        <v>10</v>
      </c>
      <c r="I66" s="93">
        <v>10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0.5</v>
      </c>
      <c r="G67" s="94" t="s">
        <v>94</v>
      </c>
      <c r="H67" s="104">
        <v>10</v>
      </c>
      <c r="I67" s="105">
        <v>5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0.2</v>
      </c>
      <c r="G68" s="91" t="s">
        <v>92</v>
      </c>
      <c r="H68" s="92">
        <v>75</v>
      </c>
      <c r="I68" s="105">
        <v>15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0.5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774.5</v>
      </c>
      <c r="C130" s="122"/>
      <c r="D130" s="121"/>
      <c r="E130" s="123">
        <f>SUM(E9:E129)</f>
        <v>1535.9999999999998</v>
      </c>
      <c r="F130" s="124">
        <f>SUM(F9:F129)</f>
        <v>425.4</v>
      </c>
      <c r="G130" s="82"/>
      <c r="H130" s="125"/>
      <c r="I130" s="125">
        <f>SUM(I9:I129)</f>
        <v>8282.85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sheetProtection algorithmName="SHA-512" hashValue="oS6RomimUKf72/w+MvWJ/SemRcc6hbewatc9MzmB49dh6WvKuiMk9ZI1KS+0iSRHZwCIm3eu/+dVjgdXAJ5Fcw==" saltValue="PZEE6wkgCQGTIy7dTK1cuQ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60487-E06E-4958-A02E-8DF6D02F0729}">
  <sheetPr codeName="Sheet53"/>
  <dimension ref="A1:Z130"/>
  <sheetViews>
    <sheetView topLeftCell="P1" zoomScale="80" zoomScaleNormal="80" workbookViewId="0">
      <selection activeCell="P2" sqref="P2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44172</v>
      </c>
      <c r="F1" s="189"/>
      <c r="G1" s="189"/>
    </row>
    <row r="2" spans="2:26" ht="18" x14ac:dyDescent="0.35">
      <c r="B2" s="190" t="s">
        <v>0</v>
      </c>
      <c r="C2" s="190"/>
      <c r="D2" s="1">
        <v>10500</v>
      </c>
    </row>
    <row r="3" spans="2:26" ht="18" x14ac:dyDescent="0.35">
      <c r="B3" s="190" t="s">
        <v>1</v>
      </c>
      <c r="C3" s="190"/>
      <c r="D3" s="77">
        <f>(D2-E130-I130)</f>
        <v>7518.85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6</v>
      </c>
      <c r="C9" s="87" t="s">
        <v>77</v>
      </c>
      <c r="D9" s="88">
        <v>2.1</v>
      </c>
      <c r="E9" s="89">
        <v>12.600000000000001</v>
      </c>
      <c r="F9" s="90">
        <v>2</v>
      </c>
      <c r="G9" s="91" t="s">
        <v>90</v>
      </c>
      <c r="H9" s="92">
        <v>90</v>
      </c>
      <c r="I9" s="93">
        <v>180</v>
      </c>
      <c r="J9" s="83"/>
      <c r="K9" s="83"/>
      <c r="L9" s="3" t="s">
        <v>123</v>
      </c>
      <c r="M9" s="4">
        <v>68</v>
      </c>
      <c r="N9" s="5">
        <v>884</v>
      </c>
      <c r="O9" s="6"/>
      <c r="P9" s="7"/>
      <c r="Q9" s="8"/>
      <c r="R9" s="2"/>
      <c r="S9" s="3" t="s">
        <v>125</v>
      </c>
      <c r="T9" s="9">
        <v>200</v>
      </c>
      <c r="U9" s="2"/>
      <c r="V9" s="10"/>
      <c r="W9" s="8"/>
      <c r="Y9" s="148" t="s">
        <v>88</v>
      </c>
      <c r="Z9" s="151">
        <f>SUMIF($C$9:$C$129, Y9, $B$9:$B$129)</f>
        <v>41</v>
      </c>
    </row>
    <row r="10" spans="2:26" ht="18" x14ac:dyDescent="0.35">
      <c r="B10" s="95">
        <v>0.5</v>
      </c>
      <c r="C10" s="96" t="s">
        <v>88</v>
      </c>
      <c r="D10" s="97">
        <v>0.9</v>
      </c>
      <c r="E10" s="98">
        <v>0.45</v>
      </c>
      <c r="F10" s="90">
        <v>3.5</v>
      </c>
      <c r="G10" s="91" t="s">
        <v>18</v>
      </c>
      <c r="H10" s="92">
        <v>10</v>
      </c>
      <c r="I10" s="93">
        <v>35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111</v>
      </c>
    </row>
    <row r="11" spans="2:26" ht="18" x14ac:dyDescent="0.35">
      <c r="B11" s="95">
        <v>14.5</v>
      </c>
      <c r="C11" s="96" t="s">
        <v>76</v>
      </c>
      <c r="D11" s="97">
        <v>2.4</v>
      </c>
      <c r="E11" s="98">
        <v>34.799999999999997</v>
      </c>
      <c r="F11" s="90">
        <v>2</v>
      </c>
      <c r="G11" s="91" t="s">
        <v>84</v>
      </c>
      <c r="H11" s="92">
        <v>5</v>
      </c>
      <c r="I11" s="93">
        <v>10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107.5</v>
      </c>
    </row>
    <row r="12" spans="2:26" ht="18" x14ac:dyDescent="0.35">
      <c r="B12" s="95">
        <v>15</v>
      </c>
      <c r="C12" s="96" t="s">
        <v>76</v>
      </c>
      <c r="D12" s="97">
        <v>2.4</v>
      </c>
      <c r="E12" s="98">
        <v>36</v>
      </c>
      <c r="F12" s="90">
        <v>0.8</v>
      </c>
      <c r="G12" s="91" t="s">
        <v>85</v>
      </c>
      <c r="H12" s="92">
        <v>10</v>
      </c>
      <c r="I12" s="93">
        <v>8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11</v>
      </c>
      <c r="C13" s="96" t="s">
        <v>76</v>
      </c>
      <c r="D13" s="97">
        <v>2.4</v>
      </c>
      <c r="E13" s="98">
        <v>26.4</v>
      </c>
      <c r="F13" s="90">
        <v>1</v>
      </c>
      <c r="G13" s="91" t="s">
        <v>90</v>
      </c>
      <c r="H13" s="92">
        <v>90</v>
      </c>
      <c r="I13" s="93">
        <v>90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1.5</v>
      </c>
    </row>
    <row r="14" spans="2:26" ht="18" x14ac:dyDescent="0.35">
      <c r="B14" s="95">
        <v>9.5</v>
      </c>
      <c r="C14" s="96" t="s">
        <v>77</v>
      </c>
      <c r="D14" s="97">
        <v>2.1</v>
      </c>
      <c r="E14" s="98">
        <v>19.95</v>
      </c>
      <c r="F14" s="90">
        <v>0.8</v>
      </c>
      <c r="G14" s="91" t="s">
        <v>23</v>
      </c>
      <c r="H14" s="92">
        <v>55</v>
      </c>
      <c r="I14" s="93">
        <v>44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126.5</v>
      </c>
    </row>
    <row r="15" spans="2:26" ht="18" x14ac:dyDescent="0.35">
      <c r="B15" s="95">
        <v>16</v>
      </c>
      <c r="C15" s="96" t="s">
        <v>76</v>
      </c>
      <c r="D15" s="97">
        <v>2.4</v>
      </c>
      <c r="E15" s="98">
        <v>38.4</v>
      </c>
      <c r="F15" s="90">
        <v>2</v>
      </c>
      <c r="G15" s="91" t="s">
        <v>70</v>
      </c>
      <c r="H15" s="92">
        <v>5</v>
      </c>
      <c r="I15" s="93">
        <v>10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17.399999999999999</v>
      </c>
    </row>
    <row r="16" spans="2:26" ht="18" x14ac:dyDescent="0.35">
      <c r="B16" s="95">
        <v>6.5</v>
      </c>
      <c r="C16" s="96" t="s">
        <v>76</v>
      </c>
      <c r="D16" s="97">
        <v>2.4</v>
      </c>
      <c r="E16" s="98">
        <v>15.6</v>
      </c>
      <c r="F16" s="90">
        <v>103</v>
      </c>
      <c r="G16" s="91" t="s">
        <v>19</v>
      </c>
      <c r="H16" s="92">
        <v>2</v>
      </c>
      <c r="I16" s="93">
        <v>206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1</v>
      </c>
    </row>
    <row r="17" spans="2:26" ht="18" x14ac:dyDescent="0.35">
      <c r="B17" s="95">
        <v>5</v>
      </c>
      <c r="C17" s="96" t="s">
        <v>77</v>
      </c>
      <c r="D17" s="97">
        <v>2.1</v>
      </c>
      <c r="E17" s="98">
        <v>10.5</v>
      </c>
      <c r="F17" s="90">
        <v>0.2</v>
      </c>
      <c r="G17" s="91" t="s">
        <v>92</v>
      </c>
      <c r="H17" s="92">
        <v>75</v>
      </c>
      <c r="I17" s="93">
        <v>15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>
        <v>3</v>
      </c>
      <c r="C18" s="96" t="s">
        <v>77</v>
      </c>
      <c r="D18" s="97">
        <v>2.1</v>
      </c>
      <c r="E18" s="98">
        <v>6.3000000000000007</v>
      </c>
      <c r="F18" s="90">
        <v>0.2</v>
      </c>
      <c r="G18" s="91" t="s">
        <v>92</v>
      </c>
      <c r="H18" s="92">
        <v>75</v>
      </c>
      <c r="I18" s="93">
        <v>15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9.1999999999999993</v>
      </c>
    </row>
    <row r="19" spans="2:26" ht="18" x14ac:dyDescent="0.35">
      <c r="B19" s="95">
        <v>4</v>
      </c>
      <c r="C19" s="96" t="s">
        <v>76</v>
      </c>
      <c r="D19" s="97">
        <v>2.4</v>
      </c>
      <c r="E19" s="98">
        <v>9.6</v>
      </c>
      <c r="F19" s="90">
        <v>0.5</v>
      </c>
      <c r="G19" s="91" t="s">
        <v>18</v>
      </c>
      <c r="H19" s="92">
        <v>10</v>
      </c>
      <c r="I19" s="93">
        <v>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>
        <v>6</v>
      </c>
      <c r="C20" s="96" t="s">
        <v>77</v>
      </c>
      <c r="D20" s="97">
        <v>2.1</v>
      </c>
      <c r="E20" s="98">
        <v>12.600000000000001</v>
      </c>
      <c r="F20" s="90">
        <v>1</v>
      </c>
      <c r="G20" s="91" t="s">
        <v>94</v>
      </c>
      <c r="H20" s="92">
        <v>10</v>
      </c>
      <c r="I20" s="93">
        <v>10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1.3</v>
      </c>
    </row>
    <row r="21" spans="2:26" ht="18" x14ac:dyDescent="0.35">
      <c r="B21" s="95">
        <v>2</v>
      </c>
      <c r="C21" s="96" t="s">
        <v>88</v>
      </c>
      <c r="D21" s="97">
        <v>0.9</v>
      </c>
      <c r="E21" s="98">
        <v>1.8</v>
      </c>
      <c r="F21" s="90">
        <v>1</v>
      </c>
      <c r="G21" s="91" t="s">
        <v>90</v>
      </c>
      <c r="H21" s="92">
        <v>90</v>
      </c>
      <c r="I21" s="93">
        <v>90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8.5</v>
      </c>
      <c r="C22" s="96" t="s">
        <v>77</v>
      </c>
      <c r="D22" s="97">
        <v>2.1</v>
      </c>
      <c r="E22" s="98">
        <v>17.850000000000001</v>
      </c>
      <c r="F22" s="90">
        <v>1</v>
      </c>
      <c r="G22" s="91" t="s">
        <v>94</v>
      </c>
      <c r="H22" s="92">
        <v>10</v>
      </c>
      <c r="I22" s="93">
        <v>10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1</v>
      </c>
      <c r="C23" s="96" t="s">
        <v>76</v>
      </c>
      <c r="D23" s="97">
        <v>2.4</v>
      </c>
      <c r="E23" s="98">
        <v>2.4</v>
      </c>
      <c r="F23" s="90">
        <v>1.5</v>
      </c>
      <c r="G23" s="91" t="s">
        <v>18</v>
      </c>
      <c r="H23" s="92">
        <v>10</v>
      </c>
      <c r="I23" s="93">
        <v>15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8.6999999999999993</v>
      </c>
    </row>
    <row r="24" spans="2:26" ht="18" x14ac:dyDescent="0.35">
      <c r="B24" s="95">
        <v>3</v>
      </c>
      <c r="C24" s="96" t="s">
        <v>77</v>
      </c>
      <c r="D24" s="97">
        <v>2.1</v>
      </c>
      <c r="E24" s="98">
        <v>6.3000000000000007</v>
      </c>
      <c r="F24" s="90">
        <v>16.5</v>
      </c>
      <c r="G24" s="91" t="s">
        <v>19</v>
      </c>
      <c r="H24" s="92">
        <v>2</v>
      </c>
      <c r="I24" s="93">
        <v>33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23.5</v>
      </c>
      <c r="C25" s="96" t="s">
        <v>77</v>
      </c>
      <c r="D25" s="97">
        <v>2.1</v>
      </c>
      <c r="E25" s="98">
        <v>49.35</v>
      </c>
      <c r="F25" s="90">
        <v>0.5</v>
      </c>
      <c r="G25" s="91" t="s">
        <v>18</v>
      </c>
      <c r="H25" s="92">
        <v>10</v>
      </c>
      <c r="I25" s="93">
        <v>5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7.5</v>
      </c>
    </row>
    <row r="26" spans="2:26" ht="18" x14ac:dyDescent="0.35">
      <c r="B26" s="95">
        <v>6.5</v>
      </c>
      <c r="C26" s="96" t="s">
        <v>77</v>
      </c>
      <c r="D26" s="97">
        <v>2.1</v>
      </c>
      <c r="E26" s="98">
        <v>13.65</v>
      </c>
      <c r="F26" s="90">
        <v>2</v>
      </c>
      <c r="G26" s="91" t="s">
        <v>18</v>
      </c>
      <c r="H26" s="92">
        <v>10</v>
      </c>
      <c r="I26" s="93">
        <v>20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>
        <v>15</v>
      </c>
      <c r="C27" s="96" t="s">
        <v>76</v>
      </c>
      <c r="D27" s="97">
        <v>2.4</v>
      </c>
      <c r="E27" s="98">
        <v>36</v>
      </c>
      <c r="F27" s="90">
        <v>1</v>
      </c>
      <c r="G27" s="91" t="s">
        <v>94</v>
      </c>
      <c r="H27" s="92">
        <v>10</v>
      </c>
      <c r="I27" s="93">
        <v>10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13.899999999999999</v>
      </c>
    </row>
    <row r="28" spans="2:26" ht="18" x14ac:dyDescent="0.35">
      <c r="B28" s="95">
        <v>19</v>
      </c>
      <c r="C28" s="96" t="s">
        <v>88</v>
      </c>
      <c r="D28" s="97">
        <v>0.9</v>
      </c>
      <c r="E28" s="98">
        <v>17.100000000000001</v>
      </c>
      <c r="F28" s="90">
        <v>0.5</v>
      </c>
      <c r="G28" s="91" t="s">
        <v>23</v>
      </c>
      <c r="H28" s="92">
        <v>55</v>
      </c>
      <c r="I28" s="93">
        <v>27.5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2.5</v>
      </c>
      <c r="C29" s="96" t="s">
        <v>77</v>
      </c>
      <c r="D29" s="97">
        <v>2.1</v>
      </c>
      <c r="E29" s="98">
        <v>5.25</v>
      </c>
      <c r="F29" s="90">
        <v>0.5</v>
      </c>
      <c r="G29" s="91" t="s">
        <v>90</v>
      </c>
      <c r="H29" s="92">
        <v>90</v>
      </c>
      <c r="I29" s="93">
        <v>45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2.5</v>
      </c>
      <c r="C30" s="96" t="s">
        <v>88</v>
      </c>
      <c r="D30" s="97">
        <v>0.9</v>
      </c>
      <c r="E30" s="98">
        <v>2.25</v>
      </c>
      <c r="F30" s="90">
        <v>7</v>
      </c>
      <c r="G30" s="91" t="s">
        <v>19</v>
      </c>
      <c r="H30" s="92">
        <v>2</v>
      </c>
      <c r="I30" s="93">
        <v>14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3</v>
      </c>
      <c r="C31" s="96" t="s">
        <v>88</v>
      </c>
      <c r="D31" s="97">
        <v>0.9</v>
      </c>
      <c r="E31" s="98">
        <v>2.7</v>
      </c>
      <c r="F31" s="90">
        <v>1</v>
      </c>
      <c r="G31" s="91" t="s">
        <v>18</v>
      </c>
      <c r="H31" s="92">
        <v>10</v>
      </c>
      <c r="I31" s="93">
        <v>10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7</v>
      </c>
      <c r="C32" s="96" t="s">
        <v>77</v>
      </c>
      <c r="D32" s="97">
        <v>2.1</v>
      </c>
      <c r="E32" s="98">
        <v>14.700000000000001</v>
      </c>
      <c r="F32" s="90">
        <v>0.2</v>
      </c>
      <c r="G32" s="91" t="s">
        <v>85</v>
      </c>
      <c r="H32" s="92">
        <v>10</v>
      </c>
      <c r="I32" s="93">
        <v>2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5</v>
      </c>
      <c r="C33" s="96" t="s">
        <v>76</v>
      </c>
      <c r="D33" s="97">
        <v>2.4</v>
      </c>
      <c r="E33" s="98">
        <v>12</v>
      </c>
      <c r="F33" s="90">
        <v>0.2</v>
      </c>
      <c r="G33" s="91" t="s">
        <v>23</v>
      </c>
      <c r="H33" s="92">
        <v>55</v>
      </c>
      <c r="I33" s="93">
        <v>11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0.5</v>
      </c>
      <c r="C34" s="96" t="s">
        <v>77</v>
      </c>
      <c r="D34" s="97">
        <v>2.1</v>
      </c>
      <c r="E34" s="98">
        <v>1.05</v>
      </c>
      <c r="F34" s="90">
        <v>0.5</v>
      </c>
      <c r="G34" s="91" t="s">
        <v>94</v>
      </c>
      <c r="H34" s="92">
        <v>10</v>
      </c>
      <c r="I34" s="93">
        <v>5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7</v>
      </c>
      <c r="C35" s="96" t="s">
        <v>76</v>
      </c>
      <c r="D35" s="97">
        <v>2.4</v>
      </c>
      <c r="E35" s="98">
        <v>16.8</v>
      </c>
      <c r="F35" s="90">
        <v>0.8</v>
      </c>
      <c r="G35" s="91" t="s">
        <v>18</v>
      </c>
      <c r="H35" s="92">
        <v>10</v>
      </c>
      <c r="I35" s="93">
        <v>8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2.5</v>
      </c>
      <c r="C36" s="96" t="s">
        <v>77</v>
      </c>
      <c r="D36" s="97">
        <v>2.1</v>
      </c>
      <c r="E36" s="98">
        <v>5.25</v>
      </c>
      <c r="F36" s="90">
        <v>10.5</v>
      </c>
      <c r="G36" s="91" t="s">
        <v>48</v>
      </c>
      <c r="H36" s="92">
        <v>6</v>
      </c>
      <c r="I36" s="93">
        <v>63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16</v>
      </c>
      <c r="C37" s="96" t="s">
        <v>76</v>
      </c>
      <c r="D37" s="97">
        <v>2.4</v>
      </c>
      <c r="E37" s="98">
        <v>38.4</v>
      </c>
      <c r="F37" s="90">
        <v>2.5</v>
      </c>
      <c r="G37" s="91" t="s">
        <v>90</v>
      </c>
      <c r="H37" s="92">
        <v>90</v>
      </c>
      <c r="I37" s="93">
        <v>225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>
        <v>1.5</v>
      </c>
      <c r="C38" s="96" t="s">
        <v>77</v>
      </c>
      <c r="D38" s="97">
        <v>2.1</v>
      </c>
      <c r="E38" s="98">
        <v>3.1500000000000004</v>
      </c>
      <c r="F38" s="90">
        <v>7</v>
      </c>
      <c r="G38" s="91" t="s">
        <v>94</v>
      </c>
      <c r="H38" s="92">
        <v>10</v>
      </c>
      <c r="I38" s="93">
        <v>70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6</v>
      </c>
    </row>
    <row r="39" spans="2:26" ht="18" x14ac:dyDescent="0.35">
      <c r="B39" s="95">
        <v>14</v>
      </c>
      <c r="C39" s="96" t="s">
        <v>88</v>
      </c>
      <c r="D39" s="97">
        <v>0.9</v>
      </c>
      <c r="E39" s="98">
        <v>12.6</v>
      </c>
      <c r="F39" s="90">
        <v>1.5</v>
      </c>
      <c r="G39" s="91" t="s">
        <v>23</v>
      </c>
      <c r="H39" s="92">
        <v>55</v>
      </c>
      <c r="I39" s="93">
        <v>82.5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4.3</v>
      </c>
    </row>
    <row r="40" spans="2:26" ht="18" x14ac:dyDescent="0.35">
      <c r="B40" s="95">
        <v>19.5</v>
      </c>
      <c r="C40" s="96" t="s">
        <v>77</v>
      </c>
      <c r="D40" s="97">
        <v>2.1</v>
      </c>
      <c r="E40" s="98">
        <v>40.950000000000003</v>
      </c>
      <c r="F40" s="90">
        <v>1</v>
      </c>
      <c r="G40" s="91" t="s">
        <v>18</v>
      </c>
      <c r="H40" s="92">
        <v>10</v>
      </c>
      <c r="I40" s="93">
        <v>10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>
        <v>3</v>
      </c>
      <c r="C41" s="96" t="s">
        <v>77</v>
      </c>
      <c r="D41" s="97">
        <v>2.1</v>
      </c>
      <c r="E41" s="98">
        <v>6.3000000000000007</v>
      </c>
      <c r="F41" s="90">
        <v>0.5</v>
      </c>
      <c r="G41" s="91" t="s">
        <v>90</v>
      </c>
      <c r="H41" s="92">
        <v>90</v>
      </c>
      <c r="I41" s="93">
        <v>45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>
        <v>0.2</v>
      </c>
      <c r="G42" s="91" t="s">
        <v>23</v>
      </c>
      <c r="H42" s="92">
        <v>55</v>
      </c>
      <c r="I42" s="93">
        <v>11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>
        <v>2</v>
      </c>
      <c r="G43" s="91" t="s">
        <v>94</v>
      </c>
      <c r="H43" s="92">
        <v>10</v>
      </c>
      <c r="I43" s="93">
        <v>20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>
        <v>0.5</v>
      </c>
      <c r="G44" s="91" t="s">
        <v>90</v>
      </c>
      <c r="H44" s="92">
        <v>90</v>
      </c>
      <c r="I44" s="93">
        <v>45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11.1</v>
      </c>
    </row>
    <row r="45" spans="2:26" ht="18" x14ac:dyDescent="0.35">
      <c r="B45" s="95"/>
      <c r="C45" s="96"/>
      <c r="D45" s="97"/>
      <c r="E45" s="98"/>
      <c r="F45" s="90">
        <v>1</v>
      </c>
      <c r="G45" s="91" t="s">
        <v>23</v>
      </c>
      <c r="H45" s="92">
        <v>55</v>
      </c>
      <c r="I45" s="93">
        <v>55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>
        <v>1.5</v>
      </c>
      <c r="G46" s="91" t="s">
        <v>18</v>
      </c>
      <c r="H46" s="92">
        <v>10</v>
      </c>
      <c r="I46" s="93">
        <v>15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1</v>
      </c>
    </row>
    <row r="47" spans="2:26" ht="18" x14ac:dyDescent="0.35">
      <c r="B47" s="95"/>
      <c r="C47" s="96"/>
      <c r="D47" s="97"/>
      <c r="E47" s="98"/>
      <c r="F47" s="90">
        <v>0.2</v>
      </c>
      <c r="G47" s="91" t="s">
        <v>90</v>
      </c>
      <c r="H47" s="92">
        <v>90</v>
      </c>
      <c r="I47" s="93">
        <v>18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>
        <v>0.6</v>
      </c>
      <c r="G48" s="91" t="s">
        <v>18</v>
      </c>
      <c r="H48" s="92">
        <v>10</v>
      </c>
      <c r="I48" s="93">
        <v>6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>
        <v>1.5</v>
      </c>
      <c r="G49" s="91" t="s">
        <v>20</v>
      </c>
      <c r="H49" s="92">
        <v>1</v>
      </c>
      <c r="I49" s="93">
        <v>1.5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2</v>
      </c>
    </row>
    <row r="50" spans="2:26" ht="18" x14ac:dyDescent="0.35">
      <c r="B50" s="95"/>
      <c r="C50" s="96"/>
      <c r="D50" s="97"/>
      <c r="E50" s="98"/>
      <c r="F50" s="90">
        <v>1</v>
      </c>
      <c r="G50" s="91" t="s">
        <v>94</v>
      </c>
      <c r="H50" s="92">
        <v>10</v>
      </c>
      <c r="I50" s="93">
        <v>10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0.2</v>
      </c>
      <c r="G51" s="91" t="s">
        <v>92</v>
      </c>
      <c r="H51" s="92">
        <v>75</v>
      </c>
      <c r="I51" s="93">
        <v>15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1.5</v>
      </c>
      <c r="G52" s="91" t="s">
        <v>23</v>
      </c>
      <c r="H52" s="92">
        <v>55</v>
      </c>
      <c r="I52" s="93">
        <v>82.5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0.2</v>
      </c>
      <c r="G53" s="91" t="s">
        <v>92</v>
      </c>
      <c r="H53" s="92">
        <v>75</v>
      </c>
      <c r="I53" s="93">
        <v>15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0.2</v>
      </c>
      <c r="G54" s="91" t="s">
        <v>94</v>
      </c>
      <c r="H54" s="92">
        <v>10</v>
      </c>
      <c r="I54" s="93">
        <v>2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>
        <v>2.5</v>
      </c>
      <c r="G55" s="91" t="s">
        <v>23</v>
      </c>
      <c r="H55" s="92">
        <v>55</v>
      </c>
      <c r="I55" s="93">
        <v>137.5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>
        <v>0.5</v>
      </c>
      <c r="G56" s="91" t="s">
        <v>84</v>
      </c>
      <c r="H56" s="92">
        <v>5</v>
      </c>
      <c r="I56" s="93">
        <v>2.5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1.5</v>
      </c>
      <c r="G57" s="91" t="s">
        <v>18</v>
      </c>
      <c r="H57" s="92">
        <v>10</v>
      </c>
      <c r="I57" s="93">
        <v>15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0.6</v>
      </c>
      <c r="G58" s="91" t="s">
        <v>48</v>
      </c>
      <c r="H58" s="92">
        <v>6</v>
      </c>
      <c r="I58" s="93">
        <v>3.5999999999999996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0.5</v>
      </c>
      <c r="G59" s="91" t="s">
        <v>92</v>
      </c>
      <c r="H59" s="92">
        <v>75</v>
      </c>
      <c r="I59" s="93">
        <v>37.5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1</v>
      </c>
      <c r="G60" s="91" t="s">
        <v>22</v>
      </c>
      <c r="H60" s="92">
        <v>94</v>
      </c>
      <c r="I60" s="93">
        <v>94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2</v>
      </c>
      <c r="G61" s="91" t="s">
        <v>18</v>
      </c>
      <c r="H61" s="92">
        <v>10</v>
      </c>
      <c r="I61" s="93">
        <v>20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1</v>
      </c>
      <c r="G62" s="91" t="s">
        <v>90</v>
      </c>
      <c r="H62" s="92">
        <v>90</v>
      </c>
      <c r="I62" s="93">
        <v>90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1</v>
      </c>
      <c r="G63" s="91" t="s">
        <v>96</v>
      </c>
      <c r="H63" s="92">
        <v>12</v>
      </c>
      <c r="I63" s="93">
        <v>12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1</v>
      </c>
      <c r="G64" s="91" t="s">
        <v>18</v>
      </c>
      <c r="H64" s="92">
        <v>10</v>
      </c>
      <c r="I64" s="93">
        <v>10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0.8</v>
      </c>
      <c r="G65" s="100" t="s">
        <v>85</v>
      </c>
      <c r="H65" s="101">
        <v>10</v>
      </c>
      <c r="I65" s="102">
        <v>8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2.5</v>
      </c>
      <c r="G66" s="91" t="s">
        <v>84</v>
      </c>
      <c r="H66" s="92">
        <v>5</v>
      </c>
      <c r="I66" s="93">
        <v>12.5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7.5</v>
      </c>
      <c r="G67" s="94" t="s">
        <v>25</v>
      </c>
      <c r="H67" s="104">
        <v>30</v>
      </c>
      <c r="I67" s="105">
        <v>225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0.2</v>
      </c>
      <c r="G68" s="91" t="s">
        <v>94</v>
      </c>
      <c r="H68" s="92">
        <v>10</v>
      </c>
      <c r="I68" s="105">
        <v>2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>
        <v>2.5</v>
      </c>
      <c r="G69" s="91" t="s">
        <v>85</v>
      </c>
      <c r="H69" s="92">
        <v>10</v>
      </c>
      <c r="I69" s="105">
        <v>25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>
        <v>1</v>
      </c>
      <c r="G70" s="91" t="s">
        <v>84</v>
      </c>
      <c r="H70" s="92">
        <v>5</v>
      </c>
      <c r="I70" s="105">
        <v>5</v>
      </c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>
        <v>0.5</v>
      </c>
      <c r="G71" s="91" t="s">
        <v>23</v>
      </c>
      <c r="H71" s="92">
        <v>55</v>
      </c>
      <c r="I71" s="105">
        <v>27.5</v>
      </c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259.5</v>
      </c>
      <c r="C130" s="122"/>
      <c r="D130" s="121"/>
      <c r="E130" s="123">
        <f>SUM(E9:E129)</f>
        <v>529.04999999999995</v>
      </c>
      <c r="F130" s="124">
        <f>SUM(F9:F129)</f>
        <v>211.39999999999992</v>
      </c>
      <c r="G130" s="82"/>
      <c r="H130" s="125"/>
      <c r="I130" s="125">
        <f>SUM(I9:I129)</f>
        <v>2452.1</v>
      </c>
      <c r="J130" s="83"/>
      <c r="K130" s="83"/>
      <c r="L130" s="126"/>
      <c r="M130" s="126">
        <f>SUM(M9:M129)</f>
        <v>68</v>
      </c>
      <c r="N130" s="127">
        <f>SUM(N9:N129)</f>
        <v>884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200</v>
      </c>
      <c r="U130" s="83"/>
      <c r="V130" s="82"/>
      <c r="W130" s="130">
        <f>SUM(W9:W129)</f>
        <v>0</v>
      </c>
    </row>
  </sheetData>
  <sheetProtection algorithmName="SHA-512" hashValue="mY6h/0X1VNyGPIdOCPpSqyPiUS7SnBvOQ3+ogAc/DYZ0TAPCAqI9zACZY2E6qxAnokXFargBa4Qie/o4c7Atng==" saltValue="V6HQNz+YsVzpgeLXvXq/0Q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B822C-9AA8-43E0-B92D-ABD5239822CB}">
  <sheetPr codeName="Sheet52"/>
  <dimension ref="A1:Z130"/>
  <sheetViews>
    <sheetView topLeftCell="I1" zoomScale="78" zoomScaleNormal="78" workbookViewId="0">
      <selection activeCell="E37" sqref="E37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44173</v>
      </c>
      <c r="F1" s="189"/>
      <c r="G1" s="189"/>
    </row>
    <row r="2" spans="2:26" ht="18" x14ac:dyDescent="0.35">
      <c r="B2" s="190" t="s">
        <v>0</v>
      </c>
      <c r="C2" s="190"/>
      <c r="D2" s="1">
        <v>10554</v>
      </c>
    </row>
    <row r="3" spans="2:26" ht="18" x14ac:dyDescent="0.35">
      <c r="B3" s="190" t="s">
        <v>1</v>
      </c>
      <c r="C3" s="190"/>
      <c r="D3" s="77">
        <f>(D2-E130-I130)</f>
        <v>6147.9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15</v>
      </c>
      <c r="C9" s="87" t="s">
        <v>76</v>
      </c>
      <c r="D9" s="88">
        <v>2.4</v>
      </c>
      <c r="E9" s="89">
        <v>36</v>
      </c>
      <c r="F9" s="90">
        <v>3</v>
      </c>
      <c r="G9" s="91" t="s">
        <v>90</v>
      </c>
      <c r="H9" s="92">
        <v>90</v>
      </c>
      <c r="I9" s="93">
        <v>270</v>
      </c>
      <c r="J9" s="83"/>
      <c r="K9" s="83"/>
      <c r="L9" s="3" t="s">
        <v>124</v>
      </c>
      <c r="M9" s="4">
        <v>898.5</v>
      </c>
      <c r="N9" s="5">
        <v>35055.949999999997</v>
      </c>
      <c r="O9" s="6"/>
      <c r="P9" s="7"/>
      <c r="Q9" s="8"/>
      <c r="R9" s="2"/>
      <c r="S9" s="3" t="s">
        <v>125</v>
      </c>
      <c r="T9" s="9">
        <v>100</v>
      </c>
      <c r="U9" s="2"/>
      <c r="V9" s="10"/>
      <c r="W9" s="8"/>
      <c r="Y9" s="148" t="s">
        <v>88</v>
      </c>
      <c r="Z9" s="151">
        <f>SUMIF($C$9:$C$129, Y9, $B$9:$B$129)</f>
        <v>31.5</v>
      </c>
    </row>
    <row r="10" spans="2:26" ht="18" x14ac:dyDescent="0.35">
      <c r="B10" s="95">
        <v>12</v>
      </c>
      <c r="C10" s="96" t="s">
        <v>77</v>
      </c>
      <c r="D10" s="97">
        <v>2.1</v>
      </c>
      <c r="E10" s="98">
        <v>25.200000000000003</v>
      </c>
      <c r="F10" s="90">
        <v>0.5</v>
      </c>
      <c r="G10" s="91" t="s">
        <v>90</v>
      </c>
      <c r="H10" s="92">
        <v>90</v>
      </c>
      <c r="I10" s="93">
        <v>45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105</v>
      </c>
    </row>
    <row r="11" spans="2:26" ht="18" x14ac:dyDescent="0.35">
      <c r="B11" s="95">
        <v>16.5</v>
      </c>
      <c r="C11" s="96" t="s">
        <v>76</v>
      </c>
      <c r="D11" s="97">
        <v>2.4</v>
      </c>
      <c r="E11" s="98">
        <v>39.6</v>
      </c>
      <c r="F11" s="90">
        <v>1</v>
      </c>
      <c r="G11" s="91" t="s">
        <v>47</v>
      </c>
      <c r="H11" s="92">
        <v>13</v>
      </c>
      <c r="I11" s="93">
        <v>13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207.5</v>
      </c>
    </row>
    <row r="12" spans="2:26" ht="18" x14ac:dyDescent="0.35">
      <c r="B12" s="95">
        <v>1</v>
      </c>
      <c r="C12" s="96" t="s">
        <v>77</v>
      </c>
      <c r="D12" s="97">
        <v>2.1</v>
      </c>
      <c r="E12" s="98">
        <v>2.1</v>
      </c>
      <c r="F12" s="90">
        <v>0.5</v>
      </c>
      <c r="G12" s="91" t="s">
        <v>90</v>
      </c>
      <c r="H12" s="92">
        <v>90</v>
      </c>
      <c r="I12" s="93">
        <v>45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16</v>
      </c>
      <c r="C13" s="96" t="s">
        <v>77</v>
      </c>
      <c r="D13" s="97">
        <v>2.1</v>
      </c>
      <c r="E13" s="98">
        <v>33.6</v>
      </c>
      <c r="F13" s="90">
        <v>57.5</v>
      </c>
      <c r="G13" s="91" t="s">
        <v>19</v>
      </c>
      <c r="H13" s="92">
        <v>2</v>
      </c>
      <c r="I13" s="93">
        <v>115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1</v>
      </c>
    </row>
    <row r="14" spans="2:26" ht="18" x14ac:dyDescent="0.35">
      <c r="B14" s="95">
        <v>3</v>
      </c>
      <c r="C14" s="96" t="s">
        <v>76</v>
      </c>
      <c r="D14" s="97">
        <v>2.4</v>
      </c>
      <c r="E14" s="98">
        <v>7.1999999999999993</v>
      </c>
      <c r="F14" s="90">
        <v>0.2</v>
      </c>
      <c r="G14" s="91" t="s">
        <v>90</v>
      </c>
      <c r="H14" s="92">
        <v>90</v>
      </c>
      <c r="I14" s="93">
        <v>18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186.4</v>
      </c>
    </row>
    <row r="15" spans="2:26" ht="18" x14ac:dyDescent="0.35">
      <c r="B15" s="95">
        <v>3.5</v>
      </c>
      <c r="C15" s="96" t="s">
        <v>77</v>
      </c>
      <c r="D15" s="97">
        <v>2.1</v>
      </c>
      <c r="E15" s="98">
        <v>7.3500000000000005</v>
      </c>
      <c r="F15" s="90">
        <v>2</v>
      </c>
      <c r="G15" s="91" t="s">
        <v>23</v>
      </c>
      <c r="H15" s="92">
        <v>55</v>
      </c>
      <c r="I15" s="93">
        <v>110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80.5</v>
      </c>
    </row>
    <row r="16" spans="2:26" ht="18" x14ac:dyDescent="0.35">
      <c r="B16" s="95">
        <v>3.5</v>
      </c>
      <c r="C16" s="96" t="s">
        <v>76</v>
      </c>
      <c r="D16" s="97">
        <v>2.4</v>
      </c>
      <c r="E16" s="98">
        <v>8.4</v>
      </c>
      <c r="F16" s="90">
        <v>8.5</v>
      </c>
      <c r="G16" s="91" t="s">
        <v>70</v>
      </c>
      <c r="H16" s="92">
        <v>5</v>
      </c>
      <c r="I16" s="93">
        <v>42.5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>
        <v>3.5</v>
      </c>
      <c r="C17" s="96" t="s">
        <v>77</v>
      </c>
      <c r="D17" s="97">
        <v>2.1</v>
      </c>
      <c r="E17" s="98">
        <v>7.3500000000000005</v>
      </c>
      <c r="F17" s="90">
        <v>6</v>
      </c>
      <c r="G17" s="91" t="s">
        <v>18</v>
      </c>
      <c r="H17" s="92">
        <v>10</v>
      </c>
      <c r="I17" s="93">
        <v>60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0.6</v>
      </c>
    </row>
    <row r="18" spans="2:26" ht="18" x14ac:dyDescent="0.35">
      <c r="B18" s="95">
        <v>8.5</v>
      </c>
      <c r="C18" s="96" t="s">
        <v>88</v>
      </c>
      <c r="D18" s="97">
        <v>0.9</v>
      </c>
      <c r="E18" s="98">
        <v>7.65</v>
      </c>
      <c r="F18" s="90">
        <v>1.5</v>
      </c>
      <c r="G18" s="91" t="s">
        <v>98</v>
      </c>
      <c r="H18" s="92">
        <v>5</v>
      </c>
      <c r="I18" s="93">
        <v>7.5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14.7</v>
      </c>
    </row>
    <row r="19" spans="2:26" ht="18" x14ac:dyDescent="0.35">
      <c r="B19" s="95">
        <v>1</v>
      </c>
      <c r="C19" s="96" t="s">
        <v>77</v>
      </c>
      <c r="D19" s="97">
        <v>2.1</v>
      </c>
      <c r="E19" s="98">
        <v>2.1</v>
      </c>
      <c r="F19" s="90">
        <v>1</v>
      </c>
      <c r="G19" s="91" t="s">
        <v>96</v>
      </c>
      <c r="H19" s="92">
        <v>12</v>
      </c>
      <c r="I19" s="93">
        <v>12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>
        <v>5.5</v>
      </c>
      <c r="C20" s="96" t="s">
        <v>77</v>
      </c>
      <c r="D20" s="97">
        <v>2.1</v>
      </c>
      <c r="E20" s="98">
        <v>11.55</v>
      </c>
      <c r="F20" s="90">
        <v>2</v>
      </c>
      <c r="G20" s="91" t="s">
        <v>18</v>
      </c>
      <c r="H20" s="92">
        <v>10</v>
      </c>
      <c r="I20" s="93">
        <v>20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2.7</v>
      </c>
    </row>
    <row r="21" spans="2:26" ht="18" x14ac:dyDescent="0.35">
      <c r="B21" s="95">
        <v>2.5</v>
      </c>
      <c r="C21" s="96" t="s">
        <v>76</v>
      </c>
      <c r="D21" s="97">
        <v>2.4</v>
      </c>
      <c r="E21" s="98">
        <v>6</v>
      </c>
      <c r="F21" s="90">
        <v>2</v>
      </c>
      <c r="G21" s="91" t="s">
        <v>94</v>
      </c>
      <c r="H21" s="92">
        <v>10</v>
      </c>
      <c r="I21" s="93">
        <v>20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2</v>
      </c>
      <c r="C22" s="96" t="s">
        <v>77</v>
      </c>
      <c r="D22" s="97">
        <v>2.1</v>
      </c>
      <c r="E22" s="98">
        <v>4.2</v>
      </c>
      <c r="F22" s="90">
        <v>0.5</v>
      </c>
      <c r="G22" s="91" t="s">
        <v>90</v>
      </c>
      <c r="H22" s="92">
        <v>90</v>
      </c>
      <c r="I22" s="93">
        <v>45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136</v>
      </c>
      <c r="C23" s="96" t="s">
        <v>77</v>
      </c>
      <c r="D23" s="97">
        <v>2.1</v>
      </c>
      <c r="E23" s="98">
        <v>285.60000000000002</v>
      </c>
      <c r="F23" s="90">
        <v>0.6</v>
      </c>
      <c r="G23" s="91" t="s">
        <v>67</v>
      </c>
      <c r="H23" s="92">
        <v>92</v>
      </c>
      <c r="I23" s="93">
        <v>55.199999999999996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4.3</v>
      </c>
    </row>
    <row r="24" spans="2:26" ht="18" x14ac:dyDescent="0.35">
      <c r="B24" s="95">
        <v>2.5</v>
      </c>
      <c r="C24" s="96" t="s">
        <v>77</v>
      </c>
      <c r="D24" s="97">
        <v>2.1</v>
      </c>
      <c r="E24" s="98">
        <v>5.25</v>
      </c>
      <c r="F24" s="90">
        <v>1</v>
      </c>
      <c r="G24" s="91" t="s">
        <v>94</v>
      </c>
      <c r="H24" s="92">
        <v>10</v>
      </c>
      <c r="I24" s="93">
        <v>10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0.5</v>
      </c>
    </row>
    <row r="25" spans="2:26" ht="18" x14ac:dyDescent="0.35">
      <c r="B25" s="95">
        <v>24</v>
      </c>
      <c r="C25" s="96" t="s">
        <v>76</v>
      </c>
      <c r="D25" s="97">
        <v>2.4</v>
      </c>
      <c r="E25" s="98">
        <v>57.599999999999994</v>
      </c>
      <c r="F25" s="90">
        <v>1.5</v>
      </c>
      <c r="G25" s="91" t="s">
        <v>94</v>
      </c>
      <c r="H25" s="92">
        <v>10</v>
      </c>
      <c r="I25" s="93">
        <v>15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>
        <v>3.5</v>
      </c>
      <c r="C26" s="96" t="s">
        <v>88</v>
      </c>
      <c r="D26" s="97">
        <v>0.9</v>
      </c>
      <c r="E26" s="98">
        <v>3.15</v>
      </c>
      <c r="F26" s="90">
        <v>3</v>
      </c>
      <c r="G26" s="91" t="s">
        <v>18</v>
      </c>
      <c r="H26" s="92">
        <v>10</v>
      </c>
      <c r="I26" s="93">
        <v>30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2.5</v>
      </c>
    </row>
    <row r="27" spans="2:26" ht="18" x14ac:dyDescent="0.35">
      <c r="B27" s="95">
        <v>9.5</v>
      </c>
      <c r="C27" s="96" t="s">
        <v>76</v>
      </c>
      <c r="D27" s="97">
        <v>2.4</v>
      </c>
      <c r="E27" s="98">
        <v>22.8</v>
      </c>
      <c r="F27" s="90">
        <v>1.5</v>
      </c>
      <c r="G27" s="91" t="s">
        <v>94</v>
      </c>
      <c r="H27" s="92">
        <v>10</v>
      </c>
      <c r="I27" s="93">
        <v>15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20</v>
      </c>
    </row>
    <row r="28" spans="2:26" ht="18" x14ac:dyDescent="0.35">
      <c r="B28" s="95">
        <v>2.5</v>
      </c>
      <c r="C28" s="96" t="s">
        <v>77</v>
      </c>
      <c r="D28" s="97">
        <v>2.1</v>
      </c>
      <c r="E28" s="98">
        <v>5.25</v>
      </c>
      <c r="F28" s="90">
        <v>0.5</v>
      </c>
      <c r="G28" s="91" t="s">
        <v>90</v>
      </c>
      <c r="H28" s="92">
        <v>90</v>
      </c>
      <c r="I28" s="93">
        <v>45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3</v>
      </c>
      <c r="C29" s="96" t="s">
        <v>77</v>
      </c>
      <c r="D29" s="97">
        <v>2.1</v>
      </c>
      <c r="E29" s="98">
        <v>6.3000000000000007</v>
      </c>
      <c r="F29" s="90">
        <v>1</v>
      </c>
      <c r="G29" s="91" t="s">
        <v>94</v>
      </c>
      <c r="H29" s="92">
        <v>10</v>
      </c>
      <c r="I29" s="93">
        <v>10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9</v>
      </c>
      <c r="C30" s="96" t="s">
        <v>76</v>
      </c>
      <c r="D30" s="97">
        <v>2.4</v>
      </c>
      <c r="E30" s="98">
        <v>21.599999999999998</v>
      </c>
      <c r="F30" s="90">
        <v>108</v>
      </c>
      <c r="G30" s="91" t="s">
        <v>19</v>
      </c>
      <c r="H30" s="92">
        <v>3</v>
      </c>
      <c r="I30" s="93">
        <v>324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7.5</v>
      </c>
      <c r="C31" s="96" t="s">
        <v>88</v>
      </c>
      <c r="D31" s="97">
        <v>0.9</v>
      </c>
      <c r="E31" s="98">
        <v>6.75</v>
      </c>
      <c r="F31" s="90">
        <v>1</v>
      </c>
      <c r="G31" s="91" t="s">
        <v>18</v>
      </c>
      <c r="H31" s="92">
        <v>10</v>
      </c>
      <c r="I31" s="93">
        <v>10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11</v>
      </c>
      <c r="C32" s="96" t="s">
        <v>76</v>
      </c>
      <c r="D32" s="97">
        <v>2.4</v>
      </c>
      <c r="E32" s="98">
        <v>26.4</v>
      </c>
      <c r="F32" s="90">
        <v>1.5</v>
      </c>
      <c r="G32" s="91" t="s">
        <v>84</v>
      </c>
      <c r="H32" s="92">
        <v>5</v>
      </c>
      <c r="I32" s="93">
        <v>7.5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12</v>
      </c>
      <c r="C33" s="96" t="s">
        <v>88</v>
      </c>
      <c r="D33" s="97">
        <v>0.9</v>
      </c>
      <c r="E33" s="98">
        <v>10.8</v>
      </c>
      <c r="F33" s="90">
        <v>0.6</v>
      </c>
      <c r="G33" s="91" t="s">
        <v>92</v>
      </c>
      <c r="H33" s="92">
        <v>75</v>
      </c>
      <c r="I33" s="93">
        <v>45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0.5</v>
      </c>
    </row>
    <row r="34" spans="2:26" ht="18" x14ac:dyDescent="0.35">
      <c r="B34" s="95">
        <v>8.5</v>
      </c>
      <c r="C34" s="96" t="s">
        <v>77</v>
      </c>
      <c r="D34" s="97">
        <v>2.1</v>
      </c>
      <c r="E34" s="98">
        <v>17.850000000000001</v>
      </c>
      <c r="F34" s="90">
        <v>20.5</v>
      </c>
      <c r="G34" s="91" t="s">
        <v>19</v>
      </c>
      <c r="H34" s="92">
        <v>2</v>
      </c>
      <c r="I34" s="93">
        <v>41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3</v>
      </c>
      <c r="C35" s="96" t="s">
        <v>76</v>
      </c>
      <c r="D35" s="97">
        <v>2.4</v>
      </c>
      <c r="E35" s="98">
        <v>7.1999999999999993</v>
      </c>
      <c r="F35" s="90">
        <v>1</v>
      </c>
      <c r="G35" s="91" t="s">
        <v>18</v>
      </c>
      <c r="H35" s="92">
        <v>10</v>
      </c>
      <c r="I35" s="93">
        <v>10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10.5</v>
      </c>
      <c r="C36" s="96" t="s">
        <v>77</v>
      </c>
      <c r="D36" s="97">
        <v>2.1</v>
      </c>
      <c r="E36" s="98">
        <v>22.05</v>
      </c>
      <c r="F36" s="90">
        <v>0.5</v>
      </c>
      <c r="G36" s="91" t="s">
        <v>43</v>
      </c>
      <c r="H36" s="92">
        <v>3</v>
      </c>
      <c r="I36" s="93">
        <v>1.5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8</v>
      </c>
      <c r="C37" s="96" t="s">
        <v>76</v>
      </c>
      <c r="D37" s="97">
        <v>2.4</v>
      </c>
      <c r="E37" s="98">
        <v>19.2</v>
      </c>
      <c r="F37" s="90">
        <v>1.5</v>
      </c>
      <c r="G37" s="91" t="s">
        <v>90</v>
      </c>
      <c r="H37" s="92">
        <v>90</v>
      </c>
      <c r="I37" s="93">
        <v>135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>
        <v>7.5</v>
      </c>
      <c r="G38" s="91" t="s">
        <v>18</v>
      </c>
      <c r="H38" s="92">
        <v>10</v>
      </c>
      <c r="I38" s="93">
        <v>75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5.6</v>
      </c>
    </row>
    <row r="39" spans="2:26" ht="18" x14ac:dyDescent="0.35">
      <c r="B39" s="95"/>
      <c r="C39" s="96"/>
      <c r="D39" s="97"/>
      <c r="E39" s="98"/>
      <c r="F39" s="90">
        <v>2.5</v>
      </c>
      <c r="G39" s="91" t="s">
        <v>84</v>
      </c>
      <c r="H39" s="92">
        <v>5</v>
      </c>
      <c r="I39" s="93">
        <v>12.5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1.5999999999999999</v>
      </c>
    </row>
    <row r="40" spans="2:26" ht="18" x14ac:dyDescent="0.35">
      <c r="B40" s="95"/>
      <c r="C40" s="96"/>
      <c r="D40" s="97"/>
      <c r="E40" s="98"/>
      <c r="F40" s="90">
        <v>0.5</v>
      </c>
      <c r="G40" s="91" t="s">
        <v>86</v>
      </c>
      <c r="H40" s="92">
        <v>40</v>
      </c>
      <c r="I40" s="93">
        <v>20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0.5</v>
      </c>
    </row>
    <row r="41" spans="2:26" ht="18" x14ac:dyDescent="0.35">
      <c r="B41" s="95"/>
      <c r="C41" s="96"/>
      <c r="D41" s="97"/>
      <c r="E41" s="98"/>
      <c r="F41" s="90">
        <v>1</v>
      </c>
      <c r="G41" s="91" t="s">
        <v>85</v>
      </c>
      <c r="H41" s="92">
        <v>10</v>
      </c>
      <c r="I41" s="93">
        <v>10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>
        <v>1</v>
      </c>
      <c r="G42" s="91" t="s">
        <v>70</v>
      </c>
      <c r="H42" s="92">
        <v>5</v>
      </c>
      <c r="I42" s="93">
        <v>5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>
        <v>0.2</v>
      </c>
      <c r="G43" s="91" t="s">
        <v>23</v>
      </c>
      <c r="H43" s="92">
        <v>55</v>
      </c>
      <c r="I43" s="93">
        <v>11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1</v>
      </c>
    </row>
    <row r="44" spans="2:26" ht="18" x14ac:dyDescent="0.35">
      <c r="B44" s="95"/>
      <c r="C44" s="96"/>
      <c r="D44" s="97"/>
      <c r="E44" s="98"/>
      <c r="F44" s="90">
        <v>8</v>
      </c>
      <c r="G44" s="91" t="s">
        <v>18</v>
      </c>
      <c r="H44" s="92">
        <v>10</v>
      </c>
      <c r="I44" s="93">
        <v>80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4</v>
      </c>
    </row>
    <row r="45" spans="2:26" ht="18" x14ac:dyDescent="0.35">
      <c r="B45" s="95"/>
      <c r="C45" s="96"/>
      <c r="D45" s="97"/>
      <c r="E45" s="98"/>
      <c r="F45" s="90">
        <v>2</v>
      </c>
      <c r="G45" s="91" t="s">
        <v>48</v>
      </c>
      <c r="H45" s="92">
        <v>6</v>
      </c>
      <c r="I45" s="93">
        <v>12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>
        <v>0.4</v>
      </c>
      <c r="G46" s="91" t="s">
        <v>92</v>
      </c>
      <c r="H46" s="92">
        <v>75</v>
      </c>
      <c r="I46" s="93">
        <v>30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1</v>
      </c>
    </row>
    <row r="47" spans="2:26" ht="18" x14ac:dyDescent="0.35">
      <c r="B47" s="95"/>
      <c r="C47" s="96"/>
      <c r="D47" s="97"/>
      <c r="E47" s="98"/>
      <c r="F47" s="90">
        <v>0.4</v>
      </c>
      <c r="G47" s="91" t="s">
        <v>19</v>
      </c>
      <c r="H47" s="92">
        <v>2</v>
      </c>
      <c r="I47" s="93">
        <v>0.8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>
        <v>0.6</v>
      </c>
      <c r="G48" s="91" t="s">
        <v>94</v>
      </c>
      <c r="H48" s="92">
        <v>10</v>
      </c>
      <c r="I48" s="93">
        <v>6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>
        <v>0.6</v>
      </c>
      <c r="G49" s="91" t="s">
        <v>84</v>
      </c>
      <c r="H49" s="92">
        <v>5</v>
      </c>
      <c r="I49" s="93">
        <v>3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24</v>
      </c>
    </row>
    <row r="50" spans="2:26" ht="18" x14ac:dyDescent="0.35">
      <c r="B50" s="95"/>
      <c r="C50" s="96"/>
      <c r="D50" s="97"/>
      <c r="E50" s="98"/>
      <c r="F50" s="90">
        <v>0.4</v>
      </c>
      <c r="G50" s="91" t="s">
        <v>85</v>
      </c>
      <c r="H50" s="92">
        <v>10</v>
      </c>
      <c r="I50" s="93">
        <v>4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11</v>
      </c>
      <c r="G51" s="91" t="s">
        <v>94</v>
      </c>
      <c r="H51" s="92">
        <v>10</v>
      </c>
      <c r="I51" s="93">
        <v>110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1</v>
      </c>
      <c r="G52" s="91" t="s">
        <v>98</v>
      </c>
      <c r="H52" s="92">
        <v>5</v>
      </c>
      <c r="I52" s="93">
        <v>5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42</v>
      </c>
      <c r="G53" s="91" t="s">
        <v>18</v>
      </c>
      <c r="H53" s="92">
        <v>12</v>
      </c>
      <c r="I53" s="93">
        <v>504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3.5</v>
      </c>
      <c r="G54" s="91" t="s">
        <v>102</v>
      </c>
      <c r="H54" s="92">
        <v>5</v>
      </c>
      <c r="I54" s="93">
        <v>17.5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>
        <v>4.5</v>
      </c>
      <c r="G55" s="91" t="s">
        <v>90</v>
      </c>
      <c r="H55" s="92">
        <v>90</v>
      </c>
      <c r="I55" s="93">
        <v>405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3.5</v>
      </c>
    </row>
    <row r="56" spans="2:26" ht="18" x14ac:dyDescent="0.35">
      <c r="B56" s="95"/>
      <c r="C56" s="96"/>
      <c r="D56" s="97"/>
      <c r="E56" s="98"/>
      <c r="F56" s="90">
        <v>0.5</v>
      </c>
      <c r="G56" s="91" t="s">
        <v>24</v>
      </c>
      <c r="H56" s="92">
        <v>35</v>
      </c>
      <c r="I56" s="93">
        <v>17.5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1</v>
      </c>
      <c r="G57" s="91" t="s">
        <v>84</v>
      </c>
      <c r="H57" s="92">
        <v>5</v>
      </c>
      <c r="I57" s="93">
        <v>5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0.2</v>
      </c>
      <c r="G58" s="91" t="s">
        <v>85</v>
      </c>
      <c r="H58" s="92">
        <v>10</v>
      </c>
      <c r="I58" s="93">
        <v>2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0.4</v>
      </c>
      <c r="G59" s="91" t="s">
        <v>94</v>
      </c>
      <c r="H59" s="92">
        <v>10</v>
      </c>
      <c r="I59" s="93">
        <v>4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2.5</v>
      </c>
      <c r="G60" s="91" t="s">
        <v>18</v>
      </c>
      <c r="H60" s="92">
        <v>12</v>
      </c>
      <c r="I60" s="93">
        <v>30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1</v>
      </c>
      <c r="G61" s="91" t="s">
        <v>94</v>
      </c>
      <c r="H61" s="92">
        <v>10</v>
      </c>
      <c r="I61" s="93">
        <v>10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2.5</v>
      </c>
      <c r="G62" s="91" t="s">
        <v>18</v>
      </c>
      <c r="H62" s="92">
        <v>12</v>
      </c>
      <c r="I62" s="93">
        <v>30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2</v>
      </c>
      <c r="G63" s="91" t="s">
        <v>48</v>
      </c>
      <c r="H63" s="92">
        <v>6</v>
      </c>
      <c r="I63" s="93">
        <v>12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0.5</v>
      </c>
      <c r="G64" s="91" t="s">
        <v>23</v>
      </c>
      <c r="H64" s="92">
        <v>55</v>
      </c>
      <c r="I64" s="93">
        <v>27.5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2.5</v>
      </c>
      <c r="G65" s="100" t="s">
        <v>18</v>
      </c>
      <c r="H65" s="101">
        <v>12</v>
      </c>
      <c r="I65" s="102">
        <v>30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0.5</v>
      </c>
      <c r="G66" s="91" t="s">
        <v>92</v>
      </c>
      <c r="H66" s="92">
        <v>75</v>
      </c>
      <c r="I66" s="93">
        <v>37.5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1</v>
      </c>
      <c r="G67" s="94" t="s">
        <v>18</v>
      </c>
      <c r="H67" s="104">
        <v>12</v>
      </c>
      <c r="I67" s="105">
        <v>12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1.2</v>
      </c>
      <c r="G68" s="91" t="s">
        <v>92</v>
      </c>
      <c r="H68" s="92">
        <v>75</v>
      </c>
      <c r="I68" s="105">
        <v>90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>
        <v>1.5</v>
      </c>
      <c r="G69" s="91" t="s">
        <v>18</v>
      </c>
      <c r="H69" s="92">
        <v>12</v>
      </c>
      <c r="I69" s="105">
        <v>18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>
        <v>0.4</v>
      </c>
      <c r="G70" s="91" t="s">
        <v>23</v>
      </c>
      <c r="H70" s="92">
        <v>55</v>
      </c>
      <c r="I70" s="105">
        <v>22</v>
      </c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>
        <v>1</v>
      </c>
      <c r="G71" s="91" t="s">
        <v>20</v>
      </c>
      <c r="H71" s="92">
        <v>1</v>
      </c>
      <c r="I71" s="105">
        <v>1</v>
      </c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>
        <v>1.2</v>
      </c>
      <c r="G72" s="91" t="s">
        <v>23</v>
      </c>
      <c r="H72" s="92">
        <v>55</v>
      </c>
      <c r="I72" s="105">
        <v>66</v>
      </c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>
        <v>3.5</v>
      </c>
      <c r="G73" s="91" t="s">
        <v>90</v>
      </c>
      <c r="H73" s="92">
        <v>90</v>
      </c>
      <c r="I73" s="105">
        <v>315</v>
      </c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>
        <v>14.5</v>
      </c>
      <c r="G74" s="91" t="s">
        <v>70</v>
      </c>
      <c r="H74" s="92">
        <v>5</v>
      </c>
      <c r="I74" s="105">
        <v>72.5</v>
      </c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344</v>
      </c>
      <c r="C130" s="122"/>
      <c r="D130" s="121"/>
      <c r="E130" s="123">
        <f>SUM(E9:E129)</f>
        <v>716.09999999999991</v>
      </c>
      <c r="F130" s="124">
        <f>SUM(F9:F129)</f>
        <v>354.89999999999992</v>
      </c>
      <c r="G130" s="82"/>
      <c r="H130" s="125"/>
      <c r="I130" s="125">
        <f>SUM(I9:I129)</f>
        <v>3690</v>
      </c>
      <c r="J130" s="83"/>
      <c r="K130" s="83"/>
      <c r="L130" s="126"/>
      <c r="M130" s="126">
        <f>SUM(M9:M129)</f>
        <v>898.5</v>
      </c>
      <c r="N130" s="127">
        <f>SUM(N9:N129)</f>
        <v>35055.949999999997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100</v>
      </c>
      <c r="U130" s="83"/>
      <c r="V130" s="82"/>
      <c r="W130" s="130">
        <f>SUM(W9:W129)</f>
        <v>0</v>
      </c>
    </row>
  </sheetData>
  <sheetProtection algorithmName="SHA-512" hashValue="2VCsXNzGtXIFSv6YrhbkJNd2MZo2ePC5LMqn2aGIZ/3wyR48azLeXPcysfWQvlJEcpo9PemGcOYrpHhnz+M3/g==" saltValue="sJE6BtwTYpqnB3uj1aOV/Q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EE375-379B-44BE-855A-B1D7AD26D59F}">
  <sheetPr codeName="Sheet51"/>
  <dimension ref="A1:Z130"/>
  <sheetViews>
    <sheetView topLeftCell="M1" zoomScale="80" zoomScaleNormal="80" workbookViewId="0">
      <selection activeCell="T9" sqref="T9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44174</v>
      </c>
      <c r="F1" s="189"/>
      <c r="G1" s="189"/>
    </row>
    <row r="2" spans="2:26" ht="18" x14ac:dyDescent="0.35">
      <c r="B2" s="190" t="s">
        <v>0</v>
      </c>
      <c r="C2" s="190"/>
      <c r="D2" s="1">
        <v>8920</v>
      </c>
    </row>
    <row r="3" spans="2:26" ht="18" x14ac:dyDescent="0.35">
      <c r="B3" s="190" t="s">
        <v>1</v>
      </c>
      <c r="C3" s="190"/>
      <c r="D3" s="77">
        <f>(D2-E130-I130)</f>
        <v>1469.3899999999994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0.4</v>
      </c>
      <c r="C9" s="87" t="s">
        <v>76</v>
      </c>
      <c r="D9" s="88">
        <v>2.4</v>
      </c>
      <c r="E9" s="89">
        <v>0.96</v>
      </c>
      <c r="F9" s="90">
        <v>0.4</v>
      </c>
      <c r="G9" s="91" t="s">
        <v>94</v>
      </c>
      <c r="H9" s="92">
        <v>10</v>
      </c>
      <c r="I9" s="93">
        <v>4</v>
      </c>
      <c r="J9" s="83"/>
      <c r="K9" s="83"/>
      <c r="L9" s="3"/>
      <c r="M9" s="4"/>
      <c r="N9" s="5"/>
      <c r="O9" s="6" t="s">
        <v>126</v>
      </c>
      <c r="P9" s="7">
        <v>2080</v>
      </c>
      <c r="Q9" s="8">
        <v>5512</v>
      </c>
      <c r="R9" s="2"/>
      <c r="S9" s="3" t="s">
        <v>125</v>
      </c>
      <c r="T9" s="9">
        <v>50</v>
      </c>
      <c r="U9" s="2"/>
      <c r="V9" s="10"/>
      <c r="W9" s="8"/>
      <c r="Y9" s="148" t="s">
        <v>88</v>
      </c>
      <c r="Z9" s="151">
        <f>SUMIF($C$9:$C$129, Y9, $B$9:$B$129)</f>
        <v>4</v>
      </c>
    </row>
    <row r="10" spans="2:26" ht="18" x14ac:dyDescent="0.35">
      <c r="B10" s="95">
        <v>3</v>
      </c>
      <c r="C10" s="96" t="s">
        <v>76</v>
      </c>
      <c r="D10" s="97">
        <v>2.4</v>
      </c>
      <c r="E10" s="98">
        <v>7.1999999999999993</v>
      </c>
      <c r="F10" s="90">
        <v>0.4</v>
      </c>
      <c r="G10" s="91" t="s">
        <v>18</v>
      </c>
      <c r="H10" s="92">
        <v>12</v>
      </c>
      <c r="I10" s="93">
        <v>4.8000000000000007</v>
      </c>
      <c r="J10" s="83"/>
      <c r="K10" s="83"/>
      <c r="L10" s="12"/>
      <c r="M10" s="13"/>
      <c r="N10" s="14"/>
      <c r="O10" s="11" t="s">
        <v>127</v>
      </c>
      <c r="P10" s="15">
        <v>3080</v>
      </c>
      <c r="Q10" s="16">
        <v>10010</v>
      </c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189.9</v>
      </c>
    </row>
    <row r="11" spans="2:26" ht="18" x14ac:dyDescent="0.35">
      <c r="B11" s="95">
        <v>7</v>
      </c>
      <c r="C11" s="96" t="s">
        <v>77</v>
      </c>
      <c r="D11" s="97">
        <v>2.1</v>
      </c>
      <c r="E11" s="98">
        <v>14.700000000000001</v>
      </c>
      <c r="F11" s="90">
        <v>0.4</v>
      </c>
      <c r="G11" s="91" t="s">
        <v>90</v>
      </c>
      <c r="H11" s="92">
        <v>90</v>
      </c>
      <c r="I11" s="93">
        <v>36</v>
      </c>
      <c r="J11" s="83"/>
      <c r="K11" s="83"/>
      <c r="L11" s="12"/>
      <c r="M11" s="13"/>
      <c r="N11" s="14"/>
      <c r="O11" s="11" t="s">
        <v>128</v>
      </c>
      <c r="P11" s="15">
        <v>700</v>
      </c>
      <c r="Q11" s="16">
        <v>1260</v>
      </c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57.5</v>
      </c>
    </row>
    <row r="12" spans="2:26" ht="18" x14ac:dyDescent="0.35">
      <c r="B12" s="95">
        <v>3</v>
      </c>
      <c r="C12" s="96" t="s">
        <v>77</v>
      </c>
      <c r="D12" s="97">
        <v>2.1</v>
      </c>
      <c r="E12" s="98">
        <v>6.3000000000000007</v>
      </c>
      <c r="F12" s="90">
        <v>9.8000000000000007</v>
      </c>
      <c r="G12" s="91" t="s">
        <v>90</v>
      </c>
      <c r="H12" s="92">
        <v>90</v>
      </c>
      <c r="I12" s="93">
        <v>882.00000000000011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16.5</v>
      </c>
      <c r="C13" s="96" t="s">
        <v>76</v>
      </c>
      <c r="D13" s="97">
        <v>2.4</v>
      </c>
      <c r="E13" s="98">
        <v>39.6</v>
      </c>
      <c r="F13" s="90">
        <v>1.4</v>
      </c>
      <c r="G13" s="91" t="s">
        <v>92</v>
      </c>
      <c r="H13" s="92">
        <v>75</v>
      </c>
      <c r="I13" s="93">
        <v>105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5</v>
      </c>
    </row>
    <row r="14" spans="2:26" ht="18" x14ac:dyDescent="0.35">
      <c r="B14" s="95">
        <v>4.5</v>
      </c>
      <c r="C14" s="96" t="s">
        <v>77</v>
      </c>
      <c r="D14" s="97">
        <v>2.1</v>
      </c>
      <c r="E14" s="98">
        <v>9.4500000000000011</v>
      </c>
      <c r="F14" s="90">
        <v>4</v>
      </c>
      <c r="G14" s="91" t="s">
        <v>20</v>
      </c>
      <c r="H14" s="92">
        <v>1</v>
      </c>
      <c r="I14" s="93">
        <v>4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19.5</v>
      </c>
    </row>
    <row r="15" spans="2:26" ht="18" x14ac:dyDescent="0.35">
      <c r="B15" s="95">
        <v>40</v>
      </c>
      <c r="C15" s="96" t="s">
        <v>76</v>
      </c>
      <c r="D15" s="97">
        <v>2.4</v>
      </c>
      <c r="E15" s="98">
        <v>96</v>
      </c>
      <c r="F15" s="90">
        <v>2</v>
      </c>
      <c r="G15" s="91" t="s">
        <v>94</v>
      </c>
      <c r="H15" s="92">
        <v>10</v>
      </c>
      <c r="I15" s="93">
        <v>20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16.399999999999999</v>
      </c>
    </row>
    <row r="16" spans="2:26" ht="18" x14ac:dyDescent="0.35">
      <c r="B16" s="95">
        <v>2</v>
      </c>
      <c r="C16" s="96" t="s">
        <v>76</v>
      </c>
      <c r="D16" s="97">
        <v>2.4</v>
      </c>
      <c r="E16" s="98">
        <v>4.8</v>
      </c>
      <c r="F16" s="90">
        <v>0.2</v>
      </c>
      <c r="G16" s="91" t="s">
        <v>90</v>
      </c>
      <c r="H16" s="92">
        <v>90</v>
      </c>
      <c r="I16" s="93">
        <v>18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>
        <v>1</v>
      </c>
      <c r="C17" s="96" t="s">
        <v>77</v>
      </c>
      <c r="D17" s="97">
        <v>2.1</v>
      </c>
      <c r="E17" s="98">
        <v>2.1</v>
      </c>
      <c r="F17" s="90">
        <v>0.5</v>
      </c>
      <c r="G17" s="91" t="s">
        <v>18</v>
      </c>
      <c r="H17" s="92">
        <v>12</v>
      </c>
      <c r="I17" s="93">
        <v>6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>
        <v>1.5</v>
      </c>
      <c r="C18" s="96" t="s">
        <v>76</v>
      </c>
      <c r="D18" s="97">
        <v>2.4</v>
      </c>
      <c r="E18" s="98">
        <v>3.5999999999999996</v>
      </c>
      <c r="F18" s="90">
        <v>132</v>
      </c>
      <c r="G18" s="91" t="s">
        <v>48</v>
      </c>
      <c r="H18" s="92">
        <v>7</v>
      </c>
      <c r="I18" s="93">
        <v>924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41.000000000000007</v>
      </c>
    </row>
    <row r="19" spans="2:26" ht="18" x14ac:dyDescent="0.35">
      <c r="B19" s="95">
        <v>1.5</v>
      </c>
      <c r="C19" s="96" t="s">
        <v>77</v>
      </c>
      <c r="D19" s="97">
        <v>2.1</v>
      </c>
      <c r="E19" s="98">
        <v>3.1500000000000004</v>
      </c>
      <c r="F19" s="90">
        <v>0.5</v>
      </c>
      <c r="G19" s="91" t="s">
        <v>92</v>
      </c>
      <c r="H19" s="92">
        <v>75</v>
      </c>
      <c r="I19" s="93">
        <v>37.5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0.4</v>
      </c>
    </row>
    <row r="20" spans="2:26" ht="18" x14ac:dyDescent="0.35">
      <c r="B20" s="95">
        <v>10.5</v>
      </c>
      <c r="C20" s="96" t="s">
        <v>77</v>
      </c>
      <c r="D20" s="97">
        <v>2.1</v>
      </c>
      <c r="E20" s="98">
        <v>22.05</v>
      </c>
      <c r="F20" s="90">
        <v>0.5</v>
      </c>
      <c r="G20" s="91" t="s">
        <v>84</v>
      </c>
      <c r="H20" s="92">
        <v>5</v>
      </c>
      <c r="I20" s="93">
        <v>2.5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4.5</v>
      </c>
    </row>
    <row r="21" spans="2:26" ht="18" x14ac:dyDescent="0.35">
      <c r="B21" s="95">
        <v>15</v>
      </c>
      <c r="C21" s="96" t="s">
        <v>76</v>
      </c>
      <c r="D21" s="97">
        <v>2.4</v>
      </c>
      <c r="E21" s="98">
        <v>36</v>
      </c>
      <c r="F21" s="90">
        <v>0.4</v>
      </c>
      <c r="G21" s="91" t="s">
        <v>85</v>
      </c>
      <c r="H21" s="92">
        <v>10</v>
      </c>
      <c r="I21" s="93">
        <v>4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51.5</v>
      </c>
      <c r="C22" s="96" t="s">
        <v>76</v>
      </c>
      <c r="D22" s="97">
        <v>2.4</v>
      </c>
      <c r="E22" s="98">
        <v>123.6</v>
      </c>
      <c r="F22" s="90">
        <v>0.2</v>
      </c>
      <c r="G22" s="91" t="s">
        <v>84</v>
      </c>
      <c r="H22" s="92">
        <v>5</v>
      </c>
      <c r="I22" s="93">
        <v>1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3.5</v>
      </c>
      <c r="C23" s="96" t="s">
        <v>77</v>
      </c>
      <c r="D23" s="97">
        <v>2.1</v>
      </c>
      <c r="E23" s="98">
        <v>7.3500000000000005</v>
      </c>
      <c r="F23" s="90">
        <v>5</v>
      </c>
      <c r="G23" s="91" t="s">
        <v>18</v>
      </c>
      <c r="H23" s="92">
        <v>12</v>
      </c>
      <c r="I23" s="93">
        <v>60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4.6999999999999993</v>
      </c>
    </row>
    <row r="24" spans="2:26" ht="18" x14ac:dyDescent="0.35">
      <c r="B24" s="95">
        <v>2.5</v>
      </c>
      <c r="C24" s="96" t="s">
        <v>77</v>
      </c>
      <c r="D24" s="97">
        <v>2.1</v>
      </c>
      <c r="E24" s="98">
        <v>5.25</v>
      </c>
      <c r="F24" s="90">
        <v>0.4</v>
      </c>
      <c r="G24" s="91" t="s">
        <v>23</v>
      </c>
      <c r="H24" s="92">
        <v>55</v>
      </c>
      <c r="I24" s="93">
        <v>22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4.5</v>
      </c>
      <c r="C25" s="96" t="s">
        <v>76</v>
      </c>
      <c r="D25" s="97">
        <v>2.4</v>
      </c>
      <c r="E25" s="98">
        <v>10.799999999999999</v>
      </c>
      <c r="F25" s="90">
        <v>0.2</v>
      </c>
      <c r="G25" s="91" t="s">
        <v>84</v>
      </c>
      <c r="H25" s="92">
        <v>5</v>
      </c>
      <c r="I25" s="93">
        <v>1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33.5</v>
      </c>
    </row>
    <row r="26" spans="2:26" ht="18" x14ac:dyDescent="0.35">
      <c r="B26" s="95">
        <v>11.5</v>
      </c>
      <c r="C26" s="96" t="s">
        <v>77</v>
      </c>
      <c r="D26" s="97">
        <v>2.1</v>
      </c>
      <c r="E26" s="98">
        <v>24.150000000000002</v>
      </c>
      <c r="F26" s="90">
        <v>1</v>
      </c>
      <c r="G26" s="91" t="s">
        <v>18</v>
      </c>
      <c r="H26" s="92">
        <v>12</v>
      </c>
      <c r="I26" s="93">
        <v>12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>
        <v>8</v>
      </c>
      <c r="C27" s="96" t="s">
        <v>76</v>
      </c>
      <c r="D27" s="97">
        <v>2.4</v>
      </c>
      <c r="E27" s="98">
        <v>19.2</v>
      </c>
      <c r="F27" s="90">
        <v>0.2</v>
      </c>
      <c r="G27" s="91" t="s">
        <v>90</v>
      </c>
      <c r="H27" s="92">
        <v>90</v>
      </c>
      <c r="I27" s="93">
        <v>18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21.6</v>
      </c>
    </row>
    <row r="28" spans="2:26" ht="18" x14ac:dyDescent="0.35">
      <c r="B28" s="95">
        <v>4.5</v>
      </c>
      <c r="C28" s="96" t="s">
        <v>77</v>
      </c>
      <c r="D28" s="97">
        <v>2.1</v>
      </c>
      <c r="E28" s="98">
        <v>9.4500000000000011</v>
      </c>
      <c r="F28" s="90">
        <v>23.5</v>
      </c>
      <c r="G28" s="91" t="s">
        <v>90</v>
      </c>
      <c r="H28" s="92">
        <v>90</v>
      </c>
      <c r="I28" s="93">
        <v>2115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4</v>
      </c>
      <c r="C29" s="96" t="s">
        <v>76</v>
      </c>
      <c r="D29" s="97">
        <v>2.4</v>
      </c>
      <c r="E29" s="98">
        <v>9.6</v>
      </c>
      <c r="F29" s="90">
        <v>5.5</v>
      </c>
      <c r="G29" s="91" t="s">
        <v>19</v>
      </c>
      <c r="H29" s="92">
        <v>2</v>
      </c>
      <c r="I29" s="93">
        <v>11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4</v>
      </c>
      <c r="C30" s="96" t="s">
        <v>88</v>
      </c>
      <c r="D30" s="97">
        <v>0.9</v>
      </c>
      <c r="E30" s="98">
        <v>3.6</v>
      </c>
      <c r="F30" s="90">
        <v>1</v>
      </c>
      <c r="G30" s="91" t="s">
        <v>94</v>
      </c>
      <c r="H30" s="92">
        <v>10</v>
      </c>
      <c r="I30" s="93">
        <v>10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18.5</v>
      </c>
      <c r="C31" s="96" t="s">
        <v>76</v>
      </c>
      <c r="D31" s="97">
        <v>2.4</v>
      </c>
      <c r="E31" s="98">
        <v>44.4</v>
      </c>
      <c r="F31" s="90">
        <v>0.5</v>
      </c>
      <c r="G31" s="91" t="s">
        <v>23</v>
      </c>
      <c r="H31" s="92">
        <v>55</v>
      </c>
      <c r="I31" s="93">
        <v>27.5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4</v>
      </c>
      <c r="C32" s="96" t="s">
        <v>76</v>
      </c>
      <c r="D32" s="97">
        <v>2.4</v>
      </c>
      <c r="E32" s="98">
        <v>9.6</v>
      </c>
      <c r="F32" s="90">
        <v>0.5</v>
      </c>
      <c r="G32" s="91" t="s">
        <v>90</v>
      </c>
      <c r="H32" s="92">
        <v>90</v>
      </c>
      <c r="I32" s="93">
        <v>45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21</v>
      </c>
      <c r="C33" s="96" t="s">
        <v>76</v>
      </c>
      <c r="D33" s="97">
        <v>2.4</v>
      </c>
      <c r="E33" s="98">
        <v>50.4</v>
      </c>
      <c r="F33" s="90">
        <v>1.2</v>
      </c>
      <c r="G33" s="91" t="s">
        <v>94</v>
      </c>
      <c r="H33" s="92">
        <v>10</v>
      </c>
      <c r="I33" s="93">
        <v>12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8</v>
      </c>
      <c r="C34" s="96" t="s">
        <v>77</v>
      </c>
      <c r="D34" s="97">
        <v>2.1</v>
      </c>
      <c r="E34" s="98">
        <v>16.8</v>
      </c>
      <c r="F34" s="90">
        <v>1</v>
      </c>
      <c r="G34" s="91" t="s">
        <v>96</v>
      </c>
      <c r="H34" s="92">
        <v>12</v>
      </c>
      <c r="I34" s="93">
        <v>12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>
        <v>1.5</v>
      </c>
      <c r="G35" s="91" t="s">
        <v>70</v>
      </c>
      <c r="H35" s="92">
        <v>5</v>
      </c>
      <c r="I35" s="93">
        <v>7.5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>
        <v>1</v>
      </c>
      <c r="G36" s="91" t="s">
        <v>94</v>
      </c>
      <c r="H36" s="92">
        <v>10</v>
      </c>
      <c r="I36" s="93">
        <v>10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>
        <v>1</v>
      </c>
      <c r="G37" s="91" t="s">
        <v>20</v>
      </c>
      <c r="H37" s="92">
        <v>1</v>
      </c>
      <c r="I37" s="93">
        <v>1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>
        <v>0.5</v>
      </c>
      <c r="G38" s="91" t="s">
        <v>84</v>
      </c>
      <c r="H38" s="92">
        <v>5</v>
      </c>
      <c r="I38" s="93">
        <v>2.5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4.4000000000000004</v>
      </c>
    </row>
    <row r="39" spans="2:26" ht="18" x14ac:dyDescent="0.35">
      <c r="B39" s="95"/>
      <c r="C39" s="96"/>
      <c r="D39" s="97"/>
      <c r="E39" s="98"/>
      <c r="F39" s="90">
        <v>2</v>
      </c>
      <c r="G39" s="91" t="s">
        <v>84</v>
      </c>
      <c r="H39" s="92">
        <v>5</v>
      </c>
      <c r="I39" s="93">
        <v>10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1.2000000000000002</v>
      </c>
    </row>
    <row r="40" spans="2:26" ht="18" x14ac:dyDescent="0.35">
      <c r="B40" s="95"/>
      <c r="C40" s="96"/>
      <c r="D40" s="97"/>
      <c r="E40" s="98"/>
      <c r="F40" s="90">
        <v>1</v>
      </c>
      <c r="G40" s="91" t="s">
        <v>90</v>
      </c>
      <c r="H40" s="92">
        <v>90</v>
      </c>
      <c r="I40" s="93">
        <v>90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>
        <v>1</v>
      </c>
      <c r="G41" s="91" t="s">
        <v>18</v>
      </c>
      <c r="H41" s="92">
        <v>12</v>
      </c>
      <c r="I41" s="93">
        <v>12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>
        <v>0.5</v>
      </c>
      <c r="G42" s="91" t="s">
        <v>94</v>
      </c>
      <c r="H42" s="92">
        <v>10</v>
      </c>
      <c r="I42" s="93">
        <v>5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>
        <v>16</v>
      </c>
      <c r="G43" s="91" t="s">
        <v>48</v>
      </c>
      <c r="H43" s="92">
        <v>6</v>
      </c>
      <c r="I43" s="93">
        <v>96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>
        <v>33.5</v>
      </c>
      <c r="G44" s="91" t="s">
        <v>25</v>
      </c>
      <c r="H44" s="92">
        <v>30</v>
      </c>
      <c r="I44" s="93">
        <v>1005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149.5</v>
      </c>
    </row>
    <row r="45" spans="2:26" ht="18" x14ac:dyDescent="0.35">
      <c r="B45" s="95"/>
      <c r="C45" s="96"/>
      <c r="D45" s="97"/>
      <c r="E45" s="98"/>
      <c r="F45" s="90">
        <v>0.8</v>
      </c>
      <c r="G45" s="91" t="s">
        <v>85</v>
      </c>
      <c r="H45" s="92">
        <v>10</v>
      </c>
      <c r="I45" s="93">
        <v>8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>
        <v>1</v>
      </c>
      <c r="G46" s="91" t="s">
        <v>84</v>
      </c>
      <c r="H46" s="92">
        <v>5</v>
      </c>
      <c r="I46" s="93">
        <v>5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1</v>
      </c>
    </row>
    <row r="47" spans="2:26" ht="18" x14ac:dyDescent="0.35">
      <c r="B47" s="95"/>
      <c r="C47" s="96"/>
      <c r="D47" s="97"/>
      <c r="E47" s="98"/>
      <c r="F47" s="90">
        <v>0.6</v>
      </c>
      <c r="G47" s="91" t="s">
        <v>92</v>
      </c>
      <c r="H47" s="92">
        <v>75</v>
      </c>
      <c r="I47" s="93">
        <v>45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>
        <v>1</v>
      </c>
      <c r="G48" s="91" t="s">
        <v>70</v>
      </c>
      <c r="H48" s="92">
        <v>5</v>
      </c>
      <c r="I48" s="93">
        <v>5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>
        <v>0.2</v>
      </c>
      <c r="G49" s="91" t="s">
        <v>90</v>
      </c>
      <c r="H49" s="92">
        <v>90</v>
      </c>
      <c r="I49" s="93">
        <v>18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2.5</v>
      </c>
    </row>
    <row r="50" spans="2:26" ht="18" x14ac:dyDescent="0.35">
      <c r="B50" s="95"/>
      <c r="C50" s="96"/>
      <c r="D50" s="97"/>
      <c r="E50" s="98"/>
      <c r="F50" s="90">
        <v>0.5</v>
      </c>
      <c r="G50" s="91" t="s">
        <v>23</v>
      </c>
      <c r="H50" s="92">
        <v>55</v>
      </c>
      <c r="I50" s="93">
        <v>27.5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2.5</v>
      </c>
      <c r="G51" s="91" t="s">
        <v>94</v>
      </c>
      <c r="H51" s="92">
        <v>10</v>
      </c>
      <c r="I51" s="93">
        <v>25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2</v>
      </c>
      <c r="G52" s="91" t="s">
        <v>18</v>
      </c>
      <c r="H52" s="92">
        <v>12</v>
      </c>
      <c r="I52" s="93">
        <v>24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1</v>
      </c>
      <c r="G53" s="91" t="s">
        <v>18</v>
      </c>
      <c r="H53" s="92">
        <v>12</v>
      </c>
      <c r="I53" s="93">
        <v>12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0.4</v>
      </c>
      <c r="G54" s="91" t="s">
        <v>90</v>
      </c>
      <c r="H54" s="92">
        <v>90</v>
      </c>
      <c r="I54" s="93">
        <v>36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>
        <v>11</v>
      </c>
      <c r="G55" s="91" t="s">
        <v>94</v>
      </c>
      <c r="H55" s="92">
        <v>10</v>
      </c>
      <c r="I55" s="93">
        <v>110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>
        <v>0.2</v>
      </c>
      <c r="G56" s="91" t="s">
        <v>90</v>
      </c>
      <c r="H56" s="92">
        <v>90</v>
      </c>
      <c r="I56" s="93">
        <v>18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0.4</v>
      </c>
      <c r="G57" s="91" t="s">
        <v>23</v>
      </c>
      <c r="H57" s="92">
        <v>55</v>
      </c>
      <c r="I57" s="93">
        <v>22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0.4</v>
      </c>
      <c r="G58" s="91" t="s">
        <v>90</v>
      </c>
      <c r="H58" s="92">
        <v>90</v>
      </c>
      <c r="I58" s="93">
        <v>36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2</v>
      </c>
      <c r="G59" s="91" t="s">
        <v>92</v>
      </c>
      <c r="H59" s="92">
        <v>75</v>
      </c>
      <c r="I59" s="93">
        <v>150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0.6</v>
      </c>
      <c r="G60" s="91" t="s">
        <v>90</v>
      </c>
      <c r="H60" s="92">
        <v>90</v>
      </c>
      <c r="I60" s="93">
        <v>54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14</v>
      </c>
      <c r="G61" s="91" t="s">
        <v>19</v>
      </c>
      <c r="H61" s="92">
        <v>2</v>
      </c>
      <c r="I61" s="93">
        <v>28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5.5</v>
      </c>
      <c r="G62" s="91" t="s">
        <v>18</v>
      </c>
      <c r="H62" s="92">
        <v>12</v>
      </c>
      <c r="I62" s="93">
        <v>66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0.6</v>
      </c>
      <c r="G63" s="91" t="s">
        <v>90</v>
      </c>
      <c r="H63" s="92">
        <v>90</v>
      </c>
      <c r="I63" s="93">
        <v>54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0.8</v>
      </c>
      <c r="G64" s="91" t="s">
        <v>23</v>
      </c>
      <c r="H64" s="92">
        <v>55</v>
      </c>
      <c r="I64" s="93">
        <v>44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2</v>
      </c>
      <c r="G65" s="100" t="s">
        <v>94</v>
      </c>
      <c r="H65" s="101">
        <v>10</v>
      </c>
      <c r="I65" s="102">
        <v>20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1.5</v>
      </c>
      <c r="G66" s="91" t="s">
        <v>48</v>
      </c>
      <c r="H66" s="92">
        <v>6</v>
      </c>
      <c r="I66" s="93">
        <v>9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0.4</v>
      </c>
      <c r="G67" s="94" t="s">
        <v>91</v>
      </c>
      <c r="H67" s="104">
        <v>88</v>
      </c>
      <c r="I67" s="105">
        <v>35.200000000000003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0.6</v>
      </c>
      <c r="G68" s="91" t="s">
        <v>23</v>
      </c>
      <c r="H68" s="92">
        <v>55</v>
      </c>
      <c r="I68" s="105">
        <v>33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>
        <v>1.5</v>
      </c>
      <c r="G69" s="91" t="s">
        <v>23</v>
      </c>
      <c r="H69" s="92">
        <v>55</v>
      </c>
      <c r="I69" s="105">
        <v>82.5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>
        <v>3</v>
      </c>
      <c r="G70" s="91" t="s">
        <v>90</v>
      </c>
      <c r="H70" s="92">
        <v>90</v>
      </c>
      <c r="I70" s="105">
        <v>270</v>
      </c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251.4</v>
      </c>
      <c r="C130" s="122"/>
      <c r="D130" s="121"/>
      <c r="E130" s="123">
        <f>SUM(E9:E129)</f>
        <v>580.1099999999999</v>
      </c>
      <c r="F130" s="124">
        <f>SUM(F9:F129)</f>
        <v>305.19999999999993</v>
      </c>
      <c r="G130" s="82"/>
      <c r="H130" s="125"/>
      <c r="I130" s="125">
        <f>SUM(I9:I129)</f>
        <v>6870.5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5860</v>
      </c>
      <c r="Q130" s="128">
        <f>SUM(Q9:Q129)</f>
        <v>16782</v>
      </c>
      <c r="R130" s="83"/>
      <c r="S130" s="84"/>
      <c r="T130" s="129">
        <f>SUM(T9:T129)</f>
        <v>50</v>
      </c>
      <c r="U130" s="83"/>
      <c r="V130" s="82"/>
      <c r="W130" s="130">
        <f>SUM(W9:W129)</f>
        <v>0</v>
      </c>
    </row>
  </sheetData>
  <sheetProtection algorithmName="SHA-512" hashValue="5UvIdyQUo/2w0qyS5vkwFTklPTsk0R4Gs849vi0+7xJLq1FPpYQvnExu34ZFa4N/pyzY26AlH0W6RFqiUHtznQ==" saltValue="Ge630qqp45Dr0kpaUHlC0w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AB607-566A-4ACE-943A-3AF654570CC2}">
  <sheetPr codeName="Sheet50"/>
  <dimension ref="A1:Z130"/>
  <sheetViews>
    <sheetView topLeftCell="G4" zoomScale="80" zoomScaleNormal="80" workbookViewId="0">
      <selection activeCell="I94" sqref="I94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44175</v>
      </c>
      <c r="F1" s="189"/>
      <c r="G1" s="189"/>
    </row>
    <row r="2" spans="2:26" ht="18" x14ac:dyDescent="0.35">
      <c r="B2" s="190" t="s">
        <v>0</v>
      </c>
      <c r="C2" s="190"/>
      <c r="D2" s="1">
        <v>20524</v>
      </c>
    </row>
    <row r="3" spans="2:26" ht="18" x14ac:dyDescent="0.35">
      <c r="B3" s="190" t="s">
        <v>1</v>
      </c>
      <c r="C3" s="190"/>
      <c r="D3" s="77">
        <f>(D2-E130-I130)</f>
        <v>6642.6500000000015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4</v>
      </c>
      <c r="C9" s="87" t="s">
        <v>77</v>
      </c>
      <c r="D9" s="88">
        <v>2.1</v>
      </c>
      <c r="E9" s="89">
        <v>8.4</v>
      </c>
      <c r="F9" s="90">
        <v>1.5</v>
      </c>
      <c r="G9" s="91" t="s">
        <v>18</v>
      </c>
      <c r="H9" s="92">
        <v>12</v>
      </c>
      <c r="I9" s="93">
        <v>18</v>
      </c>
      <c r="J9" s="83"/>
      <c r="K9" s="83"/>
      <c r="L9" s="3" t="s">
        <v>124</v>
      </c>
      <c r="M9" s="4">
        <v>500.5</v>
      </c>
      <c r="N9" s="5">
        <v>27923.95</v>
      </c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89.2</v>
      </c>
    </row>
    <row r="10" spans="2:26" ht="18" x14ac:dyDescent="0.35">
      <c r="B10" s="95">
        <v>2</v>
      </c>
      <c r="C10" s="96" t="s">
        <v>76</v>
      </c>
      <c r="D10" s="97">
        <v>2.4</v>
      </c>
      <c r="E10" s="98">
        <v>4.8</v>
      </c>
      <c r="F10" s="90">
        <v>0.5</v>
      </c>
      <c r="G10" s="91" t="s">
        <v>90</v>
      </c>
      <c r="H10" s="92">
        <v>90</v>
      </c>
      <c r="I10" s="93">
        <v>45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226.8</v>
      </c>
    </row>
    <row r="11" spans="2:26" ht="18" x14ac:dyDescent="0.35">
      <c r="B11" s="95">
        <v>1.5</v>
      </c>
      <c r="C11" s="96" t="s">
        <v>88</v>
      </c>
      <c r="D11" s="97">
        <v>0.9</v>
      </c>
      <c r="E11" s="98">
        <v>1.35</v>
      </c>
      <c r="F11" s="90">
        <v>100</v>
      </c>
      <c r="G11" s="91" t="s">
        <v>23</v>
      </c>
      <c r="H11" s="92">
        <v>55</v>
      </c>
      <c r="I11" s="93">
        <v>5500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497.79999999999995</v>
      </c>
    </row>
    <row r="12" spans="2:26" ht="18" x14ac:dyDescent="0.35">
      <c r="B12" s="95">
        <v>35.5</v>
      </c>
      <c r="C12" s="96" t="s">
        <v>77</v>
      </c>
      <c r="D12" s="97">
        <v>2.1</v>
      </c>
      <c r="E12" s="98">
        <v>74.55</v>
      </c>
      <c r="F12" s="90">
        <v>9.5</v>
      </c>
      <c r="G12" s="91" t="s">
        <v>92</v>
      </c>
      <c r="H12" s="92">
        <v>75</v>
      </c>
      <c r="I12" s="93">
        <v>712.5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30</v>
      </c>
      <c r="C13" s="96" t="s">
        <v>76</v>
      </c>
      <c r="D13" s="97">
        <v>2.4</v>
      </c>
      <c r="E13" s="98">
        <v>72</v>
      </c>
      <c r="F13" s="90">
        <v>20</v>
      </c>
      <c r="G13" s="91" t="s">
        <v>23</v>
      </c>
      <c r="H13" s="92">
        <v>55</v>
      </c>
      <c r="I13" s="93">
        <v>1100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9.5</v>
      </c>
    </row>
    <row r="14" spans="2:26" ht="18" x14ac:dyDescent="0.35">
      <c r="B14" s="95">
        <v>25.5</v>
      </c>
      <c r="C14" s="96" t="s">
        <v>76</v>
      </c>
      <c r="D14" s="97">
        <v>2.4</v>
      </c>
      <c r="E14" s="98">
        <v>61.199999999999996</v>
      </c>
      <c r="F14" s="90">
        <v>5.5</v>
      </c>
      <c r="G14" s="91" t="s">
        <v>23</v>
      </c>
      <c r="H14" s="92">
        <v>55</v>
      </c>
      <c r="I14" s="93">
        <v>302.5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3</v>
      </c>
    </row>
    <row r="15" spans="2:26" ht="18" x14ac:dyDescent="0.35">
      <c r="B15" s="95">
        <v>2.5</v>
      </c>
      <c r="C15" s="96" t="s">
        <v>77</v>
      </c>
      <c r="D15" s="97">
        <v>2.1</v>
      </c>
      <c r="E15" s="98">
        <v>5.25</v>
      </c>
      <c r="F15" s="90">
        <v>0.5</v>
      </c>
      <c r="G15" s="91" t="s">
        <v>90</v>
      </c>
      <c r="H15" s="92">
        <v>90</v>
      </c>
      <c r="I15" s="93">
        <v>45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33.700000000000003</v>
      </c>
    </row>
    <row r="16" spans="2:26" ht="18" x14ac:dyDescent="0.35">
      <c r="B16" s="95">
        <v>11.5</v>
      </c>
      <c r="C16" s="96" t="s">
        <v>76</v>
      </c>
      <c r="D16" s="97">
        <v>2.4</v>
      </c>
      <c r="E16" s="98">
        <v>27.599999999999998</v>
      </c>
      <c r="F16" s="90">
        <v>7.5</v>
      </c>
      <c r="G16" s="91" t="s">
        <v>90</v>
      </c>
      <c r="H16" s="92">
        <v>90</v>
      </c>
      <c r="I16" s="93">
        <v>675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0.5</v>
      </c>
    </row>
    <row r="17" spans="2:26" ht="18" x14ac:dyDescent="0.35">
      <c r="B17" s="95">
        <v>8.5</v>
      </c>
      <c r="C17" s="96" t="s">
        <v>76</v>
      </c>
      <c r="D17" s="97">
        <v>2.4</v>
      </c>
      <c r="E17" s="98">
        <v>20.399999999999999</v>
      </c>
      <c r="F17" s="90">
        <v>13.5</v>
      </c>
      <c r="G17" s="91" t="s">
        <v>48</v>
      </c>
      <c r="H17" s="92">
        <v>6</v>
      </c>
      <c r="I17" s="93">
        <v>81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0.5</v>
      </c>
    </row>
    <row r="18" spans="2:26" ht="18" x14ac:dyDescent="0.35">
      <c r="B18" s="95">
        <v>8</v>
      </c>
      <c r="C18" s="96" t="s">
        <v>76</v>
      </c>
      <c r="D18" s="97">
        <v>2.4</v>
      </c>
      <c r="E18" s="98">
        <v>19.2</v>
      </c>
      <c r="F18" s="90">
        <v>2.5</v>
      </c>
      <c r="G18" s="91" t="s">
        <v>90</v>
      </c>
      <c r="H18" s="92">
        <v>90</v>
      </c>
      <c r="I18" s="93">
        <v>225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31.9</v>
      </c>
    </row>
    <row r="19" spans="2:26" ht="18" x14ac:dyDescent="0.35">
      <c r="B19" s="95">
        <v>3</v>
      </c>
      <c r="C19" s="96" t="s">
        <v>77</v>
      </c>
      <c r="D19" s="97">
        <v>2.1</v>
      </c>
      <c r="E19" s="98">
        <v>6.3000000000000007</v>
      </c>
      <c r="F19" s="90">
        <v>2.5</v>
      </c>
      <c r="G19" s="91" t="s">
        <v>92</v>
      </c>
      <c r="H19" s="92">
        <v>75</v>
      </c>
      <c r="I19" s="93">
        <v>187.5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1</v>
      </c>
    </row>
    <row r="20" spans="2:26" ht="18" x14ac:dyDescent="0.35">
      <c r="B20" s="95">
        <v>6</v>
      </c>
      <c r="C20" s="96" t="s">
        <v>77</v>
      </c>
      <c r="D20" s="97">
        <v>2.1</v>
      </c>
      <c r="E20" s="98">
        <v>12.600000000000001</v>
      </c>
      <c r="F20" s="90">
        <v>3.5</v>
      </c>
      <c r="G20" s="91" t="s">
        <v>23</v>
      </c>
      <c r="H20" s="92">
        <v>55</v>
      </c>
      <c r="I20" s="93">
        <v>192.5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14.999999999999996</v>
      </c>
    </row>
    <row r="21" spans="2:26" ht="18" x14ac:dyDescent="0.35">
      <c r="B21" s="95">
        <v>24</v>
      </c>
      <c r="C21" s="96" t="s">
        <v>76</v>
      </c>
      <c r="D21" s="97">
        <v>2.2999999999999998</v>
      </c>
      <c r="E21" s="98">
        <v>55.199999999999996</v>
      </c>
      <c r="F21" s="90">
        <v>1</v>
      </c>
      <c r="G21" s="91" t="s">
        <v>86</v>
      </c>
      <c r="H21" s="92">
        <v>40</v>
      </c>
      <c r="I21" s="93">
        <v>40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24</v>
      </c>
      <c r="C22" s="96" t="s">
        <v>76</v>
      </c>
      <c r="D22" s="97">
        <v>2.2999999999999998</v>
      </c>
      <c r="E22" s="98">
        <v>55.199999999999996</v>
      </c>
      <c r="F22" s="90">
        <v>2.5</v>
      </c>
      <c r="G22" s="91" t="s">
        <v>85</v>
      </c>
      <c r="H22" s="92">
        <v>10</v>
      </c>
      <c r="I22" s="93">
        <v>25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0.5</v>
      </c>
    </row>
    <row r="23" spans="2:26" ht="18" x14ac:dyDescent="0.35">
      <c r="B23" s="95">
        <v>2</v>
      </c>
      <c r="C23" s="96" t="s">
        <v>77</v>
      </c>
      <c r="D23" s="97">
        <v>2.1</v>
      </c>
      <c r="E23" s="98">
        <v>4.2</v>
      </c>
      <c r="F23" s="90">
        <v>0.5</v>
      </c>
      <c r="G23" s="91" t="s">
        <v>93</v>
      </c>
      <c r="H23" s="92">
        <v>30</v>
      </c>
      <c r="I23" s="93">
        <v>15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132.99999999999997</v>
      </c>
    </row>
    <row r="24" spans="2:26" ht="18" x14ac:dyDescent="0.35">
      <c r="B24" s="95">
        <v>6</v>
      </c>
      <c r="C24" s="96" t="s">
        <v>76</v>
      </c>
      <c r="D24" s="97">
        <v>2.2999999999999998</v>
      </c>
      <c r="E24" s="98">
        <v>13.799999999999999</v>
      </c>
      <c r="F24" s="90">
        <v>3</v>
      </c>
      <c r="G24" s="91" t="s">
        <v>48</v>
      </c>
      <c r="H24" s="92">
        <v>6</v>
      </c>
      <c r="I24" s="93">
        <v>18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52</v>
      </c>
      <c r="C25" s="96" t="s">
        <v>77</v>
      </c>
      <c r="D25" s="97">
        <v>2.1</v>
      </c>
      <c r="E25" s="98">
        <v>109.2</v>
      </c>
      <c r="F25" s="90">
        <v>3</v>
      </c>
      <c r="G25" s="91" t="s">
        <v>19</v>
      </c>
      <c r="H25" s="92">
        <v>2</v>
      </c>
      <c r="I25" s="93">
        <v>6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>
        <v>18</v>
      </c>
      <c r="C26" s="96" t="s">
        <v>76</v>
      </c>
      <c r="D26" s="97">
        <v>2.2999999999999998</v>
      </c>
      <c r="E26" s="98">
        <v>41.4</v>
      </c>
      <c r="F26" s="90">
        <v>0.5</v>
      </c>
      <c r="G26" s="91" t="s">
        <v>18</v>
      </c>
      <c r="H26" s="92">
        <v>12</v>
      </c>
      <c r="I26" s="93">
        <v>6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>
        <v>26.5</v>
      </c>
      <c r="C27" s="96" t="s">
        <v>88</v>
      </c>
      <c r="D27" s="97">
        <v>0.9</v>
      </c>
      <c r="E27" s="98">
        <v>23.85</v>
      </c>
      <c r="F27" s="90">
        <v>0.5</v>
      </c>
      <c r="G27" s="91" t="s">
        <v>92</v>
      </c>
      <c r="H27" s="92">
        <v>70</v>
      </c>
      <c r="I27" s="93">
        <v>35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18.299999999999997</v>
      </c>
    </row>
    <row r="28" spans="2:26" ht="18" x14ac:dyDescent="0.35">
      <c r="B28" s="95">
        <v>6</v>
      </c>
      <c r="C28" s="96" t="s">
        <v>77</v>
      </c>
      <c r="D28" s="97">
        <v>2.1</v>
      </c>
      <c r="E28" s="98">
        <v>12.600000000000001</v>
      </c>
      <c r="F28" s="90">
        <v>0.5</v>
      </c>
      <c r="G28" s="91" t="s">
        <v>90</v>
      </c>
      <c r="H28" s="92">
        <v>85</v>
      </c>
      <c r="I28" s="93">
        <v>42.5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1.6</v>
      </c>
      <c r="C29" s="96" t="s">
        <v>88</v>
      </c>
      <c r="D29" s="97">
        <v>0.9</v>
      </c>
      <c r="E29" s="98">
        <v>1.4400000000000002</v>
      </c>
      <c r="F29" s="90">
        <v>0.5</v>
      </c>
      <c r="G29" s="91" t="s">
        <v>92</v>
      </c>
      <c r="H29" s="92">
        <v>70</v>
      </c>
      <c r="I29" s="93">
        <v>35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3.4</v>
      </c>
      <c r="C30" s="96" t="s">
        <v>77</v>
      </c>
      <c r="D30" s="97">
        <v>2.1</v>
      </c>
      <c r="E30" s="98">
        <v>7.14</v>
      </c>
      <c r="F30" s="90">
        <v>2.5</v>
      </c>
      <c r="G30" s="91" t="s">
        <v>46</v>
      </c>
      <c r="H30" s="92">
        <v>14</v>
      </c>
      <c r="I30" s="93">
        <v>35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6.6</v>
      </c>
      <c r="C31" s="96" t="s">
        <v>88</v>
      </c>
      <c r="D31" s="97">
        <v>0.9</v>
      </c>
      <c r="E31" s="98">
        <v>5.9399999999999995</v>
      </c>
      <c r="F31" s="90">
        <v>0.2</v>
      </c>
      <c r="G31" s="91" t="s">
        <v>23</v>
      </c>
      <c r="H31" s="92">
        <v>50</v>
      </c>
      <c r="I31" s="93">
        <v>10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5</v>
      </c>
      <c r="C32" s="96" t="s">
        <v>88</v>
      </c>
      <c r="D32" s="97">
        <v>0.9</v>
      </c>
      <c r="E32" s="98">
        <v>4.5</v>
      </c>
      <c r="F32" s="90">
        <v>0.5</v>
      </c>
      <c r="G32" s="91" t="s">
        <v>90</v>
      </c>
      <c r="H32" s="92">
        <v>85</v>
      </c>
      <c r="I32" s="93">
        <v>42.5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9</v>
      </c>
      <c r="C33" s="96" t="s">
        <v>76</v>
      </c>
      <c r="D33" s="97">
        <v>2.2999999999999998</v>
      </c>
      <c r="E33" s="98">
        <v>20.7</v>
      </c>
      <c r="F33" s="90">
        <v>4</v>
      </c>
      <c r="G33" s="91" t="s">
        <v>18</v>
      </c>
      <c r="H33" s="92">
        <v>10</v>
      </c>
      <c r="I33" s="93">
        <v>40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7</v>
      </c>
      <c r="C34" s="96" t="s">
        <v>77</v>
      </c>
      <c r="D34" s="97">
        <v>2.1</v>
      </c>
      <c r="E34" s="98">
        <v>14.700000000000001</v>
      </c>
      <c r="F34" s="90">
        <v>0.5</v>
      </c>
      <c r="G34" s="91" t="s">
        <v>67</v>
      </c>
      <c r="H34" s="92">
        <v>88</v>
      </c>
      <c r="I34" s="93">
        <v>44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2.4</v>
      </c>
      <c r="C35" s="96" t="s">
        <v>77</v>
      </c>
      <c r="D35" s="97">
        <v>2.1</v>
      </c>
      <c r="E35" s="98">
        <v>5.04</v>
      </c>
      <c r="F35" s="90">
        <v>0.4</v>
      </c>
      <c r="G35" s="91" t="s">
        <v>87</v>
      </c>
      <c r="H35" s="92">
        <v>100</v>
      </c>
      <c r="I35" s="93">
        <v>40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3.4</v>
      </c>
      <c r="C36" s="96" t="s">
        <v>77</v>
      </c>
      <c r="D36" s="97">
        <v>2.1</v>
      </c>
      <c r="E36" s="98">
        <v>7.14</v>
      </c>
      <c r="F36" s="90">
        <v>0.2</v>
      </c>
      <c r="G36" s="91" t="s">
        <v>92</v>
      </c>
      <c r="H36" s="92">
        <v>70</v>
      </c>
      <c r="I36" s="93">
        <v>14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0.4</v>
      </c>
      <c r="C37" s="96" t="s">
        <v>76</v>
      </c>
      <c r="D37" s="97">
        <v>2.2999999999999998</v>
      </c>
      <c r="E37" s="98">
        <v>0.91999999999999993</v>
      </c>
      <c r="F37" s="90">
        <v>1</v>
      </c>
      <c r="G37" s="91" t="s">
        <v>90</v>
      </c>
      <c r="H37" s="92">
        <v>85</v>
      </c>
      <c r="I37" s="93">
        <v>85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>
        <v>4.4000000000000004</v>
      </c>
      <c r="C38" s="96" t="s">
        <v>77</v>
      </c>
      <c r="D38" s="97">
        <v>2.1</v>
      </c>
      <c r="E38" s="98">
        <v>9.240000000000002</v>
      </c>
      <c r="F38" s="90">
        <v>1</v>
      </c>
      <c r="G38" s="91" t="s">
        <v>91</v>
      </c>
      <c r="H38" s="92">
        <v>80</v>
      </c>
      <c r="I38" s="93">
        <v>80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3.7</v>
      </c>
    </row>
    <row r="39" spans="2:26" ht="18" x14ac:dyDescent="0.35">
      <c r="B39" s="95">
        <v>9.6</v>
      </c>
      <c r="C39" s="96" t="s">
        <v>76</v>
      </c>
      <c r="D39" s="97">
        <v>2.2999999999999998</v>
      </c>
      <c r="E39" s="98">
        <v>22.08</v>
      </c>
      <c r="F39" s="90">
        <v>2</v>
      </c>
      <c r="G39" s="91" t="s">
        <v>90</v>
      </c>
      <c r="H39" s="92">
        <v>85</v>
      </c>
      <c r="I39" s="93">
        <v>170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8</v>
      </c>
    </row>
    <row r="40" spans="2:26" ht="18" x14ac:dyDescent="0.35">
      <c r="B40" s="95">
        <v>3.2</v>
      </c>
      <c r="C40" s="96" t="s">
        <v>77</v>
      </c>
      <c r="D40" s="97">
        <v>2.1</v>
      </c>
      <c r="E40" s="98">
        <v>6.7200000000000006</v>
      </c>
      <c r="F40" s="90">
        <v>6.5</v>
      </c>
      <c r="G40" s="91" t="s">
        <v>90</v>
      </c>
      <c r="H40" s="92">
        <v>85</v>
      </c>
      <c r="I40" s="93">
        <v>552.5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1</v>
      </c>
    </row>
    <row r="41" spans="2:26" ht="18" x14ac:dyDescent="0.35">
      <c r="B41" s="95">
        <v>2.4</v>
      </c>
      <c r="C41" s="96" t="s">
        <v>76</v>
      </c>
      <c r="D41" s="97">
        <v>2.2999999999999998</v>
      </c>
      <c r="E41" s="98">
        <v>5.52</v>
      </c>
      <c r="F41" s="90">
        <v>5</v>
      </c>
      <c r="G41" s="91" t="s">
        <v>90</v>
      </c>
      <c r="H41" s="92">
        <v>85</v>
      </c>
      <c r="I41" s="93">
        <v>425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0.4</v>
      </c>
    </row>
    <row r="42" spans="2:26" ht="18" x14ac:dyDescent="0.35">
      <c r="B42" s="95">
        <v>48</v>
      </c>
      <c r="C42" s="96" t="s">
        <v>88</v>
      </c>
      <c r="D42" s="97">
        <v>0.9</v>
      </c>
      <c r="E42" s="98">
        <v>43.2</v>
      </c>
      <c r="F42" s="90">
        <v>4</v>
      </c>
      <c r="G42" s="91" t="s">
        <v>18</v>
      </c>
      <c r="H42" s="92">
        <v>10</v>
      </c>
      <c r="I42" s="93">
        <v>40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2.5</v>
      </c>
    </row>
    <row r="43" spans="2:26" ht="18" x14ac:dyDescent="0.35">
      <c r="B43" s="95">
        <v>6.8</v>
      </c>
      <c r="C43" s="96" t="s">
        <v>76</v>
      </c>
      <c r="D43" s="97">
        <v>2.2999999999999998</v>
      </c>
      <c r="E43" s="98">
        <v>15.639999999999999</v>
      </c>
      <c r="F43" s="90">
        <v>4.5</v>
      </c>
      <c r="G43" s="91" t="s">
        <v>85</v>
      </c>
      <c r="H43" s="92">
        <v>10</v>
      </c>
      <c r="I43" s="93">
        <v>45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>
        <v>5.6</v>
      </c>
      <c r="C44" s="96" t="s">
        <v>77</v>
      </c>
      <c r="D44" s="97">
        <v>2.1</v>
      </c>
      <c r="E44" s="98">
        <v>11.76</v>
      </c>
      <c r="F44" s="90">
        <v>1</v>
      </c>
      <c r="G44" s="91" t="s">
        <v>23</v>
      </c>
      <c r="H44" s="92">
        <v>50</v>
      </c>
      <c r="I44" s="93">
        <v>50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16.5</v>
      </c>
    </row>
    <row r="45" spans="2:26" ht="18" x14ac:dyDescent="0.35">
      <c r="B45" s="95">
        <v>16.2</v>
      </c>
      <c r="C45" s="96" t="s">
        <v>77</v>
      </c>
      <c r="D45" s="97">
        <v>2.1</v>
      </c>
      <c r="E45" s="98">
        <v>34.020000000000003</v>
      </c>
      <c r="F45" s="90">
        <v>1.5</v>
      </c>
      <c r="G45" s="91" t="s">
        <v>90</v>
      </c>
      <c r="H45" s="92">
        <v>85</v>
      </c>
      <c r="I45" s="93">
        <v>127.5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>
        <v>8.1999999999999993</v>
      </c>
      <c r="C46" s="96" t="s">
        <v>77</v>
      </c>
      <c r="D46" s="97">
        <v>2.1</v>
      </c>
      <c r="E46" s="98">
        <v>17.22</v>
      </c>
      <c r="F46" s="90">
        <v>4</v>
      </c>
      <c r="G46" s="91" t="s">
        <v>20</v>
      </c>
      <c r="H46" s="92">
        <v>1</v>
      </c>
      <c r="I46" s="93">
        <v>4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1.5</v>
      </c>
    </row>
    <row r="47" spans="2:26" ht="18" x14ac:dyDescent="0.35">
      <c r="B47" s="95">
        <v>9</v>
      </c>
      <c r="C47" s="96" t="s">
        <v>76</v>
      </c>
      <c r="D47" s="97">
        <v>2.2999999999999998</v>
      </c>
      <c r="E47" s="98">
        <v>20.7</v>
      </c>
      <c r="F47" s="90">
        <v>1.5</v>
      </c>
      <c r="G47" s="91" t="s">
        <v>18</v>
      </c>
      <c r="H47" s="92">
        <v>10</v>
      </c>
      <c r="I47" s="93">
        <v>15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>
        <v>12.6</v>
      </c>
      <c r="C48" s="96" t="s">
        <v>76</v>
      </c>
      <c r="D48" s="97">
        <v>2.2999999999999998</v>
      </c>
      <c r="E48" s="98">
        <v>28.979999999999997</v>
      </c>
      <c r="F48" s="90">
        <v>4</v>
      </c>
      <c r="G48" s="91" t="s">
        <v>18</v>
      </c>
      <c r="H48" s="92">
        <v>10</v>
      </c>
      <c r="I48" s="93">
        <v>40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>
        <v>260</v>
      </c>
      <c r="C49" s="96" t="s">
        <v>77</v>
      </c>
      <c r="D49" s="97">
        <v>2.1</v>
      </c>
      <c r="E49" s="98">
        <v>546</v>
      </c>
      <c r="F49" s="90">
        <v>1.5</v>
      </c>
      <c r="G49" s="91" t="s">
        <v>94</v>
      </c>
      <c r="H49" s="92">
        <v>10</v>
      </c>
      <c r="I49" s="93">
        <v>15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>
        <v>53</v>
      </c>
      <c r="C50" s="96" t="s">
        <v>77</v>
      </c>
      <c r="D50" s="97">
        <v>2.1</v>
      </c>
      <c r="E50" s="98">
        <v>111.30000000000001</v>
      </c>
      <c r="F50" s="90">
        <v>0.5</v>
      </c>
      <c r="G50" s="91" t="s">
        <v>22</v>
      </c>
      <c r="H50" s="92">
        <v>90</v>
      </c>
      <c r="I50" s="93">
        <v>45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>
        <v>8.5</v>
      </c>
      <c r="C51" s="96" t="s">
        <v>77</v>
      </c>
      <c r="D51" s="97">
        <v>2.1</v>
      </c>
      <c r="E51" s="98">
        <v>17.850000000000001</v>
      </c>
      <c r="F51" s="90">
        <v>0.8</v>
      </c>
      <c r="G51" s="91" t="s">
        <v>18</v>
      </c>
      <c r="H51" s="92">
        <v>10</v>
      </c>
      <c r="I51" s="93">
        <v>8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>
        <v>2</v>
      </c>
      <c r="C52" s="96" t="s">
        <v>76</v>
      </c>
      <c r="D52" s="97">
        <v>2.2999999999999998</v>
      </c>
      <c r="E52" s="98">
        <v>4.5999999999999996</v>
      </c>
      <c r="F52" s="90">
        <v>1</v>
      </c>
      <c r="G52" s="91" t="s">
        <v>85</v>
      </c>
      <c r="H52" s="92">
        <v>10</v>
      </c>
      <c r="I52" s="93">
        <v>10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>
        <v>2</v>
      </c>
      <c r="C53" s="96" t="s">
        <v>76</v>
      </c>
      <c r="D53" s="97">
        <v>2.2999999999999998</v>
      </c>
      <c r="E53" s="98">
        <v>4.5999999999999996</v>
      </c>
      <c r="F53" s="90">
        <v>0.6</v>
      </c>
      <c r="G53" s="91" t="s">
        <v>84</v>
      </c>
      <c r="H53" s="92">
        <v>5</v>
      </c>
      <c r="I53" s="93">
        <v>3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>
        <v>2</v>
      </c>
      <c r="C54" s="96" t="s">
        <v>76</v>
      </c>
      <c r="D54" s="97">
        <v>2.2999999999999998</v>
      </c>
      <c r="E54" s="98">
        <v>4.5999999999999996</v>
      </c>
      <c r="F54" s="90">
        <v>3</v>
      </c>
      <c r="G54" s="91" t="s">
        <v>18</v>
      </c>
      <c r="H54" s="92">
        <v>10</v>
      </c>
      <c r="I54" s="93">
        <v>30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>
        <v>4</v>
      </c>
      <c r="C55" s="96" t="s">
        <v>77</v>
      </c>
      <c r="D55" s="97">
        <v>2.1</v>
      </c>
      <c r="E55" s="98">
        <v>8.4</v>
      </c>
      <c r="F55" s="90">
        <v>0.6</v>
      </c>
      <c r="G55" s="91" t="s">
        <v>23</v>
      </c>
      <c r="H55" s="92">
        <v>50</v>
      </c>
      <c r="I55" s="93">
        <v>30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>
        <v>13.5</v>
      </c>
      <c r="C56" s="96" t="s">
        <v>76</v>
      </c>
      <c r="D56" s="97">
        <v>2.2999999999999998</v>
      </c>
      <c r="E56" s="98">
        <v>31.049999999999997</v>
      </c>
      <c r="F56" s="90">
        <v>0.5</v>
      </c>
      <c r="G56" s="91" t="s">
        <v>90</v>
      </c>
      <c r="H56" s="92">
        <v>85</v>
      </c>
      <c r="I56" s="93">
        <v>42.5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>
        <v>7.5</v>
      </c>
      <c r="C57" s="96" t="s">
        <v>77</v>
      </c>
      <c r="D57" s="97">
        <v>2.1</v>
      </c>
      <c r="E57" s="98">
        <v>15.75</v>
      </c>
      <c r="F57" s="90">
        <v>0.2</v>
      </c>
      <c r="G57" s="91" t="s">
        <v>90</v>
      </c>
      <c r="H57" s="92">
        <v>85</v>
      </c>
      <c r="I57" s="93">
        <v>17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1</v>
      </c>
      <c r="G58" s="91" t="s">
        <v>84</v>
      </c>
      <c r="H58" s="92">
        <v>5</v>
      </c>
      <c r="I58" s="93">
        <v>5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2</v>
      </c>
      <c r="G59" s="91" t="s">
        <v>18</v>
      </c>
      <c r="H59" s="92">
        <v>10</v>
      </c>
      <c r="I59" s="93">
        <v>20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7.2</v>
      </c>
      <c r="G60" s="91" t="s">
        <v>94</v>
      </c>
      <c r="H60" s="92">
        <v>10</v>
      </c>
      <c r="I60" s="93">
        <v>72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1</v>
      </c>
      <c r="G61" s="91" t="s">
        <v>23</v>
      </c>
      <c r="H61" s="92">
        <v>50</v>
      </c>
      <c r="I61" s="93">
        <v>50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0.2</v>
      </c>
      <c r="G62" s="91" t="s">
        <v>92</v>
      </c>
      <c r="H62" s="92">
        <v>70</v>
      </c>
      <c r="I62" s="93">
        <v>14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0.2</v>
      </c>
      <c r="G63" s="91" t="s">
        <v>90</v>
      </c>
      <c r="H63" s="92">
        <v>85</v>
      </c>
      <c r="I63" s="93">
        <v>17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0.2</v>
      </c>
      <c r="G64" s="91" t="s">
        <v>94</v>
      </c>
      <c r="H64" s="92">
        <v>10</v>
      </c>
      <c r="I64" s="93">
        <v>2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1</v>
      </c>
      <c r="G65" s="100" t="s">
        <v>18</v>
      </c>
      <c r="H65" s="101">
        <v>10</v>
      </c>
      <c r="I65" s="102">
        <v>10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1</v>
      </c>
      <c r="G66" s="91" t="s">
        <v>92</v>
      </c>
      <c r="H66" s="92">
        <v>70</v>
      </c>
      <c r="I66" s="93">
        <v>70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0.2</v>
      </c>
      <c r="G67" s="94" t="s">
        <v>94</v>
      </c>
      <c r="H67" s="104">
        <v>10</v>
      </c>
      <c r="I67" s="105">
        <v>2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1.2</v>
      </c>
      <c r="G68" s="91" t="s">
        <v>94</v>
      </c>
      <c r="H68" s="92">
        <v>10</v>
      </c>
      <c r="I68" s="105">
        <v>12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>
        <v>0.2</v>
      </c>
      <c r="G69" s="91" t="s">
        <v>92</v>
      </c>
      <c r="H69" s="92">
        <v>70</v>
      </c>
      <c r="I69" s="105">
        <v>14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>
        <v>2.6</v>
      </c>
      <c r="G70" s="91" t="s">
        <v>18</v>
      </c>
      <c r="H70" s="92">
        <v>10</v>
      </c>
      <c r="I70" s="105">
        <v>26</v>
      </c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>
        <v>0.6</v>
      </c>
      <c r="G71" s="91" t="s">
        <v>94</v>
      </c>
      <c r="H71" s="92">
        <v>10</v>
      </c>
      <c r="I71" s="105">
        <v>6</v>
      </c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>
        <v>0.5</v>
      </c>
      <c r="G72" s="91" t="s">
        <v>84</v>
      </c>
      <c r="H72" s="92">
        <v>5</v>
      </c>
      <c r="I72" s="105">
        <v>2.5</v>
      </c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>
        <v>0.2</v>
      </c>
      <c r="G73" s="91" t="s">
        <v>90</v>
      </c>
      <c r="H73" s="92">
        <v>85</v>
      </c>
      <c r="I73" s="105">
        <v>17</v>
      </c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>
        <v>0.2</v>
      </c>
      <c r="G74" s="91" t="s">
        <v>92</v>
      </c>
      <c r="H74" s="92">
        <v>70</v>
      </c>
      <c r="I74" s="105">
        <v>14</v>
      </c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>
        <v>3.8</v>
      </c>
      <c r="G75" s="91" t="s">
        <v>18</v>
      </c>
      <c r="H75" s="92">
        <v>10</v>
      </c>
      <c r="I75" s="105">
        <v>38</v>
      </c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>
        <v>0.4</v>
      </c>
      <c r="G76" s="91" t="s">
        <v>23</v>
      </c>
      <c r="H76" s="92">
        <v>50</v>
      </c>
      <c r="I76" s="105">
        <v>20</v>
      </c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>
        <v>0.6</v>
      </c>
      <c r="G77" s="91" t="s">
        <v>90</v>
      </c>
      <c r="H77" s="92">
        <v>85</v>
      </c>
      <c r="I77" s="105">
        <v>51</v>
      </c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>
        <v>5.5</v>
      </c>
      <c r="G78" s="91" t="s">
        <v>20</v>
      </c>
      <c r="H78" s="92">
        <v>1</v>
      </c>
      <c r="I78" s="105">
        <v>5.5</v>
      </c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>
        <v>2.5</v>
      </c>
      <c r="G79" s="91" t="s">
        <v>94</v>
      </c>
      <c r="H79" s="92">
        <v>10</v>
      </c>
      <c r="I79" s="105">
        <v>25</v>
      </c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>
        <v>2</v>
      </c>
      <c r="G80" s="91" t="s">
        <v>18</v>
      </c>
      <c r="H80" s="92">
        <v>10</v>
      </c>
      <c r="I80" s="105">
        <v>20</v>
      </c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>
        <v>0.8</v>
      </c>
      <c r="G81" s="91" t="s">
        <v>90</v>
      </c>
      <c r="H81" s="92">
        <v>85</v>
      </c>
      <c r="I81" s="105">
        <v>68</v>
      </c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>
        <v>0.5</v>
      </c>
      <c r="G82" s="91" t="s">
        <v>18</v>
      </c>
      <c r="H82" s="92">
        <v>10</v>
      </c>
      <c r="I82" s="105">
        <v>5</v>
      </c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>
        <v>2.2000000000000002</v>
      </c>
      <c r="G83" s="91" t="s">
        <v>94</v>
      </c>
      <c r="H83" s="92">
        <v>10</v>
      </c>
      <c r="I83" s="105">
        <v>22</v>
      </c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>
        <v>1.6</v>
      </c>
      <c r="G84" s="91" t="s">
        <v>84</v>
      </c>
      <c r="H84" s="92">
        <v>5</v>
      </c>
      <c r="I84" s="105">
        <v>8</v>
      </c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>
        <v>0.2</v>
      </c>
      <c r="G85" s="91" t="s">
        <v>23</v>
      </c>
      <c r="H85" s="92">
        <v>50</v>
      </c>
      <c r="I85" s="105">
        <v>10</v>
      </c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>
        <v>1.2</v>
      </c>
      <c r="G86" s="91" t="s">
        <v>90</v>
      </c>
      <c r="H86" s="92">
        <v>85</v>
      </c>
      <c r="I86" s="105">
        <v>102</v>
      </c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>
        <v>0.2</v>
      </c>
      <c r="G87" s="91" t="s">
        <v>90</v>
      </c>
      <c r="H87" s="92">
        <v>85</v>
      </c>
      <c r="I87" s="105">
        <v>17</v>
      </c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>
        <v>1</v>
      </c>
      <c r="G88" s="91" t="s">
        <v>94</v>
      </c>
      <c r="H88" s="92">
        <v>10</v>
      </c>
      <c r="I88" s="105">
        <v>10</v>
      </c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>
        <v>0.6</v>
      </c>
      <c r="G89" s="91" t="s">
        <v>23</v>
      </c>
      <c r="H89" s="92">
        <v>50</v>
      </c>
      <c r="I89" s="105">
        <v>30</v>
      </c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>
        <v>1.5</v>
      </c>
      <c r="G90" s="91" t="s">
        <v>96</v>
      </c>
      <c r="H90" s="92">
        <v>12</v>
      </c>
      <c r="I90" s="105">
        <v>18</v>
      </c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>
        <v>0.2</v>
      </c>
      <c r="G91" s="91" t="s">
        <v>94</v>
      </c>
      <c r="H91" s="92">
        <v>10</v>
      </c>
      <c r="I91" s="105">
        <v>2</v>
      </c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>
        <v>0.2</v>
      </c>
      <c r="G92" s="91" t="s">
        <v>92</v>
      </c>
      <c r="H92" s="92">
        <v>70</v>
      </c>
      <c r="I92" s="105">
        <v>14</v>
      </c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>
        <v>1.5</v>
      </c>
      <c r="G93" s="91" t="s">
        <v>94</v>
      </c>
      <c r="H93" s="92">
        <v>10</v>
      </c>
      <c r="I93" s="105">
        <v>15</v>
      </c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>
        <v>2.5</v>
      </c>
      <c r="G94" s="91" t="s">
        <v>18</v>
      </c>
      <c r="H94" s="92">
        <v>10</v>
      </c>
      <c r="I94" s="105">
        <v>25</v>
      </c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813.8</v>
      </c>
      <c r="C130" s="122"/>
      <c r="D130" s="121"/>
      <c r="E130" s="123">
        <f>SUM(E9:E129)</f>
        <v>1655.85</v>
      </c>
      <c r="F130" s="124">
        <f>SUM(F9:F129)</f>
        <v>280.49999999999989</v>
      </c>
      <c r="G130" s="82"/>
      <c r="H130" s="125"/>
      <c r="I130" s="125">
        <f>SUM(I9:I129)</f>
        <v>12225.5</v>
      </c>
      <c r="J130" s="83"/>
      <c r="K130" s="83"/>
      <c r="L130" s="126"/>
      <c r="M130" s="126">
        <f>SUM(M9:M129)</f>
        <v>500.5</v>
      </c>
      <c r="N130" s="127">
        <f>SUM(N9:N129)</f>
        <v>27923.95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sheetProtection algorithmName="SHA-512" hashValue="vbJXN7P4PQqmfgs3ScYf1cv2KeRLRhYLvlEhDLLptRW9vgKlH2CKQcAp2oNT1MFkKyjwviU0vy5PkZHVsbioCg==" saltValue="ZagCEzZ5mwcsK4H8WfgoEQ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25A52-4B54-4A25-BFC7-066671890B5D}">
  <sheetPr codeName="Sheet49"/>
  <dimension ref="A1:Z130"/>
  <sheetViews>
    <sheetView topLeftCell="O1" zoomScale="80" zoomScaleNormal="80" workbookViewId="0">
      <selection activeCell="V12" sqref="V12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44176</v>
      </c>
      <c r="F1" s="189"/>
      <c r="G1" s="189"/>
    </row>
    <row r="2" spans="2:26" ht="18" x14ac:dyDescent="0.35">
      <c r="B2" s="190" t="s">
        <v>0</v>
      </c>
      <c r="C2" s="190"/>
      <c r="D2" s="1">
        <v>18264</v>
      </c>
    </row>
    <row r="3" spans="2:26" ht="18" x14ac:dyDescent="0.35">
      <c r="B3" s="190" t="s">
        <v>1</v>
      </c>
      <c r="C3" s="190"/>
      <c r="D3" s="77">
        <f>(D2-E130-I130)</f>
        <v>6578.3599999999988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83.5</v>
      </c>
      <c r="C9" s="87" t="s">
        <v>76</v>
      </c>
      <c r="D9" s="88">
        <v>2.2999999999999998</v>
      </c>
      <c r="E9" s="89">
        <v>192.04999999999998</v>
      </c>
      <c r="F9" s="90">
        <v>0.8</v>
      </c>
      <c r="G9" s="91" t="s">
        <v>23</v>
      </c>
      <c r="H9" s="92">
        <v>50</v>
      </c>
      <c r="I9" s="93">
        <v>40</v>
      </c>
      <c r="J9" s="83"/>
      <c r="K9" s="83"/>
      <c r="L9" s="3" t="s">
        <v>130</v>
      </c>
      <c r="M9" s="4">
        <v>242</v>
      </c>
      <c r="N9" s="5">
        <v>3712</v>
      </c>
      <c r="O9" s="6"/>
      <c r="P9" s="7"/>
      <c r="Q9" s="8"/>
      <c r="R9" s="2"/>
      <c r="S9" s="3" t="s">
        <v>129</v>
      </c>
      <c r="T9" s="9">
        <v>400</v>
      </c>
      <c r="U9" s="2"/>
      <c r="V9" s="10" t="s">
        <v>121</v>
      </c>
      <c r="W9" s="8">
        <v>1600</v>
      </c>
      <c r="Y9" s="148" t="s">
        <v>88</v>
      </c>
      <c r="Z9" s="151">
        <f>SUMIF($C$9:$C$129, Y9, $B$9:$B$129)</f>
        <v>234.5</v>
      </c>
    </row>
    <row r="10" spans="2:26" ht="18" x14ac:dyDescent="0.35">
      <c r="B10" s="95">
        <v>8</v>
      </c>
      <c r="C10" s="96" t="s">
        <v>77</v>
      </c>
      <c r="D10" s="97">
        <v>2.1</v>
      </c>
      <c r="E10" s="98">
        <v>16.8</v>
      </c>
      <c r="F10" s="90">
        <v>0.5</v>
      </c>
      <c r="G10" s="91" t="s">
        <v>92</v>
      </c>
      <c r="H10" s="92">
        <v>70</v>
      </c>
      <c r="I10" s="93">
        <v>35</v>
      </c>
      <c r="J10" s="83"/>
      <c r="K10" s="83"/>
      <c r="L10" s="12" t="s">
        <v>19</v>
      </c>
      <c r="M10" s="13">
        <v>880</v>
      </c>
      <c r="N10" s="14">
        <v>4400</v>
      </c>
      <c r="O10" s="11"/>
      <c r="P10" s="15"/>
      <c r="Q10" s="16"/>
      <c r="R10" s="2"/>
      <c r="S10" s="12"/>
      <c r="T10" s="17"/>
      <c r="U10" s="2"/>
      <c r="V10" s="18" t="s">
        <v>122</v>
      </c>
      <c r="W10" s="8">
        <v>1400</v>
      </c>
      <c r="Y10" s="149" t="s">
        <v>76</v>
      </c>
      <c r="Z10" s="151">
        <f t="shared" ref="Z10:Z11" si="0">SUMIF($C$9:$C$129, Y10, $B$9:$B$129)</f>
        <v>697.1</v>
      </c>
    </row>
    <row r="11" spans="2:26" ht="18" x14ac:dyDescent="0.35">
      <c r="B11" s="95">
        <v>5</v>
      </c>
      <c r="C11" s="96" t="s">
        <v>77</v>
      </c>
      <c r="D11" s="97">
        <v>2.1</v>
      </c>
      <c r="E11" s="98">
        <v>10.5</v>
      </c>
      <c r="F11" s="90">
        <v>1</v>
      </c>
      <c r="G11" s="91" t="s">
        <v>23</v>
      </c>
      <c r="H11" s="92">
        <v>50</v>
      </c>
      <c r="I11" s="93">
        <v>50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 t="s">
        <v>131</v>
      </c>
      <c r="W11" s="8">
        <v>450</v>
      </c>
      <c r="Y11" s="149" t="s">
        <v>77</v>
      </c>
      <c r="Z11" s="151">
        <f t="shared" si="0"/>
        <v>267.60000000000002</v>
      </c>
    </row>
    <row r="12" spans="2:26" ht="18" x14ac:dyDescent="0.35">
      <c r="B12" s="95">
        <v>17.5</v>
      </c>
      <c r="C12" s="96" t="s">
        <v>88</v>
      </c>
      <c r="D12" s="97">
        <v>0.9</v>
      </c>
      <c r="E12" s="98">
        <v>15.75</v>
      </c>
      <c r="F12" s="90">
        <v>0.5</v>
      </c>
      <c r="G12" s="91" t="s">
        <v>96</v>
      </c>
      <c r="H12" s="92">
        <v>12</v>
      </c>
      <c r="I12" s="93">
        <v>6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 t="s">
        <v>132</v>
      </c>
      <c r="W12" s="8">
        <v>900</v>
      </c>
      <c r="Y12" s="149" t="s">
        <v>89</v>
      </c>
      <c r="Z12" s="152">
        <f>SUMIF($G$9:$G$129, Y12, $F$9:$F$129)</f>
        <v>334</v>
      </c>
    </row>
    <row r="13" spans="2:26" ht="18" x14ac:dyDescent="0.35">
      <c r="B13" s="95">
        <v>52</v>
      </c>
      <c r="C13" s="96" t="s">
        <v>77</v>
      </c>
      <c r="D13" s="97">
        <v>2.1</v>
      </c>
      <c r="E13" s="98">
        <v>109.2</v>
      </c>
      <c r="F13" s="90">
        <v>1.5</v>
      </c>
      <c r="G13" s="91" t="s">
        <v>94</v>
      </c>
      <c r="H13" s="92">
        <v>10</v>
      </c>
      <c r="I13" s="93">
        <v>15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>
        <v>77</v>
      </c>
      <c r="C14" s="96" t="s">
        <v>88</v>
      </c>
      <c r="D14" s="97">
        <v>0.9</v>
      </c>
      <c r="E14" s="98">
        <v>69.3</v>
      </c>
      <c r="F14" s="90">
        <v>0.5</v>
      </c>
      <c r="G14" s="91" t="s">
        <v>47</v>
      </c>
      <c r="H14" s="92">
        <v>13</v>
      </c>
      <c r="I14" s="93">
        <v>6.5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6</v>
      </c>
    </row>
    <row r="15" spans="2:26" ht="18" x14ac:dyDescent="0.35">
      <c r="B15" s="95">
        <v>3</v>
      </c>
      <c r="C15" s="96" t="s">
        <v>76</v>
      </c>
      <c r="D15" s="97">
        <v>2.2999999999999998</v>
      </c>
      <c r="E15" s="98">
        <v>6.8999999999999995</v>
      </c>
      <c r="F15" s="90">
        <v>334</v>
      </c>
      <c r="G15" s="91" t="s">
        <v>89</v>
      </c>
      <c r="H15" s="92">
        <v>2.2000000000000002</v>
      </c>
      <c r="I15" s="93">
        <v>734.80000000000007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11.5</v>
      </c>
    </row>
    <row r="16" spans="2:26" ht="18" x14ac:dyDescent="0.35">
      <c r="B16" s="95">
        <v>7</v>
      </c>
      <c r="C16" s="96" t="s">
        <v>77</v>
      </c>
      <c r="D16" s="97">
        <v>2.1</v>
      </c>
      <c r="E16" s="98">
        <v>14.700000000000001</v>
      </c>
      <c r="F16" s="90">
        <v>1.5</v>
      </c>
      <c r="G16" s="91" t="s">
        <v>19</v>
      </c>
      <c r="H16" s="92">
        <v>2</v>
      </c>
      <c r="I16" s="93">
        <v>3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9.5</v>
      </c>
    </row>
    <row r="17" spans="2:26" ht="18" x14ac:dyDescent="0.35">
      <c r="B17" s="95">
        <v>6</v>
      </c>
      <c r="C17" s="96" t="s">
        <v>76</v>
      </c>
      <c r="D17" s="97">
        <v>2.2999999999999998</v>
      </c>
      <c r="E17" s="98">
        <v>13.799999999999999</v>
      </c>
      <c r="F17" s="90">
        <v>0.5</v>
      </c>
      <c r="G17" s="91" t="s">
        <v>92</v>
      </c>
      <c r="H17" s="92">
        <v>70</v>
      </c>
      <c r="I17" s="93">
        <v>35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30.7</v>
      </c>
    </row>
    <row r="18" spans="2:26" ht="18" x14ac:dyDescent="0.35">
      <c r="B18" s="95">
        <v>13.5</v>
      </c>
      <c r="C18" s="96" t="s">
        <v>76</v>
      </c>
      <c r="D18" s="97">
        <v>2.2999999999999998</v>
      </c>
      <c r="E18" s="98">
        <v>31.049999999999997</v>
      </c>
      <c r="F18" s="90">
        <v>3</v>
      </c>
      <c r="G18" s="91" t="s">
        <v>84</v>
      </c>
      <c r="H18" s="92">
        <v>5</v>
      </c>
      <c r="I18" s="93">
        <v>15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22.1</v>
      </c>
    </row>
    <row r="19" spans="2:26" ht="18" x14ac:dyDescent="0.35">
      <c r="B19" s="95">
        <v>4</v>
      </c>
      <c r="C19" s="96" t="s">
        <v>88</v>
      </c>
      <c r="D19" s="97">
        <v>0.9</v>
      </c>
      <c r="E19" s="98">
        <v>3.6</v>
      </c>
      <c r="F19" s="90">
        <v>0.8</v>
      </c>
      <c r="G19" s="91" t="s">
        <v>94</v>
      </c>
      <c r="H19" s="92">
        <v>10</v>
      </c>
      <c r="I19" s="93">
        <v>8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>
        <v>6</v>
      </c>
      <c r="C20" s="96" t="s">
        <v>76</v>
      </c>
      <c r="D20" s="97">
        <v>2.2999999999999998</v>
      </c>
      <c r="E20" s="98">
        <v>13.799999999999999</v>
      </c>
      <c r="F20" s="90">
        <v>0.5</v>
      </c>
      <c r="G20" s="91" t="s">
        <v>18</v>
      </c>
      <c r="H20" s="92">
        <v>10</v>
      </c>
      <c r="I20" s="93">
        <v>5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7.6</v>
      </c>
    </row>
    <row r="21" spans="2:26" ht="18" x14ac:dyDescent="0.35">
      <c r="B21" s="95">
        <v>36.5</v>
      </c>
      <c r="C21" s="96" t="s">
        <v>76</v>
      </c>
      <c r="D21" s="97">
        <v>2.2999999999999998</v>
      </c>
      <c r="E21" s="98">
        <v>83.949999999999989</v>
      </c>
      <c r="F21" s="90">
        <v>2</v>
      </c>
      <c r="G21" s="91" t="s">
        <v>92</v>
      </c>
      <c r="H21" s="92">
        <v>70</v>
      </c>
      <c r="I21" s="93">
        <v>140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4.4000000000000004</v>
      </c>
      <c r="C22" s="96" t="s">
        <v>77</v>
      </c>
      <c r="D22" s="97">
        <v>2.1</v>
      </c>
      <c r="E22" s="98">
        <v>9.240000000000002</v>
      </c>
      <c r="F22" s="90">
        <v>1</v>
      </c>
      <c r="G22" s="91" t="s">
        <v>94</v>
      </c>
      <c r="H22" s="92">
        <v>10</v>
      </c>
      <c r="I22" s="93">
        <v>10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4.4000000000000004</v>
      </c>
    </row>
    <row r="23" spans="2:26" ht="18" x14ac:dyDescent="0.35">
      <c r="B23" s="95">
        <v>3.2</v>
      </c>
      <c r="C23" s="96" t="s">
        <v>76</v>
      </c>
      <c r="D23" s="97">
        <v>2.2999999999999998</v>
      </c>
      <c r="E23" s="98">
        <v>7.3599999999999994</v>
      </c>
      <c r="F23" s="90">
        <v>29.5</v>
      </c>
      <c r="G23" s="91" t="s">
        <v>67</v>
      </c>
      <c r="H23" s="92">
        <v>88</v>
      </c>
      <c r="I23" s="93">
        <v>2596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17.399999999999999</v>
      </c>
    </row>
    <row r="24" spans="2:26" ht="18" x14ac:dyDescent="0.35">
      <c r="B24" s="95">
        <v>38.5</v>
      </c>
      <c r="C24" s="96" t="s">
        <v>77</v>
      </c>
      <c r="D24" s="97">
        <v>2.1</v>
      </c>
      <c r="E24" s="98">
        <v>80.850000000000009</v>
      </c>
      <c r="F24" s="90">
        <v>8.6</v>
      </c>
      <c r="G24" s="91" t="s">
        <v>23</v>
      </c>
      <c r="H24" s="92">
        <v>50</v>
      </c>
      <c r="I24" s="93">
        <v>430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18</v>
      </c>
      <c r="C25" s="96" t="s">
        <v>88</v>
      </c>
      <c r="D25" s="97">
        <v>0.9</v>
      </c>
      <c r="E25" s="98">
        <v>16.2</v>
      </c>
      <c r="F25" s="90">
        <v>2</v>
      </c>
      <c r="G25" s="91" t="s">
        <v>18</v>
      </c>
      <c r="H25" s="92">
        <v>10</v>
      </c>
      <c r="I25" s="93">
        <v>20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>
        <v>451</v>
      </c>
      <c r="C26" s="96" t="s">
        <v>76</v>
      </c>
      <c r="D26" s="97">
        <v>2.2999999999999998</v>
      </c>
      <c r="E26" s="98">
        <v>1037.3</v>
      </c>
      <c r="F26" s="90">
        <v>0.5</v>
      </c>
      <c r="G26" s="91" t="s">
        <v>23</v>
      </c>
      <c r="H26" s="92">
        <v>50</v>
      </c>
      <c r="I26" s="93">
        <v>25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>
        <v>90</v>
      </c>
      <c r="C27" s="96" t="s">
        <v>77</v>
      </c>
      <c r="D27" s="97">
        <v>2.1</v>
      </c>
      <c r="E27" s="98">
        <v>189</v>
      </c>
      <c r="F27" s="90">
        <v>0.5</v>
      </c>
      <c r="G27" s="91" t="s">
        <v>23</v>
      </c>
      <c r="H27" s="92">
        <v>50</v>
      </c>
      <c r="I27" s="93">
        <v>25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17.099999999999998</v>
      </c>
    </row>
    <row r="28" spans="2:26" ht="18" x14ac:dyDescent="0.35">
      <c r="B28" s="95">
        <v>19</v>
      </c>
      <c r="C28" s="96" t="s">
        <v>76</v>
      </c>
      <c r="D28" s="97">
        <v>2.2999999999999998</v>
      </c>
      <c r="E28" s="98">
        <v>43.699999999999996</v>
      </c>
      <c r="F28" s="90">
        <v>1</v>
      </c>
      <c r="G28" s="91" t="s">
        <v>90</v>
      </c>
      <c r="H28" s="92">
        <v>85</v>
      </c>
      <c r="I28" s="93">
        <v>85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17</v>
      </c>
    </row>
    <row r="29" spans="2:26" ht="18" x14ac:dyDescent="0.35">
      <c r="B29" s="95">
        <v>5</v>
      </c>
      <c r="C29" s="96" t="s">
        <v>76</v>
      </c>
      <c r="D29" s="97">
        <v>2.2999999999999998</v>
      </c>
      <c r="E29" s="98">
        <v>11.5</v>
      </c>
      <c r="F29" s="90">
        <v>1.2</v>
      </c>
      <c r="G29" s="91" t="s">
        <v>92</v>
      </c>
      <c r="H29" s="92">
        <v>70</v>
      </c>
      <c r="I29" s="93">
        <v>84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6</v>
      </c>
      <c r="C30" s="96" t="s">
        <v>77</v>
      </c>
      <c r="D30" s="97">
        <v>2.1</v>
      </c>
      <c r="E30" s="98">
        <v>12.600000000000001</v>
      </c>
      <c r="F30" s="90">
        <v>2</v>
      </c>
      <c r="G30" s="91" t="s">
        <v>48</v>
      </c>
      <c r="H30" s="92">
        <v>6</v>
      </c>
      <c r="I30" s="93">
        <v>12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40</v>
      </c>
      <c r="C31" s="96" t="s">
        <v>76</v>
      </c>
      <c r="D31" s="97">
        <v>2.2999999999999998</v>
      </c>
      <c r="E31" s="98">
        <v>92</v>
      </c>
      <c r="F31" s="90">
        <v>0.5</v>
      </c>
      <c r="G31" s="91" t="s">
        <v>18</v>
      </c>
      <c r="H31" s="92">
        <v>10</v>
      </c>
      <c r="I31" s="93">
        <v>5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2.2000000000000002</v>
      </c>
      <c r="C32" s="96" t="s">
        <v>77</v>
      </c>
      <c r="D32" s="97">
        <v>2.1</v>
      </c>
      <c r="E32" s="98">
        <v>4.620000000000001</v>
      </c>
      <c r="F32" s="90">
        <v>1.4</v>
      </c>
      <c r="G32" s="91" t="s">
        <v>23</v>
      </c>
      <c r="H32" s="92">
        <v>50</v>
      </c>
      <c r="I32" s="93">
        <v>70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3.5</v>
      </c>
      <c r="C33" s="96" t="s">
        <v>76</v>
      </c>
      <c r="D33" s="97">
        <v>2.2999999999999998</v>
      </c>
      <c r="E33" s="98">
        <v>8.0499999999999989</v>
      </c>
      <c r="F33" s="90">
        <v>4.4000000000000004</v>
      </c>
      <c r="G33" s="91" t="s">
        <v>93</v>
      </c>
      <c r="H33" s="92">
        <v>30</v>
      </c>
      <c r="I33" s="93">
        <v>132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33</v>
      </c>
      <c r="C34" s="96" t="s">
        <v>88</v>
      </c>
      <c r="D34" s="97">
        <v>0.9</v>
      </c>
      <c r="E34" s="98">
        <v>29.7</v>
      </c>
      <c r="F34" s="90">
        <v>4.5</v>
      </c>
      <c r="G34" s="91" t="s">
        <v>94</v>
      </c>
      <c r="H34" s="92">
        <v>10</v>
      </c>
      <c r="I34" s="93">
        <v>45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7</v>
      </c>
      <c r="C35" s="96" t="s">
        <v>76</v>
      </c>
      <c r="D35" s="97">
        <v>2.2999999999999998</v>
      </c>
      <c r="E35" s="98">
        <v>16.099999999999998</v>
      </c>
      <c r="F35" s="90">
        <v>1.6</v>
      </c>
      <c r="G35" s="91" t="s">
        <v>84</v>
      </c>
      <c r="H35" s="92">
        <v>5</v>
      </c>
      <c r="I35" s="93">
        <v>8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5</v>
      </c>
      <c r="C36" s="96" t="s">
        <v>76</v>
      </c>
      <c r="D36" s="97">
        <v>2.2999999999999998</v>
      </c>
      <c r="E36" s="98">
        <v>11.5</v>
      </c>
      <c r="F36" s="90">
        <v>2.8</v>
      </c>
      <c r="G36" s="91" t="s">
        <v>48</v>
      </c>
      <c r="H36" s="92">
        <v>6</v>
      </c>
      <c r="I36" s="93">
        <v>16.799999999999997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7</v>
      </c>
      <c r="C37" s="96" t="s">
        <v>77</v>
      </c>
      <c r="D37" s="97">
        <v>2.1</v>
      </c>
      <c r="E37" s="98">
        <v>14.700000000000001</v>
      </c>
      <c r="F37" s="90">
        <v>0.4</v>
      </c>
      <c r="G37" s="91" t="s">
        <v>94</v>
      </c>
      <c r="H37" s="92">
        <v>10</v>
      </c>
      <c r="I37" s="93">
        <v>4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>
        <v>8.5</v>
      </c>
      <c r="C38" s="96" t="s">
        <v>76</v>
      </c>
      <c r="D38" s="97">
        <v>2.2999999999999998</v>
      </c>
      <c r="E38" s="98">
        <v>19.549999999999997</v>
      </c>
      <c r="F38" s="90">
        <v>0.2</v>
      </c>
      <c r="G38" s="91" t="s">
        <v>94</v>
      </c>
      <c r="H38" s="92">
        <v>10</v>
      </c>
      <c r="I38" s="93">
        <v>2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6.3</v>
      </c>
    </row>
    <row r="39" spans="2:26" ht="18" x14ac:dyDescent="0.35">
      <c r="B39" s="95">
        <v>11.5</v>
      </c>
      <c r="C39" s="96" t="s">
        <v>77</v>
      </c>
      <c r="D39" s="97">
        <v>2.1</v>
      </c>
      <c r="E39" s="98">
        <v>24.150000000000002</v>
      </c>
      <c r="F39" s="90">
        <v>17</v>
      </c>
      <c r="G39" s="91" t="s">
        <v>42</v>
      </c>
      <c r="H39" s="92">
        <v>10</v>
      </c>
      <c r="I39" s="93">
        <v>170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>
        <v>4</v>
      </c>
      <c r="C40" s="96" t="s">
        <v>76</v>
      </c>
      <c r="D40" s="97">
        <v>2.2999999999999998</v>
      </c>
      <c r="E40" s="98">
        <v>9.1999999999999993</v>
      </c>
      <c r="F40" s="90">
        <v>12</v>
      </c>
      <c r="G40" s="91" t="s">
        <v>70</v>
      </c>
      <c r="H40" s="92">
        <v>5</v>
      </c>
      <c r="I40" s="93">
        <v>60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>
        <v>29</v>
      </c>
      <c r="C41" s="96" t="s">
        <v>77</v>
      </c>
      <c r="D41" s="97">
        <v>2.1</v>
      </c>
      <c r="E41" s="98">
        <v>60.900000000000006</v>
      </c>
      <c r="F41" s="90">
        <v>4.5</v>
      </c>
      <c r="G41" s="91" t="s">
        <v>94</v>
      </c>
      <c r="H41" s="92">
        <v>10</v>
      </c>
      <c r="I41" s="93">
        <v>45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>
        <v>83</v>
      </c>
      <c r="C42" s="96" t="s">
        <v>88</v>
      </c>
      <c r="D42" s="97">
        <v>0.9</v>
      </c>
      <c r="E42" s="98">
        <v>74.7</v>
      </c>
      <c r="F42" s="90">
        <v>2.5</v>
      </c>
      <c r="G42" s="91" t="s">
        <v>90</v>
      </c>
      <c r="H42" s="92">
        <v>85</v>
      </c>
      <c r="I42" s="93">
        <v>212.5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>
        <v>7</v>
      </c>
      <c r="C43" s="96" t="s">
        <v>77</v>
      </c>
      <c r="D43" s="97">
        <v>2.1</v>
      </c>
      <c r="E43" s="98">
        <v>14.700000000000001</v>
      </c>
      <c r="F43" s="90">
        <v>0.2</v>
      </c>
      <c r="G43" s="91" t="s">
        <v>94</v>
      </c>
      <c r="H43" s="92">
        <v>10</v>
      </c>
      <c r="I43" s="93">
        <v>2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0.5</v>
      </c>
    </row>
    <row r="44" spans="2:26" ht="18" x14ac:dyDescent="0.35">
      <c r="B44" s="95">
        <v>0.4</v>
      </c>
      <c r="C44" s="96" t="s">
        <v>76</v>
      </c>
      <c r="D44" s="97">
        <v>2.2999999999999998</v>
      </c>
      <c r="E44" s="98">
        <v>0.91999999999999993</v>
      </c>
      <c r="F44" s="90">
        <v>2.8</v>
      </c>
      <c r="G44" s="91" t="s">
        <v>92</v>
      </c>
      <c r="H44" s="92">
        <v>70</v>
      </c>
      <c r="I44" s="93">
        <v>196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6.8</v>
      </c>
    </row>
    <row r="45" spans="2:26" ht="18" x14ac:dyDescent="0.35">
      <c r="B45" s="95">
        <v>2</v>
      </c>
      <c r="C45" s="96" t="s">
        <v>88</v>
      </c>
      <c r="D45" s="97">
        <v>0.9</v>
      </c>
      <c r="E45" s="98">
        <v>1.8</v>
      </c>
      <c r="F45" s="90">
        <v>1.2</v>
      </c>
      <c r="G45" s="91" t="s">
        <v>67</v>
      </c>
      <c r="H45" s="92">
        <v>88</v>
      </c>
      <c r="I45" s="93">
        <v>105.6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70</v>
      </c>
    </row>
    <row r="46" spans="2:26" ht="18" x14ac:dyDescent="0.35">
      <c r="B46" s="95">
        <v>2</v>
      </c>
      <c r="C46" s="96" t="s">
        <v>76</v>
      </c>
      <c r="D46" s="97">
        <v>2.2999999999999998</v>
      </c>
      <c r="E46" s="98">
        <v>4.5999999999999996</v>
      </c>
      <c r="F46" s="90">
        <v>1.4</v>
      </c>
      <c r="G46" s="91" t="s">
        <v>94</v>
      </c>
      <c r="H46" s="92">
        <v>10</v>
      </c>
      <c r="I46" s="93">
        <v>14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0.5</v>
      </c>
    </row>
    <row r="47" spans="2:26" ht="18" x14ac:dyDescent="0.35">
      <c r="B47" s="95"/>
      <c r="C47" s="96"/>
      <c r="D47" s="97"/>
      <c r="E47" s="98"/>
      <c r="F47" s="90">
        <v>0.2</v>
      </c>
      <c r="G47" s="91" t="s">
        <v>23</v>
      </c>
      <c r="H47" s="92">
        <v>50</v>
      </c>
      <c r="I47" s="93">
        <v>10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>
        <v>0.6</v>
      </c>
      <c r="G48" s="91" t="s">
        <v>90</v>
      </c>
      <c r="H48" s="92">
        <v>83</v>
      </c>
      <c r="I48" s="93">
        <v>49.8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>
        <v>0.6</v>
      </c>
      <c r="G49" s="91" t="s">
        <v>94</v>
      </c>
      <c r="H49" s="92">
        <v>10</v>
      </c>
      <c r="I49" s="93">
        <v>6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12</v>
      </c>
    </row>
    <row r="50" spans="2:26" ht="18" x14ac:dyDescent="0.35">
      <c r="B50" s="95"/>
      <c r="C50" s="96"/>
      <c r="D50" s="97"/>
      <c r="E50" s="98"/>
      <c r="F50" s="90">
        <v>1</v>
      </c>
      <c r="G50" s="91" t="s">
        <v>94</v>
      </c>
      <c r="H50" s="92">
        <v>10</v>
      </c>
      <c r="I50" s="93">
        <v>10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1.5</v>
      </c>
      <c r="G51" s="91" t="s">
        <v>84</v>
      </c>
      <c r="H51" s="92">
        <v>5</v>
      </c>
      <c r="I51" s="93">
        <v>7.5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4.5</v>
      </c>
      <c r="G52" s="91" t="s">
        <v>19</v>
      </c>
      <c r="H52" s="92">
        <v>2</v>
      </c>
      <c r="I52" s="93">
        <v>9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2</v>
      </c>
      <c r="G53" s="91" t="s">
        <v>90</v>
      </c>
      <c r="H53" s="92">
        <v>83</v>
      </c>
      <c r="I53" s="93">
        <v>166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70</v>
      </c>
      <c r="G54" s="91" t="s">
        <v>83</v>
      </c>
      <c r="H54" s="92">
        <v>15</v>
      </c>
      <c r="I54" s="93">
        <v>1050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>
        <v>0.2</v>
      </c>
      <c r="G55" s="91" t="s">
        <v>84</v>
      </c>
      <c r="H55" s="92">
        <v>5</v>
      </c>
      <c r="I55" s="93">
        <v>1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>
        <v>2</v>
      </c>
      <c r="G56" s="91" t="s">
        <v>48</v>
      </c>
      <c r="H56" s="92">
        <v>6</v>
      </c>
      <c r="I56" s="93">
        <v>12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0.2</v>
      </c>
      <c r="G57" s="91" t="s">
        <v>90</v>
      </c>
      <c r="H57" s="92">
        <v>83</v>
      </c>
      <c r="I57" s="93">
        <v>16.600000000000001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1</v>
      </c>
      <c r="G58" s="91" t="s">
        <v>94</v>
      </c>
      <c r="H58" s="92">
        <v>10</v>
      </c>
      <c r="I58" s="93">
        <v>10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7.5</v>
      </c>
      <c r="G59" s="91" t="s">
        <v>18</v>
      </c>
      <c r="H59" s="92">
        <v>10</v>
      </c>
      <c r="I59" s="93">
        <v>75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0.6</v>
      </c>
      <c r="G60" s="91" t="s">
        <v>92</v>
      </c>
      <c r="H60" s="92">
        <v>68</v>
      </c>
      <c r="I60" s="93">
        <v>40.799999999999997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6.8</v>
      </c>
      <c r="G61" s="91" t="s">
        <v>90</v>
      </c>
      <c r="H61" s="92">
        <v>83</v>
      </c>
      <c r="I61" s="93">
        <v>564.4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9.5</v>
      </c>
      <c r="G62" s="91" t="s">
        <v>22</v>
      </c>
      <c r="H62" s="92">
        <v>88</v>
      </c>
      <c r="I62" s="93">
        <v>836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1</v>
      </c>
      <c r="G63" s="91" t="s">
        <v>18</v>
      </c>
      <c r="H63" s="92">
        <v>10</v>
      </c>
      <c r="I63" s="93">
        <v>10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0.5</v>
      </c>
      <c r="G64" s="91" t="s">
        <v>90</v>
      </c>
      <c r="H64" s="92">
        <v>83</v>
      </c>
      <c r="I64" s="93">
        <v>41.5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1</v>
      </c>
      <c r="G65" s="100" t="s">
        <v>90</v>
      </c>
      <c r="H65" s="101">
        <v>83</v>
      </c>
      <c r="I65" s="102">
        <v>83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2</v>
      </c>
      <c r="G66" s="91" t="s">
        <v>23</v>
      </c>
      <c r="H66" s="92">
        <v>50</v>
      </c>
      <c r="I66" s="93">
        <v>100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1</v>
      </c>
      <c r="G67" s="94" t="s">
        <v>90</v>
      </c>
      <c r="H67" s="104">
        <v>83</v>
      </c>
      <c r="I67" s="105">
        <v>83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2.4</v>
      </c>
      <c r="G68" s="91" t="s">
        <v>23</v>
      </c>
      <c r="H68" s="92">
        <v>50</v>
      </c>
      <c r="I68" s="105">
        <v>120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>
        <v>5</v>
      </c>
      <c r="G69" s="91" t="s">
        <v>90</v>
      </c>
      <c r="H69" s="92">
        <v>83</v>
      </c>
      <c r="I69" s="105">
        <v>415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>
        <v>1.5</v>
      </c>
      <c r="G70" s="91" t="s">
        <v>90</v>
      </c>
      <c r="H70" s="92">
        <v>83</v>
      </c>
      <c r="I70" s="105">
        <v>124.5</v>
      </c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1199.2</v>
      </c>
      <c r="C130" s="122"/>
      <c r="D130" s="121"/>
      <c r="E130" s="123">
        <f>SUM(E9:E129)</f>
        <v>2376.3399999999997</v>
      </c>
      <c r="F130" s="124">
        <f>SUM(F9:F129)</f>
        <v>573.40000000000009</v>
      </c>
      <c r="G130" s="82"/>
      <c r="H130" s="125"/>
      <c r="I130" s="125">
        <f>SUM(I9:I129)</f>
        <v>9309.3000000000011</v>
      </c>
      <c r="J130" s="83"/>
      <c r="K130" s="83"/>
      <c r="L130" s="126"/>
      <c r="M130" s="126">
        <f>SUM(M9:M129)</f>
        <v>1122</v>
      </c>
      <c r="N130" s="127">
        <f>SUM(N9:N129)</f>
        <v>8112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400</v>
      </c>
      <c r="U130" s="83"/>
      <c r="V130" s="82"/>
      <c r="W130" s="130">
        <f>SUM(W9:W129)</f>
        <v>4350</v>
      </c>
    </row>
  </sheetData>
  <sheetProtection algorithmName="SHA-512" hashValue="kUP+KQ40DNRSknlbtDNWbWRsWNrNpxLrb3N14lMrfDUwyo5ITcWOsKInu4+7e3vTVcXIWbNikuNlDktM3jtoGA==" saltValue="zW0OP2QR9kA8GSHYYWyNJA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F27C-0524-4965-AE3F-578690E40992}">
  <sheetPr codeName="Sheet48"/>
  <dimension ref="A1:Z130"/>
  <sheetViews>
    <sheetView topLeftCell="Q1" zoomScale="80" zoomScaleNormal="80" workbookViewId="0">
      <selection activeCell="V11" sqref="V11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44177</v>
      </c>
      <c r="F1" s="189"/>
      <c r="G1" s="189"/>
    </row>
    <row r="2" spans="2:26" ht="18" x14ac:dyDescent="0.35">
      <c r="B2" s="190" t="s">
        <v>0</v>
      </c>
      <c r="C2" s="190"/>
      <c r="D2" s="1">
        <v>13700</v>
      </c>
    </row>
    <row r="3" spans="2:26" ht="18" x14ac:dyDescent="0.35">
      <c r="B3" s="190" t="s">
        <v>1</v>
      </c>
      <c r="C3" s="190"/>
      <c r="D3" s="77">
        <f>(D2-E130-I130)</f>
        <v>6027.5199999999986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5.5</v>
      </c>
      <c r="C9" s="87" t="s">
        <v>77</v>
      </c>
      <c r="D9" s="88">
        <v>2.1</v>
      </c>
      <c r="E9" s="89">
        <v>11.55</v>
      </c>
      <c r="F9" s="90">
        <v>0.2</v>
      </c>
      <c r="G9" s="91" t="s">
        <v>18</v>
      </c>
      <c r="H9" s="92">
        <v>10</v>
      </c>
      <c r="I9" s="93">
        <v>2</v>
      </c>
      <c r="J9" s="83"/>
      <c r="K9" s="83"/>
      <c r="L9" s="3"/>
      <c r="M9" s="4"/>
      <c r="N9" s="5"/>
      <c r="O9" s="6"/>
      <c r="P9" s="7"/>
      <c r="Q9" s="8"/>
      <c r="R9" s="2"/>
      <c r="S9" s="3" t="s">
        <v>133</v>
      </c>
      <c r="T9" s="9">
        <v>360</v>
      </c>
      <c r="U9" s="2"/>
      <c r="V9" s="10" t="s">
        <v>121</v>
      </c>
      <c r="W9" s="8">
        <v>230</v>
      </c>
      <c r="Y9" s="148" t="s">
        <v>88</v>
      </c>
      <c r="Z9" s="151">
        <f>SUMIF($C$9:$C$129, Y9, $B$9:$B$129)</f>
        <v>216.5</v>
      </c>
    </row>
    <row r="10" spans="2:26" ht="18" x14ac:dyDescent="0.35">
      <c r="B10" s="95">
        <v>8.5</v>
      </c>
      <c r="C10" s="96" t="s">
        <v>76</v>
      </c>
      <c r="D10" s="97">
        <v>2.2999999999999998</v>
      </c>
      <c r="E10" s="98">
        <v>19.549999999999997</v>
      </c>
      <c r="F10" s="90">
        <v>14.5</v>
      </c>
      <c r="G10" s="91" t="s">
        <v>19</v>
      </c>
      <c r="H10" s="92">
        <v>2</v>
      </c>
      <c r="I10" s="93">
        <v>29</v>
      </c>
      <c r="J10" s="83"/>
      <c r="K10" s="83"/>
      <c r="L10" s="12"/>
      <c r="M10" s="13"/>
      <c r="N10" s="14"/>
      <c r="O10" s="11"/>
      <c r="P10" s="15"/>
      <c r="Q10" s="16"/>
      <c r="R10" s="2"/>
      <c r="S10" s="12" t="s">
        <v>120</v>
      </c>
      <c r="T10" s="17">
        <v>400</v>
      </c>
      <c r="U10" s="2"/>
      <c r="V10" s="18" t="s">
        <v>122</v>
      </c>
      <c r="W10" s="8">
        <v>200</v>
      </c>
      <c r="Y10" s="149" t="s">
        <v>76</v>
      </c>
      <c r="Z10" s="151">
        <f t="shared" ref="Z10:Z11" si="0">SUMIF($C$9:$C$129, Y10, $B$9:$B$129)</f>
        <v>410.6</v>
      </c>
    </row>
    <row r="11" spans="2:26" ht="18" x14ac:dyDescent="0.35">
      <c r="B11" s="95">
        <v>21.5</v>
      </c>
      <c r="C11" s="96" t="s">
        <v>77</v>
      </c>
      <c r="D11" s="97">
        <v>2.1</v>
      </c>
      <c r="E11" s="98">
        <v>45.15</v>
      </c>
      <c r="F11" s="90">
        <v>1</v>
      </c>
      <c r="G11" s="91" t="s">
        <v>94</v>
      </c>
      <c r="H11" s="92">
        <v>10</v>
      </c>
      <c r="I11" s="93">
        <v>10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191.5</v>
      </c>
    </row>
    <row r="12" spans="2:26" ht="18" x14ac:dyDescent="0.35">
      <c r="B12" s="95">
        <v>3.5</v>
      </c>
      <c r="C12" s="96" t="s">
        <v>76</v>
      </c>
      <c r="D12" s="97">
        <v>2.2999999999999998</v>
      </c>
      <c r="E12" s="98">
        <v>8.0499999999999989</v>
      </c>
      <c r="F12" s="90">
        <v>0.5</v>
      </c>
      <c r="G12" s="91" t="s">
        <v>18</v>
      </c>
      <c r="H12" s="92">
        <v>10</v>
      </c>
      <c r="I12" s="93">
        <v>5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10</v>
      </c>
      <c r="C13" s="96" t="s">
        <v>76</v>
      </c>
      <c r="D13" s="97">
        <v>2.2999999999999998</v>
      </c>
      <c r="E13" s="98">
        <v>23</v>
      </c>
      <c r="F13" s="90">
        <v>4</v>
      </c>
      <c r="G13" s="91" t="s">
        <v>94</v>
      </c>
      <c r="H13" s="92">
        <v>10</v>
      </c>
      <c r="I13" s="93">
        <v>40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>
        <v>9</v>
      </c>
      <c r="C14" s="96" t="s">
        <v>77</v>
      </c>
      <c r="D14" s="97">
        <v>2.1</v>
      </c>
      <c r="E14" s="98">
        <v>18.900000000000002</v>
      </c>
      <c r="F14" s="90">
        <v>8.5</v>
      </c>
      <c r="G14" s="91" t="s">
        <v>18</v>
      </c>
      <c r="H14" s="92">
        <v>10</v>
      </c>
      <c r="I14" s="93">
        <v>85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14.5</v>
      </c>
    </row>
    <row r="15" spans="2:26" ht="18" x14ac:dyDescent="0.35">
      <c r="B15" s="95">
        <v>3.5</v>
      </c>
      <c r="C15" s="96" t="s">
        <v>76</v>
      </c>
      <c r="D15" s="97">
        <v>2.2999999999999998</v>
      </c>
      <c r="E15" s="98">
        <v>8.0499999999999989</v>
      </c>
      <c r="F15" s="90">
        <v>1</v>
      </c>
      <c r="G15" s="91" t="s">
        <v>92</v>
      </c>
      <c r="H15" s="92">
        <v>68</v>
      </c>
      <c r="I15" s="93">
        <v>68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66.2</v>
      </c>
    </row>
    <row r="16" spans="2:26" ht="18" x14ac:dyDescent="0.35">
      <c r="B16" s="95">
        <v>2</v>
      </c>
      <c r="C16" s="96" t="s">
        <v>76</v>
      </c>
      <c r="D16" s="97">
        <v>2.2999999999999998</v>
      </c>
      <c r="E16" s="98">
        <v>4.5999999999999996</v>
      </c>
      <c r="F16" s="90">
        <v>1</v>
      </c>
      <c r="G16" s="91" t="s">
        <v>23</v>
      </c>
      <c r="H16" s="92">
        <v>50</v>
      </c>
      <c r="I16" s="93">
        <v>50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1.5</v>
      </c>
    </row>
    <row r="17" spans="2:26" ht="18" x14ac:dyDescent="0.35">
      <c r="B17" s="95">
        <v>36</v>
      </c>
      <c r="C17" s="96" t="s">
        <v>77</v>
      </c>
      <c r="D17" s="97">
        <v>2.1</v>
      </c>
      <c r="E17" s="98">
        <v>75.600000000000009</v>
      </c>
      <c r="F17" s="90">
        <v>9.5</v>
      </c>
      <c r="G17" s="91" t="s">
        <v>90</v>
      </c>
      <c r="H17" s="92">
        <v>83</v>
      </c>
      <c r="I17" s="93">
        <v>788.5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2</v>
      </c>
    </row>
    <row r="18" spans="2:26" ht="18" x14ac:dyDescent="0.35">
      <c r="B18" s="95">
        <v>32.5</v>
      </c>
      <c r="C18" s="96" t="s">
        <v>88</v>
      </c>
      <c r="D18" s="97">
        <v>0.9</v>
      </c>
      <c r="E18" s="98">
        <v>29.25</v>
      </c>
      <c r="F18" s="90">
        <v>0.5</v>
      </c>
      <c r="G18" s="91" t="s">
        <v>23</v>
      </c>
      <c r="H18" s="92">
        <v>50</v>
      </c>
      <c r="I18" s="93">
        <v>25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38</v>
      </c>
    </row>
    <row r="19" spans="2:26" ht="18" x14ac:dyDescent="0.35">
      <c r="B19" s="95">
        <v>18</v>
      </c>
      <c r="C19" s="96" t="s">
        <v>77</v>
      </c>
      <c r="D19" s="97">
        <v>2.1</v>
      </c>
      <c r="E19" s="98">
        <v>37.800000000000004</v>
      </c>
      <c r="F19" s="90">
        <v>1.5</v>
      </c>
      <c r="G19" s="91" t="s">
        <v>90</v>
      </c>
      <c r="H19" s="92">
        <v>83</v>
      </c>
      <c r="I19" s="93">
        <v>124.5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>
        <v>15.5</v>
      </c>
      <c r="C20" s="96" t="s">
        <v>76</v>
      </c>
      <c r="D20" s="97">
        <v>2.2999999999999998</v>
      </c>
      <c r="E20" s="98">
        <v>35.65</v>
      </c>
      <c r="F20" s="90">
        <v>0.2</v>
      </c>
      <c r="G20" s="91" t="s">
        <v>23</v>
      </c>
      <c r="H20" s="92">
        <v>50</v>
      </c>
      <c r="I20" s="93">
        <v>10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2.2000000000000002</v>
      </c>
    </row>
    <row r="21" spans="2:26" ht="18" x14ac:dyDescent="0.35">
      <c r="B21" s="95">
        <v>4.5</v>
      </c>
      <c r="C21" s="96" t="s">
        <v>77</v>
      </c>
      <c r="D21" s="97">
        <v>2.1</v>
      </c>
      <c r="E21" s="98">
        <v>9.4500000000000011</v>
      </c>
      <c r="F21" s="90">
        <v>0.4</v>
      </c>
      <c r="G21" s="91" t="s">
        <v>92</v>
      </c>
      <c r="H21" s="92">
        <v>68</v>
      </c>
      <c r="I21" s="93">
        <v>27.200000000000003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22.5</v>
      </c>
      <c r="C22" s="96" t="s">
        <v>88</v>
      </c>
      <c r="D22" s="97">
        <v>0.9</v>
      </c>
      <c r="E22" s="98">
        <v>20.25</v>
      </c>
      <c r="F22" s="90">
        <v>1</v>
      </c>
      <c r="G22" s="91" t="s">
        <v>18</v>
      </c>
      <c r="H22" s="92">
        <v>10</v>
      </c>
      <c r="I22" s="93">
        <v>10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2</v>
      </c>
      <c r="C23" s="96" t="s">
        <v>77</v>
      </c>
      <c r="D23" s="97">
        <v>2.1</v>
      </c>
      <c r="E23" s="98">
        <v>4.2</v>
      </c>
      <c r="F23" s="90">
        <v>1.5</v>
      </c>
      <c r="G23" s="91" t="s">
        <v>22</v>
      </c>
      <c r="H23" s="92">
        <v>88</v>
      </c>
      <c r="I23" s="93">
        <v>132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20.399999999999999</v>
      </c>
    </row>
    <row r="24" spans="2:26" ht="18" x14ac:dyDescent="0.35">
      <c r="B24" s="95">
        <v>24</v>
      </c>
      <c r="C24" s="96" t="s">
        <v>88</v>
      </c>
      <c r="D24" s="97">
        <v>0.9</v>
      </c>
      <c r="E24" s="98">
        <v>21.6</v>
      </c>
      <c r="F24" s="90">
        <v>6</v>
      </c>
      <c r="G24" s="91" t="s">
        <v>18</v>
      </c>
      <c r="H24" s="92">
        <v>10</v>
      </c>
      <c r="I24" s="93">
        <v>60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46.5</v>
      </c>
      <c r="C25" s="96" t="s">
        <v>88</v>
      </c>
      <c r="D25" s="97">
        <v>0.9</v>
      </c>
      <c r="E25" s="98">
        <v>41.85</v>
      </c>
      <c r="F25" s="90">
        <v>0.2</v>
      </c>
      <c r="G25" s="91" t="s">
        <v>23</v>
      </c>
      <c r="H25" s="92">
        <v>50</v>
      </c>
      <c r="I25" s="93">
        <v>10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>
        <v>18.5</v>
      </c>
      <c r="C26" s="96" t="s">
        <v>76</v>
      </c>
      <c r="D26" s="97">
        <v>2.2999999999999998</v>
      </c>
      <c r="E26" s="98">
        <v>42.55</v>
      </c>
      <c r="F26" s="90">
        <v>2</v>
      </c>
      <c r="G26" s="91" t="s">
        <v>94</v>
      </c>
      <c r="H26" s="92">
        <v>10</v>
      </c>
      <c r="I26" s="93">
        <v>20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3.5</v>
      </c>
    </row>
    <row r="27" spans="2:26" ht="18" x14ac:dyDescent="0.35">
      <c r="B27" s="95">
        <v>91</v>
      </c>
      <c r="C27" s="96" t="s">
        <v>88</v>
      </c>
      <c r="D27" s="97">
        <v>0.9</v>
      </c>
      <c r="E27" s="98">
        <v>81.900000000000006</v>
      </c>
      <c r="F27" s="90">
        <v>12.5</v>
      </c>
      <c r="G27" s="91" t="s">
        <v>23</v>
      </c>
      <c r="H27" s="92">
        <v>50</v>
      </c>
      <c r="I27" s="93">
        <v>625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59.2</v>
      </c>
    </row>
    <row r="28" spans="2:26" ht="18" x14ac:dyDescent="0.35">
      <c r="B28" s="95">
        <v>1.5</v>
      </c>
      <c r="C28" s="96" t="s">
        <v>77</v>
      </c>
      <c r="D28" s="97">
        <v>2.1</v>
      </c>
      <c r="E28" s="98">
        <v>3.1500000000000004</v>
      </c>
      <c r="F28" s="90">
        <v>1.5</v>
      </c>
      <c r="G28" s="91" t="s">
        <v>45</v>
      </c>
      <c r="H28" s="92">
        <v>5</v>
      </c>
      <c r="I28" s="93">
        <v>7.5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222.5</v>
      </c>
      <c r="C29" s="96" t="s">
        <v>76</v>
      </c>
      <c r="D29" s="97">
        <v>2.2999999999999998</v>
      </c>
      <c r="E29" s="98">
        <v>511.74999999999994</v>
      </c>
      <c r="F29" s="90">
        <v>3.5</v>
      </c>
      <c r="G29" s="91" t="s">
        <v>98</v>
      </c>
      <c r="H29" s="92">
        <v>5</v>
      </c>
      <c r="I29" s="93">
        <v>17.5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61.5</v>
      </c>
      <c r="C30" s="96" t="s">
        <v>76</v>
      </c>
      <c r="D30" s="97">
        <v>2.2999999999999998</v>
      </c>
      <c r="E30" s="98">
        <v>141.44999999999999</v>
      </c>
      <c r="F30" s="90">
        <v>0.5</v>
      </c>
      <c r="G30" s="91" t="s">
        <v>23</v>
      </c>
      <c r="H30" s="92">
        <v>50</v>
      </c>
      <c r="I30" s="93">
        <v>25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2</v>
      </c>
      <c r="C31" s="96" t="s">
        <v>77</v>
      </c>
      <c r="D31" s="97">
        <v>2.1</v>
      </c>
      <c r="E31" s="98">
        <v>4.2</v>
      </c>
      <c r="F31" s="90">
        <v>7</v>
      </c>
      <c r="G31" s="91" t="s">
        <v>90</v>
      </c>
      <c r="H31" s="92">
        <v>83</v>
      </c>
      <c r="I31" s="93">
        <v>581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2</v>
      </c>
      <c r="C32" s="96" t="s">
        <v>77</v>
      </c>
      <c r="D32" s="97">
        <v>2.1</v>
      </c>
      <c r="E32" s="98">
        <v>4.2</v>
      </c>
      <c r="F32" s="90">
        <v>1</v>
      </c>
      <c r="G32" s="91" t="s">
        <v>84</v>
      </c>
      <c r="H32" s="92">
        <v>5</v>
      </c>
      <c r="I32" s="93">
        <v>5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10.6</v>
      </c>
      <c r="C33" s="96" t="s">
        <v>76</v>
      </c>
      <c r="D33" s="97">
        <v>2.2999999999999998</v>
      </c>
      <c r="E33" s="98">
        <v>24.38</v>
      </c>
      <c r="F33" s="90">
        <v>1</v>
      </c>
      <c r="G33" s="91" t="s">
        <v>90</v>
      </c>
      <c r="H33" s="92">
        <v>83</v>
      </c>
      <c r="I33" s="93">
        <v>83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30.5</v>
      </c>
      <c r="C34" s="96" t="s">
        <v>76</v>
      </c>
      <c r="D34" s="97">
        <v>2.2999999999999998</v>
      </c>
      <c r="E34" s="98">
        <v>70.149999999999991</v>
      </c>
      <c r="F34" s="90">
        <v>4.5</v>
      </c>
      <c r="G34" s="91" t="s">
        <v>18</v>
      </c>
      <c r="H34" s="92">
        <v>10</v>
      </c>
      <c r="I34" s="93">
        <v>45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16</v>
      </c>
      <c r="C35" s="96" t="s">
        <v>76</v>
      </c>
      <c r="D35" s="97">
        <v>2.2999999999999998</v>
      </c>
      <c r="E35" s="98">
        <v>36.799999999999997</v>
      </c>
      <c r="F35" s="90">
        <v>3</v>
      </c>
      <c r="G35" s="91" t="s">
        <v>18</v>
      </c>
      <c r="H35" s="92">
        <v>10</v>
      </c>
      <c r="I35" s="93">
        <v>30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32</v>
      </c>
      <c r="C36" s="96" t="s">
        <v>77</v>
      </c>
      <c r="D36" s="97">
        <v>2.1</v>
      </c>
      <c r="E36" s="98">
        <v>67.2</v>
      </c>
      <c r="F36" s="90">
        <v>1</v>
      </c>
      <c r="G36" s="91" t="s">
        <v>94</v>
      </c>
      <c r="H36" s="92">
        <v>10</v>
      </c>
      <c r="I36" s="93">
        <v>10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7.5</v>
      </c>
      <c r="C37" s="96" t="s">
        <v>77</v>
      </c>
      <c r="D37" s="97">
        <v>2.1</v>
      </c>
      <c r="E37" s="98">
        <v>15.75</v>
      </c>
      <c r="F37" s="90">
        <v>30</v>
      </c>
      <c r="G37" s="91" t="s">
        <v>94</v>
      </c>
      <c r="H37" s="92">
        <v>10</v>
      </c>
      <c r="I37" s="93">
        <v>300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>
        <v>7</v>
      </c>
      <c r="C38" s="96" t="s">
        <v>76</v>
      </c>
      <c r="D38" s="97">
        <v>2.2999999999999998</v>
      </c>
      <c r="E38" s="98">
        <v>16.099999999999998</v>
      </c>
      <c r="F38" s="90">
        <v>2</v>
      </c>
      <c r="G38" s="91" t="s">
        <v>102</v>
      </c>
      <c r="H38" s="92">
        <v>5</v>
      </c>
      <c r="I38" s="93">
        <v>10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5.6</v>
      </c>
    </row>
    <row r="39" spans="2:26" ht="18" x14ac:dyDescent="0.35">
      <c r="B39" s="95">
        <v>1</v>
      </c>
      <c r="C39" s="96" t="s">
        <v>76</v>
      </c>
      <c r="D39" s="97">
        <v>2.2999999999999998</v>
      </c>
      <c r="E39" s="98">
        <v>2.2999999999999998</v>
      </c>
      <c r="F39" s="90">
        <v>8.5</v>
      </c>
      <c r="G39" s="91" t="s">
        <v>90</v>
      </c>
      <c r="H39" s="92">
        <v>83</v>
      </c>
      <c r="I39" s="93">
        <v>705.5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5.4</v>
      </c>
    </row>
    <row r="40" spans="2:26" ht="18" x14ac:dyDescent="0.35">
      <c r="B40" s="95">
        <v>45.5</v>
      </c>
      <c r="C40" s="96" t="s">
        <v>77</v>
      </c>
      <c r="D40" s="97">
        <v>2.1</v>
      </c>
      <c r="E40" s="98">
        <v>95.55</v>
      </c>
      <c r="F40" s="90">
        <v>4.5</v>
      </c>
      <c r="G40" s="91" t="s">
        <v>23</v>
      </c>
      <c r="H40" s="92">
        <v>50</v>
      </c>
      <c r="I40" s="93">
        <v>225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>
        <v>4.5</v>
      </c>
      <c r="C41" s="96" t="s">
        <v>77</v>
      </c>
      <c r="D41" s="97">
        <v>2.1</v>
      </c>
      <c r="E41" s="98">
        <v>9.4500000000000011</v>
      </c>
      <c r="F41" s="90">
        <v>0.5</v>
      </c>
      <c r="G41" s="91" t="s">
        <v>90</v>
      </c>
      <c r="H41" s="92">
        <v>83</v>
      </c>
      <c r="I41" s="93">
        <v>41.5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>
        <v>4</v>
      </c>
      <c r="G42" s="91" t="s">
        <v>84</v>
      </c>
      <c r="H42" s="92">
        <v>5</v>
      </c>
      <c r="I42" s="93">
        <v>20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>
        <v>0.4</v>
      </c>
      <c r="G43" s="91" t="s">
        <v>85</v>
      </c>
      <c r="H43" s="92">
        <v>10</v>
      </c>
      <c r="I43" s="93">
        <v>4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>
        <v>0.6</v>
      </c>
      <c r="G44" s="91" t="s">
        <v>84</v>
      </c>
      <c r="H44" s="92">
        <v>5</v>
      </c>
      <c r="I44" s="93">
        <v>3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6</v>
      </c>
    </row>
    <row r="45" spans="2:26" ht="18" x14ac:dyDescent="0.35">
      <c r="B45" s="95"/>
      <c r="C45" s="96"/>
      <c r="D45" s="97"/>
      <c r="E45" s="98"/>
      <c r="F45" s="90">
        <v>2</v>
      </c>
      <c r="G45" s="91" t="s">
        <v>67</v>
      </c>
      <c r="H45" s="92">
        <v>86</v>
      </c>
      <c r="I45" s="93">
        <v>172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>
        <v>6</v>
      </c>
      <c r="G46" s="91" t="s">
        <v>48</v>
      </c>
      <c r="H46" s="92">
        <v>6</v>
      </c>
      <c r="I46" s="93">
        <v>36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>
        <v>14</v>
      </c>
      <c r="G47" s="91" t="s">
        <v>94</v>
      </c>
      <c r="H47" s="92">
        <v>10</v>
      </c>
      <c r="I47" s="93">
        <v>140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>
        <v>5</v>
      </c>
      <c r="G48" s="91" t="s">
        <v>90</v>
      </c>
      <c r="H48" s="92">
        <v>83</v>
      </c>
      <c r="I48" s="93">
        <v>415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13.5</v>
      </c>
    </row>
    <row r="49" spans="2:26" ht="18" x14ac:dyDescent="0.35">
      <c r="B49" s="95"/>
      <c r="C49" s="96"/>
      <c r="D49" s="97"/>
      <c r="E49" s="98"/>
      <c r="F49" s="90">
        <v>1</v>
      </c>
      <c r="G49" s="91" t="s">
        <v>23</v>
      </c>
      <c r="H49" s="92">
        <v>50</v>
      </c>
      <c r="I49" s="93">
        <v>50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>
        <v>22</v>
      </c>
      <c r="G50" s="91" t="s">
        <v>18</v>
      </c>
      <c r="H50" s="92">
        <v>10</v>
      </c>
      <c r="I50" s="93">
        <v>220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5</v>
      </c>
      <c r="G51" s="91" t="s">
        <v>85</v>
      </c>
      <c r="H51" s="92">
        <v>10</v>
      </c>
      <c r="I51" s="93">
        <v>50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0.6</v>
      </c>
      <c r="G52" s="91" t="s">
        <v>92</v>
      </c>
      <c r="H52" s="92">
        <v>68</v>
      </c>
      <c r="I52" s="93">
        <v>40.799999999999997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3.2</v>
      </c>
      <c r="G53" s="91" t="s">
        <v>94</v>
      </c>
      <c r="H53" s="92">
        <v>10</v>
      </c>
      <c r="I53" s="93">
        <v>32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4</v>
      </c>
      <c r="G54" s="91" t="s">
        <v>18</v>
      </c>
      <c r="H54" s="92">
        <v>10</v>
      </c>
      <c r="I54" s="93">
        <v>40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>
        <v>1.5</v>
      </c>
      <c r="G55" s="91" t="s">
        <v>90</v>
      </c>
      <c r="H55" s="92">
        <v>83</v>
      </c>
      <c r="I55" s="93">
        <v>124.5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2</v>
      </c>
    </row>
    <row r="56" spans="2:26" ht="18" x14ac:dyDescent="0.35">
      <c r="B56" s="95"/>
      <c r="C56" s="96"/>
      <c r="D56" s="97"/>
      <c r="E56" s="98"/>
      <c r="F56" s="90">
        <v>11</v>
      </c>
      <c r="G56" s="91" t="s">
        <v>18</v>
      </c>
      <c r="H56" s="92">
        <v>10</v>
      </c>
      <c r="I56" s="93">
        <v>110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13.5</v>
      </c>
      <c r="G57" s="91" t="s">
        <v>74</v>
      </c>
      <c r="H57" s="92">
        <v>5</v>
      </c>
      <c r="I57" s="93">
        <v>67.5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2</v>
      </c>
      <c r="G58" s="91" t="s">
        <v>90</v>
      </c>
      <c r="H58" s="92">
        <v>83</v>
      </c>
      <c r="I58" s="93">
        <v>166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3</v>
      </c>
      <c r="G59" s="91" t="s">
        <v>18</v>
      </c>
      <c r="H59" s="92">
        <v>10</v>
      </c>
      <c r="I59" s="93">
        <v>30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1</v>
      </c>
      <c r="G60" s="91" t="s">
        <v>90</v>
      </c>
      <c r="H60" s="92">
        <v>83</v>
      </c>
      <c r="I60" s="93">
        <v>83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2.5</v>
      </c>
      <c r="G61" s="91" t="s">
        <v>94</v>
      </c>
      <c r="H61" s="92">
        <v>10</v>
      </c>
      <c r="I61" s="93">
        <v>25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0.5</v>
      </c>
      <c r="G62" s="91" t="s">
        <v>18</v>
      </c>
      <c r="H62" s="92">
        <v>10</v>
      </c>
      <c r="I62" s="93">
        <v>5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0.2</v>
      </c>
      <c r="G63" s="91" t="s">
        <v>92</v>
      </c>
      <c r="H63" s="92">
        <v>68</v>
      </c>
      <c r="I63" s="93">
        <v>13.600000000000001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1.5</v>
      </c>
      <c r="G64" s="91" t="s">
        <v>94</v>
      </c>
      <c r="H64" s="92">
        <v>10</v>
      </c>
      <c r="I64" s="93">
        <v>15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0.5</v>
      </c>
      <c r="G65" s="100" t="s">
        <v>90</v>
      </c>
      <c r="H65" s="101">
        <v>83</v>
      </c>
      <c r="I65" s="102">
        <v>41.5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2</v>
      </c>
      <c r="G66" s="91" t="s">
        <v>18</v>
      </c>
      <c r="H66" s="92">
        <v>10</v>
      </c>
      <c r="I66" s="93">
        <v>20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1.5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818.6</v>
      </c>
      <c r="C130" s="122"/>
      <c r="D130" s="121"/>
      <c r="E130" s="123">
        <f>SUM(E9:E129)</f>
        <v>1541.38</v>
      </c>
      <c r="F130" s="124">
        <f>SUM(F9:F129)</f>
        <v>241.49999999999997</v>
      </c>
      <c r="G130" s="82"/>
      <c r="H130" s="125"/>
      <c r="I130" s="125">
        <f>SUM(I9:I129)</f>
        <v>6131.1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760</v>
      </c>
      <c r="U130" s="83"/>
      <c r="V130" s="82"/>
      <c r="W130" s="130">
        <f>SUM(W9:W129)</f>
        <v>430</v>
      </c>
    </row>
  </sheetData>
  <sheetProtection algorithmName="SHA-512" hashValue="LCEuplsTONcLBhLxpam0G3UUPDPuVc5oYvl6xG2RMYmjFZ1vM2kDYcF0xrigLonuEoqLIQWs1PtYcAhC+9QxIA==" saltValue="m5+PjYVMW0fryOOGvq/Wnw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F04A2-1964-4673-81EE-0EB9C691C96D}">
  <sheetPr codeName="Sheet47"/>
  <dimension ref="A1:Z130"/>
  <sheetViews>
    <sheetView zoomScale="80" zoomScaleNormal="80" workbookViewId="0">
      <selection activeCell="J12" sqref="J12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44179</v>
      </c>
      <c r="F1" s="189"/>
      <c r="G1" s="189"/>
    </row>
    <row r="2" spans="2:26" ht="18" x14ac:dyDescent="0.35">
      <c r="B2" s="190" t="s">
        <v>0</v>
      </c>
      <c r="C2" s="190"/>
      <c r="D2" s="1">
        <v>8900</v>
      </c>
    </row>
    <row r="3" spans="2:26" ht="18" x14ac:dyDescent="0.35">
      <c r="B3" s="190" t="s">
        <v>1</v>
      </c>
      <c r="C3" s="190"/>
      <c r="D3" s="77">
        <f>(D2-E130-I130)</f>
        <v>3439.0499999999993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3.5</v>
      </c>
      <c r="C9" s="87" t="s">
        <v>76</v>
      </c>
      <c r="D9" s="88">
        <v>2.2999999999999998</v>
      </c>
      <c r="E9" s="89">
        <v>8.0499999999999989</v>
      </c>
      <c r="F9" s="90">
        <v>0.4</v>
      </c>
      <c r="G9" s="91" t="s">
        <v>23</v>
      </c>
      <c r="H9" s="92">
        <v>50</v>
      </c>
      <c r="I9" s="93">
        <v>20</v>
      </c>
      <c r="J9" s="83"/>
      <c r="K9" s="83"/>
      <c r="L9" s="3" t="s">
        <v>124</v>
      </c>
      <c r="M9" s="4">
        <v>406</v>
      </c>
      <c r="N9" s="5">
        <v>20339</v>
      </c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133</v>
      </c>
    </row>
    <row r="10" spans="2:26" ht="18" x14ac:dyDescent="0.35">
      <c r="B10" s="95">
        <v>42.5</v>
      </c>
      <c r="C10" s="96" t="s">
        <v>88</v>
      </c>
      <c r="D10" s="97">
        <v>0.9</v>
      </c>
      <c r="E10" s="98">
        <v>38.25</v>
      </c>
      <c r="F10" s="90">
        <v>0.2</v>
      </c>
      <c r="G10" s="91" t="s">
        <v>90</v>
      </c>
      <c r="H10" s="92">
        <v>83</v>
      </c>
      <c r="I10" s="93">
        <v>16.600000000000001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153</v>
      </c>
    </row>
    <row r="11" spans="2:26" ht="18" x14ac:dyDescent="0.35">
      <c r="B11" s="95">
        <v>64.5</v>
      </c>
      <c r="C11" s="96" t="s">
        <v>88</v>
      </c>
      <c r="D11" s="97">
        <v>0.9</v>
      </c>
      <c r="E11" s="98">
        <v>58.050000000000004</v>
      </c>
      <c r="F11" s="90">
        <v>0.2</v>
      </c>
      <c r="G11" s="91" t="s">
        <v>94</v>
      </c>
      <c r="H11" s="92">
        <v>10</v>
      </c>
      <c r="I11" s="93">
        <v>2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162.5</v>
      </c>
    </row>
    <row r="12" spans="2:26" ht="18" x14ac:dyDescent="0.35">
      <c r="B12" s="95">
        <v>6.5</v>
      </c>
      <c r="C12" s="96" t="s">
        <v>77</v>
      </c>
      <c r="D12" s="97">
        <v>2.1</v>
      </c>
      <c r="E12" s="98">
        <v>13.65</v>
      </c>
      <c r="F12" s="90">
        <v>1</v>
      </c>
      <c r="G12" s="91" t="s">
        <v>18</v>
      </c>
      <c r="H12" s="92">
        <v>9</v>
      </c>
      <c r="I12" s="93">
        <v>9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1</v>
      </c>
      <c r="C13" s="96" t="s">
        <v>76</v>
      </c>
      <c r="D13" s="97">
        <v>2.2999999999999998</v>
      </c>
      <c r="E13" s="98">
        <v>2.2999999999999998</v>
      </c>
      <c r="F13" s="90">
        <v>1</v>
      </c>
      <c r="G13" s="91" t="s">
        <v>94</v>
      </c>
      <c r="H13" s="92">
        <v>9</v>
      </c>
      <c r="I13" s="93">
        <v>9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16.5</v>
      </c>
    </row>
    <row r="14" spans="2:26" ht="18" x14ac:dyDescent="0.35">
      <c r="B14" s="95">
        <v>1.5</v>
      </c>
      <c r="C14" s="96" t="s">
        <v>76</v>
      </c>
      <c r="D14" s="97">
        <v>2.2999999999999998</v>
      </c>
      <c r="E14" s="98">
        <v>3.4499999999999997</v>
      </c>
      <c r="F14" s="90">
        <v>74.5</v>
      </c>
      <c r="G14" s="91" t="s">
        <v>42</v>
      </c>
      <c r="H14" s="92">
        <v>9</v>
      </c>
      <c r="I14" s="93">
        <v>670.5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130.5</v>
      </c>
    </row>
    <row r="15" spans="2:26" ht="18" x14ac:dyDescent="0.35">
      <c r="B15" s="95">
        <v>6.5</v>
      </c>
      <c r="C15" s="96" t="s">
        <v>77</v>
      </c>
      <c r="D15" s="97">
        <v>2.1</v>
      </c>
      <c r="E15" s="98">
        <v>13.65</v>
      </c>
      <c r="F15" s="90">
        <v>3.5</v>
      </c>
      <c r="G15" s="91" t="s">
        <v>96</v>
      </c>
      <c r="H15" s="92">
        <v>12</v>
      </c>
      <c r="I15" s="93">
        <v>42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25</v>
      </c>
    </row>
    <row r="16" spans="2:26" ht="18" x14ac:dyDescent="0.35">
      <c r="B16" s="95">
        <v>1</v>
      </c>
      <c r="C16" s="96" t="s">
        <v>76</v>
      </c>
      <c r="D16" s="97">
        <v>2.2999999999999998</v>
      </c>
      <c r="E16" s="98">
        <v>2.2999999999999998</v>
      </c>
      <c r="F16" s="90">
        <v>0.2</v>
      </c>
      <c r="G16" s="91" t="s">
        <v>94</v>
      </c>
      <c r="H16" s="92">
        <v>9</v>
      </c>
      <c r="I16" s="93">
        <v>1.8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0.2</v>
      </c>
    </row>
    <row r="17" spans="2:26" ht="18" x14ac:dyDescent="0.35">
      <c r="B17" s="95">
        <v>15</v>
      </c>
      <c r="C17" s="96" t="s">
        <v>77</v>
      </c>
      <c r="D17" s="97">
        <v>2.1</v>
      </c>
      <c r="E17" s="98">
        <v>31.5</v>
      </c>
      <c r="F17" s="90">
        <v>0.5</v>
      </c>
      <c r="G17" s="91" t="s">
        <v>18</v>
      </c>
      <c r="H17" s="92">
        <v>9</v>
      </c>
      <c r="I17" s="93">
        <v>4.5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7.5</v>
      </c>
    </row>
    <row r="18" spans="2:26" ht="18" x14ac:dyDescent="0.35">
      <c r="B18" s="95">
        <v>7</v>
      </c>
      <c r="C18" s="96" t="s">
        <v>76</v>
      </c>
      <c r="D18" s="97">
        <v>2.2999999999999998</v>
      </c>
      <c r="E18" s="98">
        <v>16.099999999999998</v>
      </c>
      <c r="F18" s="90">
        <v>85</v>
      </c>
      <c r="G18" s="91" t="s">
        <v>19</v>
      </c>
      <c r="H18" s="92">
        <v>2</v>
      </c>
      <c r="I18" s="93">
        <v>170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23.3</v>
      </c>
    </row>
    <row r="19" spans="2:26" ht="18" x14ac:dyDescent="0.35">
      <c r="B19" s="95">
        <v>11</v>
      </c>
      <c r="C19" s="96" t="s">
        <v>77</v>
      </c>
      <c r="D19" s="97">
        <v>2.1</v>
      </c>
      <c r="E19" s="98">
        <v>23.1</v>
      </c>
      <c r="F19" s="90">
        <v>11.5</v>
      </c>
      <c r="G19" s="91" t="s">
        <v>19</v>
      </c>
      <c r="H19" s="92">
        <v>2</v>
      </c>
      <c r="I19" s="93">
        <v>23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0.2</v>
      </c>
    </row>
    <row r="20" spans="2:26" ht="18" x14ac:dyDescent="0.35">
      <c r="B20" s="95">
        <v>9</v>
      </c>
      <c r="C20" s="96" t="s">
        <v>88</v>
      </c>
      <c r="D20" s="97">
        <v>0.9</v>
      </c>
      <c r="E20" s="98">
        <v>8.1</v>
      </c>
      <c r="F20" s="90">
        <v>7.5</v>
      </c>
      <c r="G20" s="91" t="s">
        <v>67</v>
      </c>
      <c r="H20" s="92">
        <v>82</v>
      </c>
      <c r="I20" s="93">
        <v>615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2.5</v>
      </c>
    </row>
    <row r="21" spans="2:26" ht="18" x14ac:dyDescent="0.35">
      <c r="B21" s="95">
        <v>8</v>
      </c>
      <c r="C21" s="96" t="s">
        <v>88</v>
      </c>
      <c r="D21" s="97">
        <v>0.9</v>
      </c>
      <c r="E21" s="98">
        <v>7.2</v>
      </c>
      <c r="F21" s="90">
        <v>2</v>
      </c>
      <c r="G21" s="91" t="s">
        <v>23</v>
      </c>
      <c r="H21" s="92">
        <v>50</v>
      </c>
      <c r="I21" s="93">
        <v>100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2</v>
      </c>
      <c r="C22" s="96" t="s">
        <v>88</v>
      </c>
      <c r="D22" s="97">
        <v>0.9</v>
      </c>
      <c r="E22" s="98">
        <v>1.8</v>
      </c>
      <c r="F22" s="90">
        <v>1</v>
      </c>
      <c r="G22" s="91" t="s">
        <v>94</v>
      </c>
      <c r="H22" s="92">
        <v>9</v>
      </c>
      <c r="I22" s="93">
        <v>9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6.5</v>
      </c>
      <c r="C23" s="96" t="s">
        <v>77</v>
      </c>
      <c r="D23" s="97">
        <v>2.1</v>
      </c>
      <c r="E23" s="98">
        <v>13.65</v>
      </c>
      <c r="F23" s="90">
        <v>1</v>
      </c>
      <c r="G23" s="91" t="s">
        <v>84</v>
      </c>
      <c r="H23" s="92">
        <v>5</v>
      </c>
      <c r="I23" s="93">
        <v>5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8.5</v>
      </c>
    </row>
    <row r="24" spans="2:26" ht="18" x14ac:dyDescent="0.35">
      <c r="B24" s="95">
        <v>8</v>
      </c>
      <c r="C24" s="96" t="s">
        <v>77</v>
      </c>
      <c r="D24" s="97">
        <v>2.1</v>
      </c>
      <c r="E24" s="98">
        <v>16.8</v>
      </c>
      <c r="F24" s="90">
        <v>0.2</v>
      </c>
      <c r="G24" s="91" t="s">
        <v>85</v>
      </c>
      <c r="H24" s="92">
        <v>10</v>
      </c>
      <c r="I24" s="93">
        <v>2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4.5</v>
      </c>
      <c r="C25" s="96" t="s">
        <v>88</v>
      </c>
      <c r="D25" s="97">
        <v>0.9</v>
      </c>
      <c r="E25" s="98">
        <v>4.05</v>
      </c>
      <c r="F25" s="90">
        <v>0.5</v>
      </c>
      <c r="G25" s="91" t="s">
        <v>90</v>
      </c>
      <c r="H25" s="92">
        <v>80</v>
      </c>
      <c r="I25" s="93">
        <v>40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>
        <v>12</v>
      </c>
      <c r="C26" s="96" t="s">
        <v>76</v>
      </c>
      <c r="D26" s="97">
        <v>2.2999999999999998</v>
      </c>
      <c r="E26" s="98">
        <v>27.599999999999998</v>
      </c>
      <c r="F26" s="90">
        <v>0.5</v>
      </c>
      <c r="G26" s="91" t="s">
        <v>23</v>
      </c>
      <c r="H26" s="92">
        <v>50</v>
      </c>
      <c r="I26" s="93">
        <v>25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0.6</v>
      </c>
    </row>
    <row r="27" spans="2:26" ht="18" x14ac:dyDescent="0.35">
      <c r="B27" s="95">
        <v>8</v>
      </c>
      <c r="C27" s="96" t="s">
        <v>77</v>
      </c>
      <c r="D27" s="97">
        <v>2.1</v>
      </c>
      <c r="E27" s="98">
        <v>16.8</v>
      </c>
      <c r="F27" s="90">
        <v>1</v>
      </c>
      <c r="G27" s="91" t="s">
        <v>18</v>
      </c>
      <c r="H27" s="92">
        <v>9</v>
      </c>
      <c r="I27" s="93">
        <v>9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16.2</v>
      </c>
    </row>
    <row r="28" spans="2:26" ht="18" x14ac:dyDescent="0.35">
      <c r="B28" s="95">
        <v>3</v>
      </c>
      <c r="C28" s="96" t="s">
        <v>76</v>
      </c>
      <c r="D28" s="97">
        <v>2.2999999999999998</v>
      </c>
      <c r="E28" s="98">
        <v>6.8999999999999995</v>
      </c>
      <c r="F28" s="90">
        <v>6</v>
      </c>
      <c r="G28" s="91" t="s">
        <v>19</v>
      </c>
      <c r="H28" s="92">
        <v>2</v>
      </c>
      <c r="I28" s="93">
        <v>12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74.5</v>
      </c>
    </row>
    <row r="29" spans="2:26" ht="18" x14ac:dyDescent="0.35">
      <c r="B29" s="95">
        <v>8</v>
      </c>
      <c r="C29" s="96" t="s">
        <v>77</v>
      </c>
      <c r="D29" s="97">
        <v>2.1</v>
      </c>
      <c r="E29" s="98">
        <v>16.8</v>
      </c>
      <c r="F29" s="90">
        <v>4.5</v>
      </c>
      <c r="G29" s="91" t="s">
        <v>18</v>
      </c>
      <c r="H29" s="92">
        <v>9</v>
      </c>
      <c r="I29" s="93">
        <v>40.5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3</v>
      </c>
      <c r="C30" s="96" t="s">
        <v>76</v>
      </c>
      <c r="D30" s="97">
        <v>2.2999999999999998</v>
      </c>
      <c r="E30" s="98">
        <v>6.8999999999999995</v>
      </c>
      <c r="F30" s="90">
        <v>28</v>
      </c>
      <c r="G30" s="91" t="s">
        <v>19</v>
      </c>
      <c r="H30" s="92">
        <v>2</v>
      </c>
      <c r="I30" s="93">
        <v>56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1.5</v>
      </c>
      <c r="C31" s="96" t="s">
        <v>77</v>
      </c>
      <c r="D31" s="97">
        <v>2.1</v>
      </c>
      <c r="E31" s="98">
        <v>3.1500000000000004</v>
      </c>
      <c r="F31" s="90">
        <v>14.5</v>
      </c>
      <c r="G31" s="91" t="s">
        <v>20</v>
      </c>
      <c r="H31" s="92">
        <v>1</v>
      </c>
      <c r="I31" s="93">
        <v>14.5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1.5</v>
      </c>
      <c r="C32" s="96" t="s">
        <v>76</v>
      </c>
      <c r="D32" s="97">
        <v>2.2999999999999998</v>
      </c>
      <c r="E32" s="98">
        <v>3.4499999999999997</v>
      </c>
      <c r="F32" s="90">
        <v>0.6</v>
      </c>
      <c r="G32" s="91" t="s">
        <v>94</v>
      </c>
      <c r="H32" s="92">
        <v>9</v>
      </c>
      <c r="I32" s="93">
        <v>5.3999999999999995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8.5</v>
      </c>
      <c r="C33" s="96" t="s">
        <v>77</v>
      </c>
      <c r="D33" s="97">
        <v>2.1</v>
      </c>
      <c r="E33" s="98">
        <v>17.850000000000001</v>
      </c>
      <c r="F33" s="90">
        <v>2</v>
      </c>
      <c r="G33" s="91" t="s">
        <v>18</v>
      </c>
      <c r="H33" s="92">
        <v>9</v>
      </c>
      <c r="I33" s="93">
        <v>18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19</v>
      </c>
      <c r="C34" s="96" t="s">
        <v>76</v>
      </c>
      <c r="D34" s="97">
        <v>2.2999999999999998</v>
      </c>
      <c r="E34" s="98">
        <v>43.699999999999996</v>
      </c>
      <c r="F34" s="90">
        <v>0.2</v>
      </c>
      <c r="G34" s="91" t="s">
        <v>94</v>
      </c>
      <c r="H34" s="92">
        <v>9</v>
      </c>
      <c r="I34" s="93">
        <v>1.8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3</v>
      </c>
      <c r="C35" s="96" t="s">
        <v>77</v>
      </c>
      <c r="D35" s="97">
        <v>2.1</v>
      </c>
      <c r="E35" s="98">
        <v>6.3000000000000007</v>
      </c>
      <c r="F35" s="90">
        <v>10.5</v>
      </c>
      <c r="G35" s="91" t="s">
        <v>90</v>
      </c>
      <c r="H35" s="92">
        <v>80</v>
      </c>
      <c r="I35" s="93">
        <v>840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16</v>
      </c>
      <c r="C36" s="96" t="s">
        <v>77</v>
      </c>
      <c r="D36" s="97">
        <v>2.1</v>
      </c>
      <c r="E36" s="98">
        <v>33.6</v>
      </c>
      <c r="F36" s="90">
        <v>1</v>
      </c>
      <c r="G36" s="91" t="s">
        <v>90</v>
      </c>
      <c r="H36" s="92">
        <v>80</v>
      </c>
      <c r="I36" s="93">
        <v>80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5</v>
      </c>
      <c r="C37" s="96" t="s">
        <v>76</v>
      </c>
      <c r="D37" s="97">
        <v>2.2999999999999998</v>
      </c>
      <c r="E37" s="98">
        <v>11.5</v>
      </c>
      <c r="F37" s="90">
        <v>0.5</v>
      </c>
      <c r="G37" s="91" t="s">
        <v>23</v>
      </c>
      <c r="H37" s="92">
        <v>50</v>
      </c>
      <c r="I37" s="93">
        <v>25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>
        <v>24.5</v>
      </c>
      <c r="C38" s="96" t="s">
        <v>76</v>
      </c>
      <c r="D38" s="97">
        <v>2.2999999999999998</v>
      </c>
      <c r="E38" s="98">
        <v>56.349999999999994</v>
      </c>
      <c r="F38" s="90">
        <v>0.4</v>
      </c>
      <c r="G38" s="91" t="s">
        <v>94</v>
      </c>
      <c r="H38" s="92">
        <v>9</v>
      </c>
      <c r="I38" s="93">
        <v>3.6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1</v>
      </c>
    </row>
    <row r="39" spans="2:26" ht="18" x14ac:dyDescent="0.35">
      <c r="B39" s="95">
        <v>2.5</v>
      </c>
      <c r="C39" s="96" t="s">
        <v>76</v>
      </c>
      <c r="D39" s="97">
        <v>2.2999999999999998</v>
      </c>
      <c r="E39" s="98">
        <v>5.75</v>
      </c>
      <c r="F39" s="90">
        <v>1.5</v>
      </c>
      <c r="G39" s="91" t="s">
        <v>92</v>
      </c>
      <c r="H39" s="92">
        <v>68</v>
      </c>
      <c r="I39" s="93">
        <v>102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0.7</v>
      </c>
    </row>
    <row r="40" spans="2:26" ht="18" x14ac:dyDescent="0.35">
      <c r="B40" s="95">
        <v>14.5</v>
      </c>
      <c r="C40" s="96" t="s">
        <v>77</v>
      </c>
      <c r="D40" s="97">
        <v>2.1</v>
      </c>
      <c r="E40" s="98">
        <v>30.450000000000003</v>
      </c>
      <c r="F40" s="90">
        <v>1</v>
      </c>
      <c r="G40" s="91" t="s">
        <v>23</v>
      </c>
      <c r="H40" s="92">
        <v>50</v>
      </c>
      <c r="I40" s="93">
        <v>50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>
        <v>10</v>
      </c>
      <c r="C41" s="96" t="s">
        <v>76</v>
      </c>
      <c r="D41" s="97">
        <v>2.2999999999999998</v>
      </c>
      <c r="E41" s="98">
        <v>23</v>
      </c>
      <c r="F41" s="90">
        <v>0.6</v>
      </c>
      <c r="G41" s="91" t="s">
        <v>98</v>
      </c>
      <c r="H41" s="92">
        <v>5</v>
      </c>
      <c r="I41" s="93">
        <v>3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>
        <v>36</v>
      </c>
      <c r="C42" s="96" t="s">
        <v>77</v>
      </c>
      <c r="D42" s="97">
        <v>2.1</v>
      </c>
      <c r="E42" s="98">
        <v>75.600000000000009</v>
      </c>
      <c r="F42" s="90">
        <v>0.6</v>
      </c>
      <c r="G42" s="91" t="s">
        <v>94</v>
      </c>
      <c r="H42" s="92">
        <v>9</v>
      </c>
      <c r="I42" s="93">
        <v>5.3999999999999995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>
        <v>3.5</v>
      </c>
      <c r="C43" s="96" t="s">
        <v>77</v>
      </c>
      <c r="D43" s="97">
        <v>2.1</v>
      </c>
      <c r="E43" s="98">
        <v>7.3500000000000005</v>
      </c>
      <c r="F43" s="90">
        <v>1</v>
      </c>
      <c r="G43" s="91" t="s">
        <v>90</v>
      </c>
      <c r="H43" s="92">
        <v>80</v>
      </c>
      <c r="I43" s="93">
        <v>80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0.4</v>
      </c>
    </row>
    <row r="44" spans="2:26" ht="18" x14ac:dyDescent="0.35">
      <c r="B44" s="95">
        <v>2.5</v>
      </c>
      <c r="C44" s="96" t="s">
        <v>88</v>
      </c>
      <c r="D44" s="97">
        <v>0.9</v>
      </c>
      <c r="E44" s="98">
        <v>2.25</v>
      </c>
      <c r="F44" s="90">
        <v>1</v>
      </c>
      <c r="G44" s="91" t="s">
        <v>18</v>
      </c>
      <c r="H44" s="92">
        <v>9</v>
      </c>
      <c r="I44" s="93">
        <v>9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6.5</v>
      </c>
    </row>
    <row r="45" spans="2:26" ht="18" x14ac:dyDescent="0.35">
      <c r="B45" s="95">
        <v>48</v>
      </c>
      <c r="C45" s="96" t="s">
        <v>76</v>
      </c>
      <c r="D45" s="97">
        <v>2.2999999999999998</v>
      </c>
      <c r="E45" s="98">
        <v>110.39999999999999</v>
      </c>
      <c r="F45" s="90">
        <v>0.5</v>
      </c>
      <c r="G45" s="91" t="s">
        <v>90</v>
      </c>
      <c r="H45" s="92">
        <v>80</v>
      </c>
      <c r="I45" s="93">
        <v>40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>
        <v>10.5</v>
      </c>
      <c r="C46" s="96" t="s">
        <v>76</v>
      </c>
      <c r="D46" s="97">
        <v>2.2999999999999998</v>
      </c>
      <c r="E46" s="98">
        <v>24.15</v>
      </c>
      <c r="F46" s="90">
        <v>3.5</v>
      </c>
      <c r="G46" s="91" t="s">
        <v>18</v>
      </c>
      <c r="H46" s="92">
        <v>9</v>
      </c>
      <c r="I46" s="93">
        <v>31.5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11.7</v>
      </c>
    </row>
    <row r="47" spans="2:26" ht="18" x14ac:dyDescent="0.35">
      <c r="B47" s="95">
        <v>9.5</v>
      </c>
      <c r="C47" s="96" t="s">
        <v>77</v>
      </c>
      <c r="D47" s="97">
        <v>2.1</v>
      </c>
      <c r="E47" s="98">
        <v>19.95</v>
      </c>
      <c r="F47" s="90">
        <v>0.4</v>
      </c>
      <c r="G47" s="91" t="s">
        <v>47</v>
      </c>
      <c r="H47" s="92">
        <v>13</v>
      </c>
      <c r="I47" s="93">
        <v>5.2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>
        <v>0.5</v>
      </c>
      <c r="C48" s="96" t="s">
        <v>77</v>
      </c>
      <c r="D48" s="97">
        <v>2.1</v>
      </c>
      <c r="E48" s="98">
        <v>1.05</v>
      </c>
      <c r="F48" s="90">
        <v>0.2</v>
      </c>
      <c r="G48" s="91" t="s">
        <v>91</v>
      </c>
      <c r="H48" s="92">
        <v>78</v>
      </c>
      <c r="I48" s="93">
        <v>15.600000000000001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>
        <v>1.5</v>
      </c>
      <c r="G49" s="91" t="s">
        <v>23</v>
      </c>
      <c r="H49" s="92">
        <v>50</v>
      </c>
      <c r="I49" s="93">
        <v>75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4.5</v>
      </c>
    </row>
    <row r="50" spans="2:26" ht="18" x14ac:dyDescent="0.35">
      <c r="B50" s="95"/>
      <c r="C50" s="96"/>
      <c r="D50" s="97"/>
      <c r="E50" s="98"/>
      <c r="F50" s="90">
        <v>1.5</v>
      </c>
      <c r="G50" s="91" t="s">
        <v>94</v>
      </c>
      <c r="H50" s="92">
        <v>9</v>
      </c>
      <c r="I50" s="93">
        <v>13.5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2.5</v>
      </c>
      <c r="G51" s="91" t="s">
        <v>18</v>
      </c>
      <c r="H51" s="92">
        <v>9</v>
      </c>
      <c r="I51" s="93">
        <v>22.5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0.2</v>
      </c>
      <c r="G52" s="91" t="s">
        <v>23</v>
      </c>
      <c r="H52" s="92">
        <v>50</v>
      </c>
      <c r="I52" s="93">
        <v>10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2</v>
      </c>
      <c r="G53" s="91" t="s">
        <v>48</v>
      </c>
      <c r="H53" s="92">
        <v>6</v>
      </c>
      <c r="I53" s="93">
        <v>12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0.5</v>
      </c>
      <c r="G54" s="91" t="s">
        <v>94</v>
      </c>
      <c r="H54" s="92">
        <v>9</v>
      </c>
      <c r="I54" s="93">
        <v>4.5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>
        <v>1.2</v>
      </c>
      <c r="G55" s="91" t="s">
        <v>90</v>
      </c>
      <c r="H55" s="92">
        <v>80</v>
      </c>
      <c r="I55" s="93">
        <v>96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>
        <v>8</v>
      </c>
      <c r="G56" s="91" t="s">
        <v>96</v>
      </c>
      <c r="H56" s="92">
        <v>12</v>
      </c>
      <c r="I56" s="93">
        <v>96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0.2</v>
      </c>
      <c r="G57" s="91" t="s">
        <v>22</v>
      </c>
      <c r="H57" s="92">
        <v>84</v>
      </c>
      <c r="I57" s="93">
        <v>16.8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1.2</v>
      </c>
      <c r="G58" s="91" t="s">
        <v>23</v>
      </c>
      <c r="H58" s="92">
        <v>50</v>
      </c>
      <c r="I58" s="93">
        <v>60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2</v>
      </c>
      <c r="G59" s="91" t="s">
        <v>48</v>
      </c>
      <c r="H59" s="92">
        <v>6</v>
      </c>
      <c r="I59" s="93">
        <v>12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0.5</v>
      </c>
      <c r="G60" s="91" t="s">
        <v>94</v>
      </c>
      <c r="H60" s="92">
        <v>9</v>
      </c>
      <c r="I60" s="93">
        <v>4.5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1.5</v>
      </c>
      <c r="G61" s="91" t="s">
        <v>90</v>
      </c>
      <c r="H61" s="92">
        <v>80</v>
      </c>
      <c r="I61" s="93">
        <v>120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0.2</v>
      </c>
      <c r="G62" s="91" t="s">
        <v>90</v>
      </c>
      <c r="H62" s="92">
        <v>80</v>
      </c>
      <c r="I62" s="93">
        <v>16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2.5</v>
      </c>
      <c r="G63" s="91" t="s">
        <v>48</v>
      </c>
      <c r="H63" s="92">
        <v>6</v>
      </c>
      <c r="I63" s="93">
        <v>15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5.5</v>
      </c>
      <c r="G64" s="91" t="s">
        <v>18</v>
      </c>
      <c r="H64" s="92">
        <v>9</v>
      </c>
      <c r="I64" s="93">
        <v>49.5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1</v>
      </c>
      <c r="G65" s="100" t="s">
        <v>90</v>
      </c>
      <c r="H65" s="101">
        <v>80</v>
      </c>
      <c r="I65" s="102">
        <v>80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1.8</v>
      </c>
      <c r="G66" s="91" t="s">
        <v>90</v>
      </c>
      <c r="H66" s="92">
        <v>80</v>
      </c>
      <c r="I66" s="93">
        <v>144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1</v>
      </c>
      <c r="G67" s="94" t="s">
        <v>23</v>
      </c>
      <c r="H67" s="104">
        <v>50</v>
      </c>
      <c r="I67" s="105">
        <v>50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3.5</v>
      </c>
      <c r="G68" s="91" t="s">
        <v>94</v>
      </c>
      <c r="H68" s="92">
        <v>9</v>
      </c>
      <c r="I68" s="105">
        <v>31.5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>
        <v>0.5</v>
      </c>
      <c r="G69" s="91" t="s">
        <v>85</v>
      </c>
      <c r="H69" s="92">
        <v>10</v>
      </c>
      <c r="I69" s="105">
        <v>5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>
        <v>4.5</v>
      </c>
      <c r="G70" s="91" t="s">
        <v>70</v>
      </c>
      <c r="H70" s="92">
        <v>5</v>
      </c>
      <c r="I70" s="105">
        <v>22.5</v>
      </c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>
        <v>0.6</v>
      </c>
      <c r="G71" s="91" t="s">
        <v>90</v>
      </c>
      <c r="H71" s="92">
        <v>80</v>
      </c>
      <c r="I71" s="105">
        <v>48</v>
      </c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>
        <v>1.8</v>
      </c>
      <c r="G72" s="91" t="s">
        <v>90</v>
      </c>
      <c r="H72" s="92">
        <v>80</v>
      </c>
      <c r="I72" s="105">
        <v>144</v>
      </c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>
        <v>0.2</v>
      </c>
      <c r="G73" s="91" t="s">
        <v>23</v>
      </c>
      <c r="H73" s="92">
        <v>50</v>
      </c>
      <c r="I73" s="105">
        <v>10</v>
      </c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>
        <v>0.4</v>
      </c>
      <c r="G74" s="91" t="s">
        <v>92</v>
      </c>
      <c r="H74" s="92">
        <v>68</v>
      </c>
      <c r="I74" s="105">
        <v>27.200000000000003</v>
      </c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>
        <v>0.5</v>
      </c>
      <c r="G75" s="91" t="s">
        <v>90</v>
      </c>
      <c r="H75" s="92">
        <v>80</v>
      </c>
      <c r="I75" s="105">
        <v>40</v>
      </c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>
        <v>0.2</v>
      </c>
      <c r="G76" s="91" t="s">
        <v>94</v>
      </c>
      <c r="H76" s="92">
        <v>9</v>
      </c>
      <c r="I76" s="105">
        <v>1.8</v>
      </c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>
        <v>3</v>
      </c>
      <c r="G77" s="91" t="s">
        <v>94</v>
      </c>
      <c r="H77" s="92">
        <v>9</v>
      </c>
      <c r="I77" s="105">
        <v>27</v>
      </c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>
        <v>1</v>
      </c>
      <c r="G78" s="91" t="s">
        <v>90</v>
      </c>
      <c r="H78" s="92">
        <v>80</v>
      </c>
      <c r="I78" s="105">
        <v>80</v>
      </c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>
        <v>2</v>
      </c>
      <c r="G79" s="91" t="s">
        <v>18</v>
      </c>
      <c r="H79" s="92">
        <v>9</v>
      </c>
      <c r="I79" s="105">
        <v>18</v>
      </c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>
        <v>2</v>
      </c>
      <c r="G80" s="91" t="s">
        <v>20</v>
      </c>
      <c r="H80" s="92">
        <v>1</v>
      </c>
      <c r="I80" s="105">
        <v>2</v>
      </c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>
        <v>1</v>
      </c>
      <c r="G81" s="91" t="s">
        <v>18</v>
      </c>
      <c r="H81" s="92">
        <v>9</v>
      </c>
      <c r="I81" s="105">
        <v>9</v>
      </c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>
        <v>0.6</v>
      </c>
      <c r="G82" s="91" t="s">
        <v>92</v>
      </c>
      <c r="H82" s="92">
        <v>68</v>
      </c>
      <c r="I82" s="105">
        <v>40.799999999999997</v>
      </c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>
        <v>1</v>
      </c>
      <c r="G83" s="91" t="s">
        <v>94</v>
      </c>
      <c r="H83" s="92">
        <v>9</v>
      </c>
      <c r="I83" s="105">
        <v>9</v>
      </c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>
        <v>0.5</v>
      </c>
      <c r="G84" s="91" t="s">
        <v>18</v>
      </c>
      <c r="H84" s="92">
        <v>9</v>
      </c>
      <c r="I84" s="105">
        <v>4.5</v>
      </c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>
        <v>0.2</v>
      </c>
      <c r="G85" s="91" t="s">
        <v>94</v>
      </c>
      <c r="H85" s="92">
        <v>9</v>
      </c>
      <c r="I85" s="105">
        <v>1.8</v>
      </c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>
        <v>1</v>
      </c>
      <c r="G86" s="91" t="s">
        <v>94</v>
      </c>
      <c r="H86" s="92">
        <v>9</v>
      </c>
      <c r="I86" s="105">
        <v>9</v>
      </c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>
        <v>0.2</v>
      </c>
      <c r="G87" s="91" t="s">
        <v>96</v>
      </c>
      <c r="H87" s="92">
        <v>12</v>
      </c>
      <c r="I87" s="105">
        <v>2.4000000000000004</v>
      </c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>
        <v>0.6</v>
      </c>
      <c r="G88" s="91" t="s">
        <v>94</v>
      </c>
      <c r="H88" s="92">
        <v>9</v>
      </c>
      <c r="I88" s="105">
        <v>5.3999999999999995</v>
      </c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448.5</v>
      </c>
      <c r="C130" s="122"/>
      <c r="D130" s="121"/>
      <c r="E130" s="123">
        <f>SUM(E9:E129)</f>
        <v>812.85</v>
      </c>
      <c r="F130" s="124">
        <f>SUM(F9:F129)</f>
        <v>330.29999999999995</v>
      </c>
      <c r="G130" s="82"/>
      <c r="H130" s="125"/>
      <c r="I130" s="125">
        <f>SUM(I9:I129)</f>
        <v>4648.1000000000004</v>
      </c>
      <c r="J130" s="83"/>
      <c r="K130" s="83"/>
      <c r="L130" s="126"/>
      <c r="M130" s="126">
        <f>SUM(M9:M129)</f>
        <v>406</v>
      </c>
      <c r="N130" s="127">
        <f>SUM(N9:N129)</f>
        <v>20339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sheetProtection algorithmName="SHA-512" hashValue="BD98PvvmCIuoPh7uSDZ9HHfTfDImZOWdj4VYGNrskTHfRC0O9/UsLM9BCHTDO1yjCmS2kwWxxTqdllCmQsKXFQ==" saltValue="fTOWOtzpY312KKmEsoBQ+w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4366B-15D9-43F1-A378-515F4C0C5C54}">
  <sheetPr codeName="Sheet46"/>
  <dimension ref="A1:Z130"/>
  <sheetViews>
    <sheetView tabSelected="1" zoomScale="80" zoomScaleNormal="80" workbookViewId="0">
      <selection activeCell="K1" sqref="K1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44180</v>
      </c>
      <c r="F1" s="189"/>
      <c r="G1" s="189"/>
    </row>
    <row r="2" spans="2:26" ht="18" x14ac:dyDescent="0.35">
      <c r="B2" s="190" t="s">
        <v>0</v>
      </c>
      <c r="C2" s="190"/>
      <c r="D2" s="1">
        <v>20000</v>
      </c>
    </row>
    <row r="3" spans="2:26" ht="18" x14ac:dyDescent="0.35">
      <c r="B3" s="190" t="s">
        <v>1</v>
      </c>
      <c r="C3" s="190"/>
      <c r="D3" s="77">
        <f>(D2-E130-I130)</f>
        <v>15464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30</v>
      </c>
      <c r="C9" s="87" t="s">
        <v>76</v>
      </c>
      <c r="D9" s="88">
        <v>2.2999999999999998</v>
      </c>
      <c r="E9" s="89">
        <v>69</v>
      </c>
      <c r="F9" s="90">
        <v>1000</v>
      </c>
      <c r="G9" s="91" t="s">
        <v>20</v>
      </c>
      <c r="H9" s="92">
        <v>1</v>
      </c>
      <c r="I9" s="93">
        <v>1000</v>
      </c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>
        <v>10</v>
      </c>
      <c r="C10" s="96" t="s">
        <v>77</v>
      </c>
      <c r="D10" s="97">
        <v>2.1</v>
      </c>
      <c r="E10" s="98">
        <v>21</v>
      </c>
      <c r="F10" s="90">
        <v>20</v>
      </c>
      <c r="G10" s="91" t="s">
        <v>89</v>
      </c>
      <c r="H10" s="92">
        <v>2.2000000000000002</v>
      </c>
      <c r="I10" s="93">
        <v>44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30</v>
      </c>
    </row>
    <row r="11" spans="2:26" ht="18" x14ac:dyDescent="0.35">
      <c r="B11" s="95">
        <v>100</v>
      </c>
      <c r="C11" s="96" t="s">
        <v>77</v>
      </c>
      <c r="D11" s="97">
        <v>2.1</v>
      </c>
      <c r="E11" s="98">
        <v>210</v>
      </c>
      <c r="F11" s="90">
        <v>13</v>
      </c>
      <c r="G11" s="91" t="s">
        <v>22</v>
      </c>
      <c r="H11" s="92">
        <v>84</v>
      </c>
      <c r="I11" s="93">
        <v>1092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1110</v>
      </c>
    </row>
    <row r="12" spans="2:26" ht="18" x14ac:dyDescent="0.35">
      <c r="B12" s="95">
        <v>1000</v>
      </c>
      <c r="C12" s="96" t="s">
        <v>77</v>
      </c>
      <c r="D12" s="97">
        <v>2.1</v>
      </c>
      <c r="E12" s="98">
        <v>2100</v>
      </c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20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1000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13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1140</v>
      </c>
      <c r="C130" s="122"/>
      <c r="D130" s="121"/>
      <c r="E130" s="123">
        <f>SUM(E9:E129)</f>
        <v>2400</v>
      </c>
      <c r="F130" s="124">
        <f>SUM(F9:F129)</f>
        <v>1033</v>
      </c>
      <c r="G130" s="82"/>
      <c r="H130" s="125"/>
      <c r="I130" s="125">
        <f>SUM(I9:I129)</f>
        <v>2136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sheetProtection algorithmName="SHA-512" hashValue="m//sGIa5apQPT0FwW3B6oD5Md6u7rrioXlOiUo2syj8MKaYMLXbSG5BMkxC1ahhVcr1G/72CWJ25HpQYj0149g==" saltValue="IMdnOuKHyf/x3l2RoLJAfg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FBCB5-CD67-4F16-A3BB-79D16E94C15E}">
  <sheetPr codeName="Sheet45"/>
  <dimension ref="A1:Z130"/>
  <sheetViews>
    <sheetView zoomScale="80" zoomScaleNormal="80" workbookViewId="0">
      <selection activeCell="E15" sqref="E15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44181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E560E-A100-4819-BB4D-9909E59127F5}">
  <sheetPr codeName="Sheet44"/>
  <dimension ref="A1:Z130"/>
  <sheetViews>
    <sheetView zoomScale="80" zoomScaleNormal="80" workbookViewId="0">
      <selection activeCell="C12" sqref="C12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44182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EA9A0-CBD8-4E3F-9E5F-F945E73961BB}">
  <sheetPr codeName="Sheet43"/>
  <dimension ref="A1:Z130"/>
  <sheetViews>
    <sheetView zoomScale="80" zoomScaleNormal="80" workbookViewId="0">
      <selection activeCell="E2" sqref="E2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44183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A6730-768D-4DEF-AD0A-B9B6FEFA6026}">
  <sheetPr codeName="Sheet42"/>
  <dimension ref="A1:Z130"/>
  <sheetViews>
    <sheetView topLeftCell="B1" zoomScale="80" zoomScaleNormal="80" workbookViewId="0">
      <selection activeCell="G11" sqref="G11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44184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9052C-05FB-45D8-AA32-00FC3413DDB5}">
  <sheetPr codeName="Sheet40"/>
  <dimension ref="A1:Z130"/>
  <sheetViews>
    <sheetView zoomScale="80" zoomScaleNormal="80" workbookViewId="0">
      <selection activeCell="I15" sqref="I15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44186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4B1AA-5AB0-449C-85D3-963089FF67AE}">
  <sheetPr codeName="Sheet41"/>
  <dimension ref="A1:Z130"/>
  <sheetViews>
    <sheetView zoomScale="80" zoomScaleNormal="80" workbookViewId="0">
      <selection activeCell="E2" sqref="E2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44187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E8D1F-1297-4F08-A8C7-EF23DD2F5EE8}">
  <sheetPr codeName="Sheet39"/>
  <dimension ref="A1:Z130"/>
  <sheetViews>
    <sheetView zoomScale="80" zoomScaleNormal="80" workbookViewId="0">
      <selection activeCell="D3" sqref="D3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44188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EB589-C995-42DF-A83B-C4E4E2D0FB69}">
  <sheetPr codeName="Sheet38"/>
  <dimension ref="A1:Z130"/>
  <sheetViews>
    <sheetView zoomScale="80" zoomScaleNormal="80" workbookViewId="0">
      <selection activeCell="E13" sqref="E13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44189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38FBC-1263-49C7-9E5B-A9BAEDB63713}">
  <sheetPr codeName="Sheet37"/>
  <dimension ref="A1:Z130"/>
  <sheetViews>
    <sheetView zoomScale="80" zoomScaleNormal="80" workbookViewId="0">
      <selection activeCell="D24" sqref="D24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44190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7BEDE-DEB0-4388-9CB4-7C043E1C68C8}">
  <sheetPr codeName="Sheet36"/>
  <dimension ref="A1:Z130"/>
  <sheetViews>
    <sheetView zoomScale="80" zoomScaleNormal="80" workbookViewId="0">
      <selection activeCell="E17" sqref="E17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44191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86B42-B0BB-4606-9CAD-43FB3B7FF7D3}">
  <sheetPr codeName="Sheet35"/>
  <dimension ref="A1:Z130"/>
  <sheetViews>
    <sheetView zoomScale="80" zoomScaleNormal="80" workbookViewId="0">
      <selection activeCell="G13" sqref="G13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44193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F51AD-47E1-43FD-8B18-5AF121ABB784}">
  <sheetPr codeName="Sheet34"/>
  <dimension ref="A1:Z130"/>
  <sheetViews>
    <sheetView zoomScale="80" zoomScaleNormal="80" workbookViewId="0">
      <selection activeCell="I15" sqref="I15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44194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0F095-1F76-4ED6-9199-C7D6F3328AA9}">
  <sheetPr codeName="Sheet59"/>
  <dimension ref="A1:Z130"/>
  <sheetViews>
    <sheetView zoomScale="80" zoomScaleNormal="80" workbookViewId="0">
      <selection activeCell="L5" sqref="L5:Q9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44195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1EC2-589D-456B-AF17-C5AF99EB074E}">
  <sheetPr codeName="Sheet60"/>
  <dimension ref="A1:Z130"/>
  <sheetViews>
    <sheetView zoomScale="80" zoomScaleNormal="80" workbookViewId="0">
      <selection activeCell="E2" sqref="E2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44196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47A36-DC67-4668-8692-1D89D83A2101}">
  <sheetPr codeName="Sheet8"/>
  <dimension ref="A1:Q29"/>
  <sheetViews>
    <sheetView showZeros="0" zoomScale="98" zoomScaleNormal="98" workbookViewId="0">
      <selection activeCell="H14" sqref="H14:I14"/>
    </sheetView>
  </sheetViews>
  <sheetFormatPr defaultColWidth="8.88671875" defaultRowHeight="14.4" x14ac:dyDescent="0.3"/>
  <cols>
    <col min="1" max="1" width="10.5546875" style="37" customWidth="1"/>
    <col min="2" max="2" width="9.33203125" style="37" customWidth="1"/>
    <col min="3" max="3" width="11.33203125" style="37" customWidth="1"/>
    <col min="4" max="4" width="11.6640625" style="37" customWidth="1"/>
    <col min="5" max="5" width="10.5546875" style="37" customWidth="1"/>
    <col min="6" max="6" width="12.6640625" style="37" customWidth="1"/>
    <col min="7" max="7" width="20.33203125" style="37" customWidth="1"/>
    <col min="8" max="8" width="9.6640625" style="37" customWidth="1"/>
    <col min="9" max="9" width="8.6640625" style="37" customWidth="1"/>
    <col min="10" max="10" width="8.88671875" style="37"/>
    <col min="11" max="11" width="21.88671875" style="37" customWidth="1"/>
    <col min="12" max="12" width="11.109375" style="37" customWidth="1"/>
    <col min="13" max="13" width="10.88671875" style="37" customWidth="1"/>
    <col min="14" max="16384" width="8.88671875" style="37"/>
  </cols>
  <sheetData>
    <row r="1" spans="1:17" x14ac:dyDescent="0.3">
      <c r="A1" s="195"/>
      <c r="B1" s="196"/>
      <c r="C1" s="196"/>
      <c r="D1" s="197"/>
      <c r="E1" s="37" cm="1">
        <f t="array" ref="E1">IF($H$10="NO",_xlfn.SWITCH(C1,'Price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List'!$C$76,0),_xlfn.SWITCH(C1,'Price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</row>
    <row r="2" spans="1:17" x14ac:dyDescent="0.3">
      <c r="A2" s="198"/>
      <c r="B2" s="199"/>
      <c r="C2" s="199"/>
      <c r="D2" s="200"/>
      <c r="J2" s="71" t="s">
        <v>75</v>
      </c>
      <c r="K2" s="215">
        <f ca="1">TODAY()</f>
        <v>44180</v>
      </c>
      <c r="L2" s="215"/>
    </row>
    <row r="3" spans="1:17" x14ac:dyDescent="0.3">
      <c r="A3" s="198"/>
      <c r="B3" s="199"/>
      <c r="C3" s="199"/>
      <c r="D3" s="200"/>
    </row>
    <row r="4" spans="1:17" x14ac:dyDescent="0.3">
      <c r="A4" s="198"/>
      <c r="B4" s="199"/>
      <c r="C4" s="199"/>
      <c r="D4" s="200"/>
    </row>
    <row r="5" spans="1:17" ht="15.6" x14ac:dyDescent="0.3">
      <c r="A5" s="198"/>
      <c r="B5" s="199"/>
      <c r="C5" s="199"/>
      <c r="D5" s="200"/>
      <c r="J5" s="133"/>
      <c r="K5" s="219"/>
      <c r="L5" s="220" t="s">
        <v>104</v>
      </c>
      <c r="M5" s="134"/>
      <c r="N5" s="212"/>
      <c r="O5" s="212"/>
      <c r="P5" s="213"/>
      <c r="Q5" s="213"/>
    </row>
    <row r="6" spans="1:17" x14ac:dyDescent="0.3">
      <c r="A6" s="201"/>
      <c r="B6" s="202"/>
      <c r="C6" s="202"/>
      <c r="D6" s="203"/>
      <c r="J6" s="133"/>
      <c r="K6" s="219"/>
      <c r="L6" s="220"/>
      <c r="M6" s="134"/>
    </row>
    <row r="7" spans="1:17" ht="14.4" customHeight="1" x14ac:dyDescent="0.3">
      <c r="A7" s="209"/>
      <c r="B7" s="210"/>
      <c r="C7" s="210"/>
      <c r="D7" s="211"/>
      <c r="J7" s="133"/>
      <c r="K7" s="219"/>
      <c r="L7" s="220"/>
      <c r="M7" s="134"/>
    </row>
    <row r="8" spans="1:17" ht="14.4" customHeight="1" x14ac:dyDescent="0.3">
      <c r="A8" s="198"/>
      <c r="B8" s="199"/>
      <c r="C8" s="199"/>
      <c r="D8" s="200"/>
      <c r="J8" s="133"/>
      <c r="K8" s="133"/>
      <c r="L8" s="134"/>
      <c r="M8" s="134"/>
    </row>
    <row r="9" spans="1:17" ht="14.4" customHeight="1" x14ac:dyDescent="0.3">
      <c r="A9" s="198"/>
      <c r="B9" s="199"/>
      <c r="C9" s="199"/>
      <c r="D9" s="200"/>
    </row>
    <row r="10" spans="1:17" ht="28.2" customHeight="1" x14ac:dyDescent="0.3">
      <c r="A10" s="201"/>
      <c r="B10" s="202"/>
      <c r="C10" s="202"/>
      <c r="D10" s="203"/>
      <c r="F10" s="217"/>
      <c r="G10" s="217"/>
      <c r="H10" s="214" t="s">
        <v>79</v>
      </c>
      <c r="M10" s="218" t="s">
        <v>79</v>
      </c>
    </row>
    <row r="11" spans="1:17" ht="17.399999999999999" customHeight="1" thickBot="1" x14ac:dyDescent="0.4">
      <c r="A11" s="206">
        <f ca="1">TODAY()</f>
        <v>44180</v>
      </c>
      <c r="B11" s="207"/>
      <c r="C11" s="207"/>
      <c r="D11" s="208"/>
      <c r="F11" s="217"/>
      <c r="G11" s="217"/>
      <c r="H11" s="214"/>
      <c r="M11" s="218"/>
    </row>
    <row r="12" spans="1:17" ht="19.2" customHeight="1" thickTop="1" x14ac:dyDescent="0.3">
      <c r="A12" s="135" t="s">
        <v>61</v>
      </c>
      <c r="B12" s="136" t="s">
        <v>62</v>
      </c>
      <c r="C12" s="136" t="s">
        <v>63</v>
      </c>
      <c r="D12" s="137" t="s">
        <v>60</v>
      </c>
    </row>
    <row r="13" spans="1:17" ht="16.95" customHeight="1" x14ac:dyDescent="0.3">
      <c r="A13" s="67"/>
      <c r="B13" s="68"/>
      <c r="C13" s="69"/>
      <c r="D13" s="70"/>
      <c r="F13" s="132"/>
      <c r="G13" s="132"/>
    </row>
    <row r="14" spans="1:17" ht="23.4" x14ac:dyDescent="0.3">
      <c r="A14" s="131"/>
      <c r="B14" s="138"/>
      <c r="C14" s="139" cm="1">
        <f t="array" ref="C14">IF($H$10="NO",_xlfn.SWITCH(A14,'Price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List'!$C$76,0),_xlfn.SWITCH(A14,'Price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14" s="140">
        <f>C14*B14</f>
        <v>0</v>
      </c>
      <c r="F14" s="221" t="s">
        <v>109</v>
      </c>
      <c r="G14" s="221"/>
      <c r="H14" s="222">
        <v>15464</v>
      </c>
      <c r="I14" s="222"/>
    </row>
    <row r="15" spans="1:17" ht="23.4" x14ac:dyDescent="0.3">
      <c r="A15" s="131"/>
      <c r="B15" s="141"/>
      <c r="C15" s="142" cm="1">
        <f t="array" ref="C15">IF($H$10="NO",_xlfn.SWITCH(A15,'Price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List'!$C$76,0),_xlfn.SWITCH(A15,'Price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15" s="143">
        <f t="shared" ref="D15:D23" si="0">C15*B15</f>
        <v>0</v>
      </c>
      <c r="F15" s="132"/>
      <c r="G15" s="132"/>
      <c r="H15" s="55"/>
    </row>
    <row r="16" spans="1:17" ht="23.4" x14ac:dyDescent="0.3">
      <c r="A16" s="131"/>
      <c r="B16" s="141"/>
      <c r="C16" s="142" cm="1">
        <f t="array" ref="C16">IF($H$10="NO",_xlfn.SWITCH(A16,'Price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List'!$C$76,0),_xlfn.SWITCH(A16,'Price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16" s="143">
        <f t="shared" si="0"/>
        <v>0</v>
      </c>
    </row>
    <row r="17" spans="1:4" ht="23.4" x14ac:dyDescent="0.3">
      <c r="A17" s="131"/>
      <c r="B17" s="141"/>
      <c r="C17" s="142" cm="1">
        <f t="array" ref="C17">IF($H$10="NO",_xlfn.SWITCH(A17,'Price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List'!$C$76,0),_xlfn.SWITCH(A17,'Price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17" s="143">
        <f t="shared" si="0"/>
        <v>0</v>
      </c>
    </row>
    <row r="18" spans="1:4" ht="23.4" x14ac:dyDescent="0.3">
      <c r="A18" s="131"/>
      <c r="B18" s="141"/>
      <c r="C18" s="142" cm="1">
        <f t="array" ref="C18">IF($H$10="NO",_xlfn.SWITCH(A18,'Price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List'!$C$76,0),_xlfn.SWITCH(A18,'Price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18" s="143">
        <f t="shared" si="0"/>
        <v>0</v>
      </c>
    </row>
    <row r="19" spans="1:4" ht="23.4" x14ac:dyDescent="0.3">
      <c r="A19" s="131"/>
      <c r="B19" s="141"/>
      <c r="C19" s="142" cm="1">
        <f t="array" ref="C19">IF($H$10="NO",_xlfn.SWITCH(A19,'Price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List'!$C$76,0),_xlfn.SWITCH(A19,'Price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19" s="143">
        <f t="shared" si="0"/>
        <v>0</v>
      </c>
    </row>
    <row r="20" spans="1:4" ht="23.4" x14ac:dyDescent="0.3">
      <c r="A20" s="131"/>
      <c r="B20" s="141"/>
      <c r="C20" s="142" cm="1">
        <f t="array" ref="C20">IF($H$10="NO",_xlfn.SWITCH(A20,'Price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List'!$C$76,0),_xlfn.SWITCH(A20,'Price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20" s="143">
        <f t="shared" si="0"/>
        <v>0</v>
      </c>
    </row>
    <row r="21" spans="1:4" ht="23.4" x14ac:dyDescent="0.3">
      <c r="A21" s="131"/>
      <c r="B21" s="141"/>
      <c r="C21" s="142" cm="1">
        <f t="array" ref="C21">IF($H$10="NO",_xlfn.SWITCH(A21,'Price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List'!$C$76,0),_xlfn.SWITCH(A21,'Price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21" s="143">
        <f t="shared" si="0"/>
        <v>0</v>
      </c>
    </row>
    <row r="22" spans="1:4" ht="23.4" x14ac:dyDescent="0.3">
      <c r="A22" s="131"/>
      <c r="B22" s="141"/>
      <c r="C22" s="142" cm="1">
        <f t="array" ref="C22">IF($H$10="NO",_xlfn.SWITCH(A22,'Price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List'!$C$76,0),_xlfn.SWITCH(A22,'Price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22" s="143">
        <f t="shared" si="0"/>
        <v>0</v>
      </c>
    </row>
    <row r="23" spans="1:4" ht="23.4" x14ac:dyDescent="0.3">
      <c r="A23" s="131"/>
      <c r="B23" s="141"/>
      <c r="C23" s="142" cm="1">
        <f t="array" ref="C23">IF($H$10="NO",_xlfn.SWITCH(A23,'Price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List'!$C$76,0),_xlfn.SWITCH(A23,'Price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23" s="143">
        <f t="shared" si="0"/>
        <v>0</v>
      </c>
    </row>
    <row r="24" spans="1:4" ht="16.2" thickBot="1" x14ac:dyDescent="0.35">
      <c r="A24" s="56"/>
      <c r="B24" s="57"/>
      <c r="C24" s="58"/>
      <c r="D24" s="59"/>
    </row>
    <row r="25" spans="1:4" s="145" customFormat="1" ht="21.6" customHeight="1" thickBot="1" x14ac:dyDescent="0.5">
      <c r="A25" s="144" t="s">
        <v>57</v>
      </c>
      <c r="B25" s="162">
        <f>SUM(B14:B23)</f>
        <v>0</v>
      </c>
      <c r="C25" s="204">
        <f>SUM(D14:D23)</f>
        <v>0</v>
      </c>
      <c r="D25" s="205"/>
    </row>
    <row r="26" spans="1:4" ht="13.2" customHeight="1" thickTop="1" x14ac:dyDescent="0.3">
      <c r="A26" s="66"/>
      <c r="B26" s="64"/>
      <c r="C26" s="64"/>
      <c r="D26" s="65"/>
    </row>
    <row r="27" spans="1:4" ht="23.4" x14ac:dyDescent="0.45">
      <c r="A27" s="216" t="s">
        <v>58</v>
      </c>
      <c r="B27" s="193"/>
      <c r="C27" s="193"/>
      <c r="D27" s="194"/>
    </row>
    <row r="28" spans="1:4" ht="24.6" x14ac:dyDescent="0.55000000000000004">
      <c r="A28" s="192" t="s">
        <v>59</v>
      </c>
      <c r="B28" s="193"/>
      <c r="C28" s="193"/>
      <c r="D28" s="194"/>
    </row>
    <row r="29" spans="1:4" ht="5.4" customHeight="1" thickBot="1" x14ac:dyDescent="0.35">
      <c r="A29" s="52"/>
      <c r="B29" s="53"/>
      <c r="C29" s="53"/>
      <c r="D29" s="54"/>
    </row>
  </sheetData>
  <sheetProtection algorithmName="SHA-512" hashValue="vuT45LpLyM/I/U/t02slKQRlKL3oRC1rmNezXkcaz4hbxiqgosBWAwN1bjrKmrivO/ERJ73qOMd/oKAlrTqQhA==" saltValue="ZhE3khGgFeTD4Uky+Css7g==" spinCount="100000" sheet="1" objects="1" scenarios="1"/>
  <mergeCells count="16">
    <mergeCell ref="N5:O5"/>
    <mergeCell ref="P5:Q5"/>
    <mergeCell ref="H10:H11"/>
    <mergeCell ref="K2:L2"/>
    <mergeCell ref="A27:D27"/>
    <mergeCell ref="F10:G11"/>
    <mergeCell ref="M10:M11"/>
    <mergeCell ref="K5:K7"/>
    <mergeCell ref="L5:L7"/>
    <mergeCell ref="F14:G14"/>
    <mergeCell ref="H14:I14"/>
    <mergeCell ref="A28:D28"/>
    <mergeCell ref="A1:D6"/>
    <mergeCell ref="C25:D25"/>
    <mergeCell ref="A11:D11"/>
    <mergeCell ref="A7:D10"/>
  </mergeCells>
  <conditionalFormatting sqref="H10">
    <cfRule type="containsText" dxfId="4" priority="9" operator="containsText" text="YES">
      <formula>NOT(ISERROR(SEARCH("YES",H10)))</formula>
    </cfRule>
    <cfRule type="containsText" dxfId="3" priority="11" operator="containsText" text="NO">
      <formula>NOT(ISERROR(SEARCH("NO",H10)))</formula>
    </cfRule>
    <cfRule type="expression" dxfId="2" priority="12">
      <formula>"NO"</formula>
    </cfRule>
  </conditionalFormatting>
  <conditionalFormatting sqref="M10:M11">
    <cfRule type="containsText" dxfId="1" priority="7" operator="containsText" text="YES">
      <formula>NOT(ISERROR(SEARCH("YES",M10)))</formula>
    </cfRule>
  </conditionalFormatting>
  <conditionalFormatting sqref="L5:L7">
    <cfRule type="cellIs" dxfId="0" priority="1" operator="equal">
      <formula>"OFF"</formula>
    </cfRule>
  </conditionalFormatting>
  <printOptions horizontalCentered="1"/>
  <pageMargins left="0.15748031496062992" right="0.15748031496062992" top="0.15748031496062992" bottom="0.15748031496062992" header="0.11811023622047245" footer="0.11811023622047245"/>
  <pageSetup paperSize="134" scale="55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1079" r:id="rId4" name="PrinterOff">
          <controlPr defaultSize="0" autoLine="0" r:id="rId5">
            <anchor moveWithCells="1">
              <from>
                <xdr:col>10</xdr:col>
                <xdr:colOff>0</xdr:colOff>
                <xdr:row>4</xdr:row>
                <xdr:rowOff>0</xdr:rowOff>
              </from>
              <to>
                <xdr:col>10</xdr:col>
                <xdr:colOff>1470660</xdr:colOff>
                <xdr:row>7</xdr:row>
                <xdr:rowOff>7620</xdr:rowOff>
              </to>
            </anchor>
          </controlPr>
        </control>
      </mc:Choice>
      <mc:Fallback>
        <control shapeId="1079" r:id="rId4" name="PrinterOff"/>
      </mc:Fallback>
    </mc:AlternateContent>
    <mc:AlternateContent xmlns:mc="http://schemas.openxmlformats.org/markup-compatibility/2006">
      <mc:Choice Requires="x14">
        <control shapeId="1061" r:id="rId6" name="DealerPrices">
          <controlPr defaultSize="0" autoLine="0" r:id="rId7">
            <anchor moveWithCells="1">
              <from>
                <xdr:col>5</xdr:col>
                <xdr:colOff>0</xdr:colOff>
                <xdr:row>8</xdr:row>
                <xdr:rowOff>175260</xdr:rowOff>
              </from>
              <to>
                <xdr:col>6</xdr:col>
                <xdr:colOff>1348740</xdr:colOff>
                <xdr:row>11</xdr:row>
                <xdr:rowOff>30480</xdr:rowOff>
              </to>
            </anchor>
          </controlPr>
        </control>
      </mc:Choice>
      <mc:Fallback>
        <control shapeId="1061" r:id="rId6" name="DealerPrices"/>
      </mc:Fallback>
    </mc:AlternateContent>
    <mc:AlternateContent xmlns:mc="http://schemas.openxmlformats.org/markup-compatibility/2006">
      <mc:Choice Requires="x14">
        <control shapeId="1073" r:id="rId8" name="ManualPriceOverride">
          <controlPr defaultSize="0" autoLine="0" r:id="rId9">
            <anchor moveWithCells="1">
              <from>
                <xdr:col>10</xdr:col>
                <xdr:colOff>0</xdr:colOff>
                <xdr:row>9</xdr:row>
                <xdr:rowOff>0</xdr:rowOff>
              </from>
              <to>
                <xdr:col>11</xdr:col>
                <xdr:colOff>723900</xdr:colOff>
                <xdr:row>11</xdr:row>
                <xdr:rowOff>7620</xdr:rowOff>
              </to>
            </anchor>
          </controlPr>
        </control>
      </mc:Choice>
      <mc:Fallback>
        <control shapeId="1073" r:id="rId8" name="ManualPriceOverride"/>
      </mc:Fallback>
    </mc:AlternateContent>
    <mc:AlternateContent xmlns:mc="http://schemas.openxmlformats.org/markup-compatibility/2006">
      <mc:Choice Requires="x14">
        <control shapeId="1035" r:id="rId10" name="Button 11">
          <controlPr defaultSize="0" print="0" autoFill="0" autoPict="0" macro="[0]!InsertNonFerrous">
            <anchor moveWithCells="1" sizeWithCells="1">
              <from>
                <xdr:col>5</xdr:col>
                <xdr:colOff>0</xdr:colOff>
                <xdr:row>1</xdr:row>
                <xdr:rowOff>175260</xdr:rowOff>
              </from>
              <to>
                <xdr:col>6</xdr:col>
                <xdr:colOff>632460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1" name="Button 17">
          <controlPr defaultSize="0" print="0" autoFill="0" autoPict="0" macro="[0]!ClearSlip">
            <anchor moveWithCells="1" sizeWithCells="1">
              <from>
                <xdr:col>6</xdr:col>
                <xdr:colOff>723900</xdr:colOff>
                <xdr:row>1</xdr:row>
                <xdr:rowOff>175260</xdr:rowOff>
              </from>
              <to>
                <xdr:col>7</xdr:col>
                <xdr:colOff>655320</xdr:colOff>
                <xdr:row>4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6" r:id="rId12" name="Button 62">
          <controlPr defaultSize="0" print="0" autoFill="0" autoPict="0" macro="[0]!ReprintReceipt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6</xdr:col>
                <xdr:colOff>632460</xdr:colOff>
                <xdr:row>7</xdr:row>
                <xdr:rowOff>30480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C1E7034-2580-4601-8E5F-0453876A2AC6}">
          <x14:formula1>
            <xm:f>Formulas!$B$7:$B$8</xm:f>
          </x14:formula1>
          <xm:sqref>M10:M11 H10:H11</xm:sqref>
        </x14:dataValidation>
        <x14:dataValidation type="list" allowBlank="1" showInputMessage="1" showErrorMessage="1" xr:uid="{68B20167-5C95-4F8D-9600-2235FEEBF400}">
          <x14:formula1>
            <xm:f>'Price List'!$B$5:$B$76</xm:f>
          </x14:formula1>
          <xm:sqref>A14:A23</xm:sqref>
        </x14:dataValidation>
        <x14:dataValidation type="list" allowBlank="1" showInputMessage="1" showErrorMessage="1" xr:uid="{156CE4F5-D1D8-492A-AC31-5C2CD6C4C890}">
          <x14:formula1>
            <xm:f>'Price List'!$H$4:$H$5</xm:f>
          </x14:formula1>
          <xm:sqref>L5:L7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D783D-D509-4C9D-9D69-64D9449F0E8C}">
  <sheetPr codeName="Sheet6"/>
  <dimension ref="A2:Q53"/>
  <sheetViews>
    <sheetView topLeftCell="A4" zoomScale="80" zoomScaleNormal="80" workbookViewId="0">
      <selection activeCell="H53" sqref="H53"/>
    </sheetView>
  </sheetViews>
  <sheetFormatPr defaultColWidth="9.109375" defaultRowHeight="14.4" x14ac:dyDescent="0.3"/>
  <cols>
    <col min="1" max="3" width="9.109375" style="37"/>
    <col min="4" max="4" width="19.5546875" style="37" customWidth="1"/>
    <col min="5" max="7" width="9.109375" style="37"/>
    <col min="8" max="8" width="22.109375" style="37" customWidth="1"/>
    <col min="9" max="9" width="9.109375" style="37"/>
    <col min="10" max="10" width="23" style="37" customWidth="1"/>
    <col min="11" max="11" width="9.109375" style="37"/>
    <col min="12" max="12" width="22.6640625" style="37" customWidth="1"/>
    <col min="13" max="13" width="9.109375" style="37"/>
    <col min="14" max="14" width="23.88671875" style="37" customWidth="1"/>
    <col min="15" max="16384" width="9.109375" style="37"/>
  </cols>
  <sheetData>
    <row r="2" spans="1:17" ht="25.8" x14ac:dyDescent="0.5">
      <c r="A2" s="223" t="s">
        <v>111</v>
      </c>
      <c r="B2" s="223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38"/>
    </row>
    <row r="3" spans="1:17" ht="15.6" x14ac:dyDescent="0.3">
      <c r="O3" s="39"/>
      <c r="P3" s="39"/>
      <c r="Q3" s="39"/>
    </row>
    <row r="4" spans="1:17" ht="21" x14ac:dyDescent="0.4">
      <c r="A4" s="39"/>
      <c r="B4" s="224" t="s">
        <v>2</v>
      </c>
      <c r="C4" s="224"/>
      <c r="D4" s="224"/>
      <c r="E4" s="39"/>
      <c r="F4" s="224" t="s">
        <v>3</v>
      </c>
      <c r="G4" s="224"/>
      <c r="H4" s="224"/>
      <c r="I4" s="39"/>
      <c r="J4" s="40" t="s">
        <v>5</v>
      </c>
      <c r="K4" s="39"/>
      <c r="L4" s="40" t="s">
        <v>4</v>
      </c>
      <c r="M4" s="39"/>
      <c r="N4" s="40" t="s">
        <v>16</v>
      </c>
      <c r="O4" s="39"/>
      <c r="P4" s="39"/>
      <c r="Q4" s="39"/>
    </row>
    <row r="5" spans="1:17" ht="15.6" x14ac:dyDescent="0.3">
      <c r="A5" s="39"/>
      <c r="B5" s="41"/>
      <c r="C5" s="39"/>
      <c r="D5" s="42"/>
      <c r="E5" s="39"/>
      <c r="F5" s="41"/>
      <c r="G5" s="39"/>
      <c r="H5" s="42"/>
      <c r="I5" s="39"/>
      <c r="J5" s="43"/>
      <c r="K5" s="39"/>
      <c r="L5" s="43"/>
      <c r="M5" s="39"/>
      <c r="N5" s="43"/>
      <c r="O5" s="39"/>
      <c r="P5" s="39"/>
      <c r="Q5" s="39"/>
    </row>
    <row r="6" spans="1:17" ht="15.6" x14ac:dyDescent="0.3">
      <c r="A6" s="39"/>
      <c r="B6" s="41" t="s">
        <v>10</v>
      </c>
      <c r="C6" s="39"/>
      <c r="D6" s="44">
        <v>25058</v>
      </c>
      <c r="E6" s="39"/>
      <c r="F6" s="41" t="s">
        <v>10</v>
      </c>
      <c r="G6" s="39"/>
      <c r="H6" s="44">
        <v>0</v>
      </c>
      <c r="I6" s="39"/>
      <c r="J6" s="43"/>
      <c r="K6" s="39"/>
      <c r="L6" s="43"/>
      <c r="M6" s="39"/>
      <c r="N6" s="43"/>
      <c r="O6" s="39"/>
      <c r="P6" s="39"/>
      <c r="Q6" s="39"/>
    </row>
    <row r="7" spans="1:17" ht="15.6" x14ac:dyDescent="0.3">
      <c r="A7" s="39"/>
      <c r="B7" s="41" t="s">
        <v>7</v>
      </c>
      <c r="C7" s="39"/>
      <c r="D7" s="44">
        <v>8020</v>
      </c>
      <c r="E7" s="39"/>
      <c r="F7" s="41" t="s">
        <v>7</v>
      </c>
      <c r="G7" s="39"/>
      <c r="H7" s="44">
        <v>0</v>
      </c>
      <c r="I7" s="39"/>
      <c r="J7" s="43"/>
      <c r="K7" s="39"/>
      <c r="L7" s="43"/>
      <c r="M7" s="39"/>
      <c r="N7" s="43"/>
      <c r="O7" s="39"/>
      <c r="P7" s="39"/>
      <c r="Q7" s="39"/>
    </row>
    <row r="8" spans="1:17" ht="15.6" x14ac:dyDescent="0.3">
      <c r="A8" s="45" t="s">
        <v>17</v>
      </c>
      <c r="B8" s="46"/>
      <c r="C8" s="47"/>
      <c r="D8" s="48">
        <f>SUM(D6:D7)</f>
        <v>33078</v>
      </c>
      <c r="E8" s="39"/>
      <c r="F8" s="46"/>
      <c r="G8" s="47"/>
      <c r="H8" s="48">
        <f>SUM(H6:H7)</f>
        <v>0</v>
      </c>
      <c r="I8" s="39"/>
      <c r="J8" s="48">
        <v>2720</v>
      </c>
      <c r="K8" s="39"/>
      <c r="L8" s="48">
        <v>6280</v>
      </c>
      <c r="M8" s="39"/>
      <c r="N8" s="44">
        <f>(H8-D8-J8-L8)</f>
        <v>-42078</v>
      </c>
    </row>
    <row r="11" spans="1:17" ht="25.8" x14ac:dyDescent="0.5">
      <c r="A11" s="223" t="s">
        <v>112</v>
      </c>
      <c r="B11" s="223"/>
      <c r="C11" s="223"/>
      <c r="D11" s="223"/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38"/>
    </row>
    <row r="12" spans="1:17" ht="15.6" x14ac:dyDescent="0.3">
      <c r="O12" s="39"/>
    </row>
    <row r="13" spans="1:17" ht="21" x14ac:dyDescent="0.4">
      <c r="A13" s="39"/>
      <c r="B13" s="224" t="s">
        <v>2</v>
      </c>
      <c r="C13" s="224"/>
      <c r="D13" s="224"/>
      <c r="E13" s="39"/>
      <c r="F13" s="224" t="s">
        <v>3</v>
      </c>
      <c r="G13" s="224"/>
      <c r="H13" s="224"/>
      <c r="I13" s="39"/>
      <c r="J13" s="40" t="s">
        <v>5</v>
      </c>
      <c r="K13" s="39"/>
      <c r="L13" s="40" t="s">
        <v>4</v>
      </c>
      <c r="M13" s="39"/>
      <c r="N13" s="40" t="s">
        <v>16</v>
      </c>
      <c r="O13" s="39"/>
    </row>
    <row r="14" spans="1:17" ht="15.6" x14ac:dyDescent="0.3">
      <c r="A14" s="39"/>
      <c r="B14" s="41"/>
      <c r="C14" s="39"/>
      <c r="D14" s="42"/>
      <c r="E14" s="39"/>
      <c r="F14" s="41"/>
      <c r="G14" s="39"/>
      <c r="H14" s="42"/>
      <c r="I14" s="39"/>
      <c r="J14" s="43"/>
      <c r="K14" s="39"/>
      <c r="L14" s="43"/>
      <c r="M14" s="39"/>
      <c r="N14" s="43"/>
      <c r="O14" s="39"/>
    </row>
    <row r="15" spans="1:17" ht="15.6" x14ac:dyDescent="0.3">
      <c r="A15" s="39"/>
      <c r="B15" s="41" t="s">
        <v>10</v>
      </c>
      <c r="C15" s="39"/>
      <c r="D15" s="44">
        <v>40678</v>
      </c>
      <c r="E15" s="39"/>
      <c r="F15" s="41" t="s">
        <v>10</v>
      </c>
      <c r="G15" s="39"/>
      <c r="H15" s="154">
        <v>71976</v>
      </c>
      <c r="I15" s="39"/>
      <c r="J15" s="43"/>
      <c r="K15" s="39"/>
      <c r="L15" s="43"/>
      <c r="M15" s="39"/>
      <c r="N15" s="43"/>
      <c r="O15" s="39"/>
    </row>
    <row r="16" spans="1:17" ht="15.6" x14ac:dyDescent="0.3">
      <c r="A16" s="39"/>
      <c r="B16" s="41" t="s">
        <v>7</v>
      </c>
      <c r="C16" s="39"/>
      <c r="D16" s="44">
        <v>7398</v>
      </c>
      <c r="E16" s="39"/>
      <c r="F16" s="41" t="s">
        <v>7</v>
      </c>
      <c r="G16" s="39"/>
      <c r="H16" s="44">
        <v>16782</v>
      </c>
      <c r="I16" s="39"/>
      <c r="J16" s="43"/>
      <c r="K16" s="39"/>
      <c r="L16" s="43"/>
      <c r="M16" s="39"/>
      <c r="N16" s="43"/>
      <c r="O16" s="39"/>
    </row>
    <row r="17" spans="1:15" ht="15.6" x14ac:dyDescent="0.3">
      <c r="A17" s="45" t="s">
        <v>17</v>
      </c>
      <c r="B17" s="46"/>
      <c r="C17" s="47"/>
      <c r="D17" s="48">
        <f>SUM(D15:D16)</f>
        <v>48076</v>
      </c>
      <c r="E17" s="39"/>
      <c r="F17" s="46"/>
      <c r="G17" s="47"/>
      <c r="H17" s="48">
        <f>SUM(H15:H16)</f>
        <v>88758</v>
      </c>
      <c r="I17" s="39"/>
      <c r="J17" s="48">
        <v>4780</v>
      </c>
      <c r="K17" s="39"/>
      <c r="L17" s="155">
        <v>1510</v>
      </c>
      <c r="M17" s="39"/>
      <c r="N17" s="44">
        <f>(H17-D17-J17-L17)</f>
        <v>34392</v>
      </c>
    </row>
    <row r="20" spans="1:15" ht="25.8" x14ac:dyDescent="0.5">
      <c r="A20" s="223" t="s">
        <v>113</v>
      </c>
      <c r="B20" s="223"/>
      <c r="C20" s="223"/>
      <c r="D20" s="223"/>
      <c r="E20" s="223"/>
      <c r="F20" s="223"/>
      <c r="G20" s="223"/>
      <c r="H20" s="223"/>
      <c r="I20" s="223"/>
      <c r="J20" s="223"/>
      <c r="K20" s="223"/>
      <c r="L20" s="223"/>
      <c r="M20" s="223"/>
      <c r="N20" s="223"/>
      <c r="O20" s="49"/>
    </row>
    <row r="21" spans="1:15" ht="15.6" x14ac:dyDescent="0.3">
      <c r="O21" s="39"/>
    </row>
    <row r="22" spans="1:15" ht="21" x14ac:dyDescent="0.4">
      <c r="A22" s="39"/>
      <c r="B22" s="224" t="s">
        <v>2</v>
      </c>
      <c r="C22" s="224"/>
      <c r="D22" s="224"/>
      <c r="E22" s="39"/>
      <c r="F22" s="224" t="s">
        <v>3</v>
      </c>
      <c r="G22" s="224"/>
      <c r="H22" s="224"/>
      <c r="I22" s="39"/>
      <c r="J22" s="40" t="s">
        <v>5</v>
      </c>
      <c r="K22" s="39"/>
      <c r="L22" s="40" t="s">
        <v>4</v>
      </c>
      <c r="M22" s="39"/>
      <c r="N22" s="40" t="s">
        <v>16</v>
      </c>
      <c r="O22" s="39"/>
    </row>
    <row r="23" spans="1:15" ht="15.6" x14ac:dyDescent="0.3">
      <c r="A23" s="39"/>
      <c r="B23" s="41"/>
      <c r="C23" s="39"/>
      <c r="D23" s="42"/>
      <c r="E23" s="39"/>
      <c r="F23" s="41"/>
      <c r="G23" s="39"/>
      <c r="H23" s="42"/>
      <c r="I23" s="39"/>
      <c r="J23" s="43"/>
      <c r="K23" s="39"/>
      <c r="L23" s="43"/>
      <c r="M23" s="39"/>
      <c r="N23" s="43"/>
      <c r="O23" s="39"/>
    </row>
    <row r="24" spans="1:15" ht="15.6" x14ac:dyDescent="0.3">
      <c r="A24" s="39"/>
      <c r="B24" s="41" t="s">
        <v>10</v>
      </c>
      <c r="C24" s="39"/>
      <c r="D24" s="44">
        <v>6784</v>
      </c>
      <c r="E24" s="39"/>
      <c r="F24" s="41" t="s">
        <v>10</v>
      </c>
      <c r="G24" s="39"/>
      <c r="H24" s="44">
        <v>20339</v>
      </c>
      <c r="I24" s="39"/>
      <c r="J24" s="43"/>
      <c r="K24" s="39"/>
      <c r="L24" s="43"/>
      <c r="M24" s="39"/>
      <c r="N24" s="43"/>
      <c r="O24" s="39"/>
    </row>
    <row r="25" spans="1:15" ht="15.6" x14ac:dyDescent="0.3">
      <c r="A25" s="39"/>
      <c r="B25" s="41" t="s">
        <v>7</v>
      </c>
      <c r="C25" s="39"/>
      <c r="D25" s="44">
        <v>3213</v>
      </c>
      <c r="E25" s="39"/>
      <c r="F25" s="41" t="s">
        <v>7</v>
      </c>
      <c r="G25" s="39"/>
      <c r="H25" s="44">
        <v>0</v>
      </c>
      <c r="I25" s="39"/>
      <c r="J25" s="43"/>
      <c r="K25" s="39"/>
      <c r="L25" s="43"/>
      <c r="M25" s="39"/>
      <c r="N25" s="43"/>
      <c r="O25" s="39"/>
    </row>
    <row r="26" spans="1:15" ht="15.6" x14ac:dyDescent="0.3">
      <c r="A26" s="45" t="s">
        <v>17</v>
      </c>
      <c r="B26" s="46"/>
      <c r="C26" s="47"/>
      <c r="D26" s="48">
        <f>SUM(D24:D25)</f>
        <v>9997</v>
      </c>
      <c r="E26" s="39"/>
      <c r="F26" s="46"/>
      <c r="G26" s="47"/>
      <c r="H26" s="48">
        <f>SUM(H24:H25)</f>
        <v>20339</v>
      </c>
      <c r="I26" s="39"/>
      <c r="J26" s="48">
        <v>0</v>
      </c>
      <c r="K26" s="39"/>
      <c r="L26" s="155">
        <v>0</v>
      </c>
      <c r="M26" s="39"/>
      <c r="N26" s="44">
        <f>(H26-D26-J26-L26)</f>
        <v>10342</v>
      </c>
    </row>
    <row r="29" spans="1:15" ht="25.8" x14ac:dyDescent="0.5">
      <c r="A29" s="223" t="s">
        <v>115</v>
      </c>
      <c r="B29" s="223"/>
      <c r="C29" s="223"/>
      <c r="D29" s="223"/>
      <c r="E29" s="223"/>
      <c r="F29" s="223"/>
      <c r="G29" s="223"/>
      <c r="H29" s="223"/>
      <c r="I29" s="223"/>
      <c r="J29" s="223"/>
      <c r="K29" s="223"/>
      <c r="L29" s="223"/>
      <c r="M29" s="223"/>
      <c r="N29" s="223"/>
      <c r="O29" s="49"/>
    </row>
    <row r="30" spans="1:15" ht="15.6" x14ac:dyDescent="0.3">
      <c r="O30" s="39"/>
    </row>
    <row r="31" spans="1:15" ht="21" x14ac:dyDescent="0.4">
      <c r="A31" s="39"/>
      <c r="B31" s="224" t="s">
        <v>2</v>
      </c>
      <c r="C31" s="224"/>
      <c r="D31" s="224"/>
      <c r="E31" s="39"/>
      <c r="F31" s="224" t="s">
        <v>3</v>
      </c>
      <c r="G31" s="224"/>
      <c r="H31" s="224"/>
      <c r="I31" s="39"/>
      <c r="J31" s="40" t="s">
        <v>5</v>
      </c>
      <c r="K31" s="39"/>
      <c r="L31" s="40" t="s">
        <v>4</v>
      </c>
      <c r="M31" s="39"/>
      <c r="N31" s="40" t="s">
        <v>16</v>
      </c>
      <c r="O31" s="39"/>
    </row>
    <row r="32" spans="1:15" ht="15.6" x14ac:dyDescent="0.3">
      <c r="A32" s="39"/>
      <c r="B32" s="41"/>
      <c r="C32" s="39"/>
      <c r="D32" s="42"/>
      <c r="E32" s="39"/>
      <c r="F32" s="41"/>
      <c r="G32" s="39"/>
      <c r="H32" s="42"/>
      <c r="I32" s="39"/>
      <c r="J32" s="43"/>
      <c r="K32" s="39"/>
      <c r="L32" s="43"/>
      <c r="M32" s="39"/>
      <c r="N32" s="43"/>
      <c r="O32" s="39"/>
    </row>
    <row r="33" spans="1:15" ht="15.6" x14ac:dyDescent="0.3">
      <c r="A33" s="39"/>
      <c r="B33" s="41" t="s">
        <v>10</v>
      </c>
      <c r="C33" s="39"/>
      <c r="D33" s="44">
        <v>0</v>
      </c>
      <c r="E33" s="39"/>
      <c r="F33" s="41" t="s">
        <v>10</v>
      </c>
      <c r="G33" s="39"/>
      <c r="H33" s="44">
        <v>0</v>
      </c>
      <c r="I33" s="39"/>
      <c r="J33" s="43"/>
      <c r="K33" s="39"/>
      <c r="L33" s="43"/>
      <c r="M33" s="39"/>
      <c r="N33" s="43"/>
      <c r="O33" s="39"/>
    </row>
    <row r="34" spans="1:15" ht="15.6" x14ac:dyDescent="0.3">
      <c r="A34" s="39"/>
      <c r="B34" s="41" t="s">
        <v>7</v>
      </c>
      <c r="C34" s="39"/>
      <c r="D34" s="44">
        <v>0</v>
      </c>
      <c r="E34" s="39"/>
      <c r="F34" s="41" t="s">
        <v>7</v>
      </c>
      <c r="G34" s="39"/>
      <c r="H34" s="44">
        <v>0</v>
      </c>
      <c r="I34" s="39"/>
      <c r="J34" s="43"/>
      <c r="K34" s="39"/>
      <c r="L34" s="43"/>
      <c r="M34" s="39"/>
      <c r="N34" s="43"/>
      <c r="O34" s="39"/>
    </row>
    <row r="35" spans="1:15" ht="15.6" x14ac:dyDescent="0.3">
      <c r="A35" s="45" t="s">
        <v>17</v>
      </c>
      <c r="B35" s="46"/>
      <c r="C35" s="47"/>
      <c r="D35" s="48">
        <f>SUM(D33:D34)</f>
        <v>0</v>
      </c>
      <c r="E35" s="39"/>
      <c r="F35" s="46"/>
      <c r="G35" s="47"/>
      <c r="H35" s="48">
        <f>SUM(H33:H34)</f>
        <v>0</v>
      </c>
      <c r="I35" s="39"/>
      <c r="J35" s="48">
        <v>0</v>
      </c>
      <c r="K35" s="39"/>
      <c r="L35" s="155">
        <v>0</v>
      </c>
      <c r="M35" s="39"/>
      <c r="N35" s="44">
        <f>(H35-D35-J35-L35)</f>
        <v>0</v>
      </c>
    </row>
    <row r="38" spans="1:15" ht="25.8" x14ac:dyDescent="0.5">
      <c r="A38" s="223" t="s">
        <v>114</v>
      </c>
      <c r="B38" s="223"/>
      <c r="C38" s="223"/>
      <c r="D38" s="223"/>
      <c r="E38" s="223"/>
      <c r="F38" s="223"/>
      <c r="G38" s="223"/>
      <c r="H38" s="223"/>
      <c r="I38" s="223"/>
      <c r="J38" s="223"/>
      <c r="K38" s="223"/>
      <c r="L38" s="223"/>
      <c r="M38" s="223"/>
      <c r="N38" s="223"/>
      <c r="O38" s="49"/>
    </row>
    <row r="39" spans="1:15" ht="15.6" x14ac:dyDescent="0.3">
      <c r="O39" s="39"/>
    </row>
    <row r="40" spans="1:15" ht="21" x14ac:dyDescent="0.4">
      <c r="A40" s="39"/>
      <c r="B40" s="224" t="s">
        <v>2</v>
      </c>
      <c r="C40" s="224"/>
      <c r="D40" s="224"/>
      <c r="E40" s="39"/>
      <c r="F40" s="224" t="s">
        <v>3</v>
      </c>
      <c r="G40" s="224"/>
      <c r="H40" s="224"/>
      <c r="I40" s="39"/>
      <c r="J40" s="40" t="s">
        <v>5</v>
      </c>
      <c r="K40" s="39"/>
      <c r="L40" s="40" t="s">
        <v>4</v>
      </c>
      <c r="M40" s="39"/>
      <c r="N40" s="40" t="s">
        <v>16</v>
      </c>
      <c r="O40" s="39"/>
    </row>
    <row r="41" spans="1:15" ht="15.6" x14ac:dyDescent="0.3">
      <c r="A41" s="39"/>
      <c r="B41" s="41"/>
      <c r="C41" s="39"/>
      <c r="D41" s="42"/>
      <c r="E41" s="39"/>
      <c r="F41" s="41"/>
      <c r="G41" s="39"/>
      <c r="H41" s="42"/>
      <c r="I41" s="39"/>
      <c r="J41" s="43"/>
      <c r="K41" s="39"/>
      <c r="L41" s="43"/>
      <c r="M41" s="39"/>
      <c r="N41" s="43"/>
      <c r="O41" s="39"/>
    </row>
    <row r="42" spans="1:15" ht="15.6" x14ac:dyDescent="0.3">
      <c r="A42" s="39"/>
      <c r="B42" s="41" t="s">
        <v>10</v>
      </c>
      <c r="C42" s="39"/>
      <c r="D42" s="44">
        <v>0</v>
      </c>
      <c r="E42" s="39"/>
      <c r="F42" s="41" t="s">
        <v>10</v>
      </c>
      <c r="G42" s="39"/>
      <c r="H42" s="44">
        <v>0</v>
      </c>
      <c r="I42" s="39"/>
      <c r="J42" s="43"/>
      <c r="K42" s="39"/>
      <c r="L42" s="43"/>
      <c r="M42" s="39"/>
      <c r="N42" s="43"/>
      <c r="O42" s="39"/>
    </row>
    <row r="43" spans="1:15" ht="15.6" x14ac:dyDescent="0.3">
      <c r="A43" s="39"/>
      <c r="B43" s="41" t="s">
        <v>7</v>
      </c>
      <c r="C43" s="39"/>
      <c r="D43" s="44">
        <v>0</v>
      </c>
      <c r="E43" s="39"/>
      <c r="F43" s="41" t="s">
        <v>7</v>
      </c>
      <c r="G43" s="39"/>
      <c r="H43" s="44">
        <v>0</v>
      </c>
      <c r="I43" s="39"/>
      <c r="J43" s="43"/>
      <c r="K43" s="39"/>
      <c r="L43" s="43"/>
      <c r="M43" s="39"/>
      <c r="N43" s="43"/>
      <c r="O43" s="39"/>
    </row>
    <row r="44" spans="1:15" ht="15.6" x14ac:dyDescent="0.3">
      <c r="A44" s="45" t="s">
        <v>17</v>
      </c>
      <c r="B44" s="46"/>
      <c r="C44" s="47"/>
      <c r="D44" s="48">
        <f>SUM(D42:D43)</f>
        <v>0</v>
      </c>
      <c r="E44" s="39"/>
      <c r="F44" s="46"/>
      <c r="G44" s="47"/>
      <c r="H44" s="48">
        <f>SUM(H42:H43)</f>
        <v>0</v>
      </c>
      <c r="I44" s="39"/>
      <c r="J44" s="48">
        <v>0</v>
      </c>
      <c r="K44" s="39"/>
      <c r="L44" s="155">
        <v>0</v>
      </c>
      <c r="M44" s="39"/>
      <c r="N44" s="44">
        <f>(H44-D44-J44-L44)</f>
        <v>0</v>
      </c>
    </row>
    <row r="47" spans="1:15" ht="25.8" x14ac:dyDescent="0.5">
      <c r="A47" s="223" t="s">
        <v>110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49"/>
    </row>
    <row r="48" spans="1:15" ht="15.6" x14ac:dyDescent="0.3">
      <c r="O48" s="39"/>
    </row>
    <row r="49" spans="1:15" ht="21" x14ac:dyDescent="0.4">
      <c r="A49" s="39"/>
      <c r="B49" s="224" t="s">
        <v>2</v>
      </c>
      <c r="C49" s="224"/>
      <c r="D49" s="224"/>
      <c r="E49" s="39"/>
      <c r="F49" s="224" t="s">
        <v>3</v>
      </c>
      <c r="G49" s="224"/>
      <c r="H49" s="224"/>
      <c r="I49" s="39"/>
      <c r="J49" s="40" t="s">
        <v>5</v>
      </c>
      <c r="K49" s="39"/>
      <c r="L49" s="40" t="s">
        <v>4</v>
      </c>
      <c r="M49" s="39"/>
      <c r="N49" s="40" t="s">
        <v>16</v>
      </c>
      <c r="O49" s="39"/>
    </row>
    <row r="50" spans="1:15" ht="15.6" x14ac:dyDescent="0.3">
      <c r="A50" s="39"/>
      <c r="B50" s="41"/>
      <c r="C50" s="39"/>
      <c r="D50" s="42"/>
      <c r="E50" s="39"/>
      <c r="F50" s="41"/>
      <c r="G50" s="39"/>
      <c r="H50" s="42"/>
      <c r="I50" s="39"/>
      <c r="J50" s="43"/>
      <c r="K50" s="39"/>
      <c r="L50" s="43"/>
      <c r="M50" s="39"/>
      <c r="N50" s="43"/>
      <c r="O50" s="39"/>
    </row>
    <row r="51" spans="1:15" ht="15.6" x14ac:dyDescent="0.3">
      <c r="A51" s="39"/>
      <c r="B51" s="41" t="s">
        <v>10</v>
      </c>
      <c r="C51" s="39"/>
      <c r="D51" s="44">
        <f>SUM(D6,D15,D24,D33,D42)</f>
        <v>72520</v>
      </c>
      <c r="E51" s="39"/>
      <c r="F51" s="41" t="s">
        <v>10</v>
      </c>
      <c r="G51" s="39"/>
      <c r="H51" s="44">
        <f>SUM(H6,H15,H24,H33,H42)</f>
        <v>92315</v>
      </c>
      <c r="I51" s="39"/>
      <c r="J51" s="43"/>
      <c r="K51" s="39"/>
      <c r="L51" s="43"/>
      <c r="M51" s="39"/>
      <c r="N51" s="43"/>
      <c r="O51" s="39"/>
    </row>
    <row r="52" spans="1:15" ht="15.6" x14ac:dyDescent="0.3">
      <c r="A52" s="39"/>
      <c r="B52" s="41" t="s">
        <v>7</v>
      </c>
      <c r="C52" s="39"/>
      <c r="D52" s="44">
        <f>SUM(D7,D16,D25,D34,D43)</f>
        <v>18631</v>
      </c>
      <c r="E52" s="39"/>
      <c r="F52" s="41" t="s">
        <v>7</v>
      </c>
      <c r="G52" s="39"/>
      <c r="H52" s="44">
        <f>SUM(H7,H16,H25,H34,H43)</f>
        <v>16782</v>
      </c>
      <c r="I52" s="39"/>
      <c r="J52" s="43"/>
      <c r="K52" s="39"/>
      <c r="L52" s="43"/>
      <c r="M52" s="39"/>
      <c r="N52" s="43"/>
      <c r="O52" s="39"/>
    </row>
    <row r="53" spans="1:15" ht="15.6" x14ac:dyDescent="0.3">
      <c r="A53" s="45" t="s">
        <v>17</v>
      </c>
      <c r="B53" s="46"/>
      <c r="C53" s="47"/>
      <c r="D53" s="48">
        <f>SUM(D51:D52)</f>
        <v>91151</v>
      </c>
      <c r="E53" s="39"/>
      <c r="F53" s="46"/>
      <c r="G53" s="47"/>
      <c r="H53" s="48">
        <f>SUM(H51:H52)</f>
        <v>109097</v>
      </c>
      <c r="I53" s="39"/>
      <c r="J53" s="48">
        <f>SUM(J8,J17,J26,J35,J44)</f>
        <v>7500</v>
      </c>
      <c r="K53" s="39"/>
      <c r="L53" s="48">
        <f>SUM(L8,L17,L26,L35,L44)</f>
        <v>7790</v>
      </c>
      <c r="M53" s="39"/>
      <c r="N53" s="44">
        <f>(H53-D53-J53-L53)</f>
        <v>2656</v>
      </c>
    </row>
  </sheetData>
  <sheetProtection algorithmName="SHA-512" hashValue="7NoeYS1YnJ1BcPGVSE9REO87WaN6Fe8uKHPom3+XeZubyQQhH5nDbky1qUqMVTdx6MPxqD8VetgOvjRWpwPgbA==" saltValue="YrHayM+tA93mZdY1hhJ3yg==" spinCount="100000" sheet="1" objects="1" scenarios="1"/>
  <mergeCells count="18">
    <mergeCell ref="A20:N20"/>
    <mergeCell ref="B22:D22"/>
    <mergeCell ref="F22:H22"/>
    <mergeCell ref="A29:N29"/>
    <mergeCell ref="B31:D31"/>
    <mergeCell ref="F31:H31"/>
    <mergeCell ref="A2:N2"/>
    <mergeCell ref="B4:D4"/>
    <mergeCell ref="F4:H4"/>
    <mergeCell ref="A11:N11"/>
    <mergeCell ref="B13:D13"/>
    <mergeCell ref="F13:H13"/>
    <mergeCell ref="A38:N38"/>
    <mergeCell ref="B40:D40"/>
    <mergeCell ref="F40:H40"/>
    <mergeCell ref="A47:N47"/>
    <mergeCell ref="B49:D49"/>
    <mergeCell ref="F49:H49"/>
  </mergeCells>
  <conditionalFormatting sqref="N8">
    <cfRule type="colorScale" priority="11">
      <colorScale>
        <cfvo type="num" val="0"/>
        <cfvo type="num" val="0"/>
        <color rgb="FFFF3B3B"/>
        <color rgb="FF2CE61E"/>
      </colorScale>
    </cfRule>
    <cfRule type="colorScale" priority="12">
      <colorScale>
        <cfvo type="num" val="0"/>
        <cfvo type="num" val="0"/>
        <color rgb="FFFF0000"/>
        <color theme="9"/>
      </colorScale>
    </cfRule>
  </conditionalFormatting>
  <conditionalFormatting sqref="N26">
    <cfRule type="colorScale" priority="7">
      <colorScale>
        <cfvo type="num" val="0"/>
        <cfvo type="num" val="0"/>
        <color rgb="FFFF3B3B"/>
        <color rgb="FF2CE61E"/>
      </colorScale>
    </cfRule>
    <cfRule type="colorScale" priority="8">
      <colorScale>
        <cfvo type="num" val="0"/>
        <cfvo type="num" val="0"/>
        <color rgb="FFFF0000"/>
        <color theme="9"/>
      </colorScale>
    </cfRule>
  </conditionalFormatting>
  <conditionalFormatting sqref="N17">
    <cfRule type="colorScale" priority="9">
      <colorScale>
        <cfvo type="num" val="0"/>
        <cfvo type="num" val="0"/>
        <color rgb="FFFF3B3B"/>
        <color rgb="FF2CE61E"/>
      </colorScale>
    </cfRule>
    <cfRule type="colorScale" priority="10">
      <colorScale>
        <cfvo type="num" val="0"/>
        <cfvo type="num" val="0"/>
        <color rgb="FFFF0000"/>
        <color theme="9"/>
      </colorScale>
    </cfRule>
  </conditionalFormatting>
  <conditionalFormatting sqref="N53">
    <cfRule type="colorScale" priority="3">
      <colorScale>
        <cfvo type="num" val="0"/>
        <cfvo type="num" val="0"/>
        <color rgb="FFFF3B3B"/>
        <color rgb="FF2CE61E"/>
      </colorScale>
    </cfRule>
    <cfRule type="colorScale" priority="4">
      <colorScale>
        <cfvo type="num" val="0"/>
        <cfvo type="num" val="0"/>
        <color rgb="FFFF0000"/>
        <color theme="9"/>
      </colorScale>
    </cfRule>
  </conditionalFormatting>
  <conditionalFormatting sqref="N44">
    <cfRule type="colorScale" priority="5">
      <colorScale>
        <cfvo type="num" val="0"/>
        <cfvo type="num" val="0"/>
        <color rgb="FFFF3B3B"/>
        <color rgb="FF2CE61E"/>
      </colorScale>
    </cfRule>
    <cfRule type="colorScale" priority="6">
      <colorScale>
        <cfvo type="num" val="0"/>
        <cfvo type="num" val="0"/>
        <color rgb="FFFF0000"/>
        <color theme="9"/>
      </colorScale>
    </cfRule>
  </conditionalFormatting>
  <conditionalFormatting sqref="N35">
    <cfRule type="colorScale" priority="1">
      <colorScale>
        <cfvo type="num" val="0"/>
        <cfvo type="num" val="0"/>
        <color rgb="FFFF3B3B"/>
        <color rgb="FF2CE61E"/>
      </colorScale>
    </cfRule>
    <cfRule type="colorScale" priority="2">
      <colorScale>
        <cfvo type="num" val="0"/>
        <cfvo type="num" val="0"/>
        <color rgb="FFFF0000"/>
        <color theme="9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ulateSummaries">
                <anchor moveWithCells="1" sizeWithCells="1">
                  <from>
                    <xdr:col>1</xdr:col>
                    <xdr:colOff>7620</xdr:colOff>
                    <xdr:row>53</xdr:row>
                    <xdr:rowOff>175260</xdr:rowOff>
                  </from>
                  <to>
                    <xdr:col>4</xdr:col>
                    <xdr:colOff>0</xdr:colOff>
                    <xdr:row>57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13941-81B0-4030-BF90-CF43C36E28E2}">
  <sheetPr codeName="Sheet7"/>
  <dimension ref="B2:H75"/>
  <sheetViews>
    <sheetView topLeftCell="B1" zoomScale="110" zoomScaleNormal="110" workbookViewId="0">
      <selection activeCell="B4" sqref="B4"/>
    </sheetView>
  </sheetViews>
  <sheetFormatPr defaultColWidth="8.88671875" defaultRowHeight="14.4" x14ac:dyDescent="0.3"/>
  <cols>
    <col min="1" max="1" width="32.88671875" style="37" customWidth="1"/>
    <col min="2" max="2" width="37.6640625" style="37" bestFit="1" customWidth="1"/>
    <col min="3" max="3" width="21.33203125" style="37" customWidth="1"/>
    <col min="4" max="4" width="14.33203125" style="37" customWidth="1"/>
    <col min="5" max="7" width="8.88671875" style="37"/>
    <col min="8" max="8" width="14.109375" style="37" customWidth="1"/>
    <col min="9" max="9" width="14.88671875" style="37" customWidth="1"/>
    <col min="10" max="10" width="14.5546875" style="37" customWidth="1"/>
    <col min="11" max="16384" width="8.88671875" style="37"/>
  </cols>
  <sheetData>
    <row r="2" spans="2:8" ht="21" x14ac:dyDescent="0.4">
      <c r="B2" s="225" t="s">
        <v>56</v>
      </c>
      <c r="C2" s="225"/>
      <c r="D2" s="225"/>
    </row>
    <row r="3" spans="2:8" ht="15" thickBot="1" x14ac:dyDescent="0.35"/>
    <row r="4" spans="2:8" ht="15.6" thickTop="1" thickBot="1" x14ac:dyDescent="0.35">
      <c r="B4" s="51" t="s">
        <v>21</v>
      </c>
      <c r="C4" s="51" t="s">
        <v>81</v>
      </c>
      <c r="D4" s="51" t="s">
        <v>80</v>
      </c>
      <c r="F4" s="75" t="s">
        <v>78</v>
      </c>
      <c r="H4" s="75" t="s">
        <v>103</v>
      </c>
    </row>
    <row r="5" spans="2:8" ht="15.6" thickTop="1" thickBot="1" x14ac:dyDescent="0.35">
      <c r="B5" s="50" t="s">
        <v>88</v>
      </c>
      <c r="C5" s="60">
        <v>0.9</v>
      </c>
      <c r="D5" s="62">
        <v>1.2</v>
      </c>
      <c r="F5" s="37" t="s">
        <v>79</v>
      </c>
      <c r="H5" s="37" t="s">
        <v>104</v>
      </c>
    </row>
    <row r="6" spans="2:8" ht="15" thickBot="1" x14ac:dyDescent="0.35">
      <c r="B6" s="72" t="s">
        <v>76</v>
      </c>
      <c r="C6" s="74">
        <v>2.2999999999999998</v>
      </c>
      <c r="D6" s="74">
        <v>2.5</v>
      </c>
    </row>
    <row r="7" spans="2:8" ht="15" thickBot="1" x14ac:dyDescent="0.35">
      <c r="B7" s="72" t="s">
        <v>77</v>
      </c>
      <c r="C7" s="74">
        <v>2.1</v>
      </c>
      <c r="D7" s="74">
        <v>2.4</v>
      </c>
    </row>
    <row r="8" spans="2:8" ht="15" thickBot="1" x14ac:dyDescent="0.35">
      <c r="B8" s="50" t="s">
        <v>89</v>
      </c>
      <c r="C8" s="60">
        <v>2.2000000000000002</v>
      </c>
      <c r="D8" s="62">
        <v>2.4500000000000002</v>
      </c>
    </row>
    <row r="9" spans="2:8" ht="15" thickBot="1" x14ac:dyDescent="0.35">
      <c r="B9" s="50" t="s">
        <v>20</v>
      </c>
      <c r="C9" s="60">
        <v>1</v>
      </c>
      <c r="D9" s="62">
        <v>1</v>
      </c>
    </row>
    <row r="10" spans="2:8" ht="15" thickBot="1" x14ac:dyDescent="0.35">
      <c r="B10" s="50" t="s">
        <v>19</v>
      </c>
      <c r="C10" s="60">
        <v>2</v>
      </c>
      <c r="D10" s="62">
        <v>2.5</v>
      </c>
    </row>
    <row r="11" spans="2:8" ht="15" thickBot="1" x14ac:dyDescent="0.35">
      <c r="B11" s="50" t="s">
        <v>18</v>
      </c>
      <c r="C11" s="60">
        <v>9</v>
      </c>
      <c r="D11" s="62">
        <v>13</v>
      </c>
    </row>
    <row r="12" spans="2:8" ht="15" thickBot="1" x14ac:dyDescent="0.35">
      <c r="B12" s="50" t="s">
        <v>22</v>
      </c>
      <c r="C12" s="60">
        <v>84</v>
      </c>
      <c r="D12" s="62">
        <v>95</v>
      </c>
    </row>
    <row r="13" spans="2:8" ht="15" thickBot="1" x14ac:dyDescent="0.35">
      <c r="B13" s="50" t="s">
        <v>67</v>
      </c>
      <c r="C13" s="60">
        <v>82</v>
      </c>
      <c r="D13" s="62">
        <v>92</v>
      </c>
    </row>
    <row r="14" spans="2:8" ht="15" thickBot="1" x14ac:dyDescent="0.35">
      <c r="B14" s="50" t="s">
        <v>90</v>
      </c>
      <c r="C14" s="60">
        <v>80</v>
      </c>
      <c r="D14" s="62">
        <v>90</v>
      </c>
    </row>
    <row r="15" spans="2:8" ht="15" thickBot="1" x14ac:dyDescent="0.35">
      <c r="B15" s="50" t="s">
        <v>91</v>
      </c>
      <c r="C15" s="60">
        <v>78</v>
      </c>
      <c r="D15" s="62">
        <v>85</v>
      </c>
    </row>
    <row r="16" spans="2:8" ht="15" thickBot="1" x14ac:dyDescent="0.35">
      <c r="B16" s="50" t="s">
        <v>92</v>
      </c>
      <c r="C16" s="60">
        <v>68</v>
      </c>
      <c r="D16" s="62">
        <v>72</v>
      </c>
    </row>
    <row r="17" spans="2:4" ht="15" thickBot="1" x14ac:dyDescent="0.35">
      <c r="B17" s="50" t="s">
        <v>68</v>
      </c>
      <c r="C17" s="60">
        <v>8</v>
      </c>
      <c r="D17" s="62">
        <v>9</v>
      </c>
    </row>
    <row r="18" spans="2:4" ht="15" thickBot="1" x14ac:dyDescent="0.35">
      <c r="B18" s="50" t="s">
        <v>93</v>
      </c>
      <c r="C18" s="60">
        <v>30</v>
      </c>
      <c r="D18" s="62">
        <v>35</v>
      </c>
    </row>
    <row r="19" spans="2:4" ht="15" thickBot="1" x14ac:dyDescent="0.35">
      <c r="B19" s="50" t="s">
        <v>23</v>
      </c>
      <c r="C19" s="60">
        <v>50</v>
      </c>
      <c r="D19" s="62">
        <v>57</v>
      </c>
    </row>
    <row r="20" spans="2:4" ht="15" thickBot="1" x14ac:dyDescent="0.35">
      <c r="B20" s="50" t="s">
        <v>24</v>
      </c>
      <c r="C20" s="60">
        <v>35</v>
      </c>
      <c r="D20" s="62">
        <v>36</v>
      </c>
    </row>
    <row r="21" spans="2:4" ht="15" thickBot="1" x14ac:dyDescent="0.35">
      <c r="B21" s="50" t="s">
        <v>25</v>
      </c>
      <c r="C21" s="60">
        <v>30</v>
      </c>
      <c r="D21" s="62">
        <v>31</v>
      </c>
    </row>
    <row r="22" spans="2:4" ht="15" thickBot="1" x14ac:dyDescent="0.35">
      <c r="B22" s="50" t="s">
        <v>98</v>
      </c>
      <c r="C22" s="60">
        <v>5</v>
      </c>
      <c r="D22" s="62">
        <v>5.5</v>
      </c>
    </row>
    <row r="23" spans="2:4" ht="15" thickBot="1" x14ac:dyDescent="0.35">
      <c r="B23" s="50" t="s">
        <v>94</v>
      </c>
      <c r="C23" s="60">
        <v>9</v>
      </c>
      <c r="D23" s="62">
        <v>13</v>
      </c>
    </row>
    <row r="24" spans="2:4" ht="15" thickBot="1" x14ac:dyDescent="0.35">
      <c r="B24" s="50" t="s">
        <v>42</v>
      </c>
      <c r="C24" s="60">
        <v>9</v>
      </c>
      <c r="D24" s="62">
        <v>13</v>
      </c>
    </row>
    <row r="25" spans="2:4" ht="15" thickBot="1" x14ac:dyDescent="0.35">
      <c r="B25" s="50" t="s">
        <v>39</v>
      </c>
      <c r="C25" s="60">
        <v>12</v>
      </c>
      <c r="D25" s="62">
        <v>14</v>
      </c>
    </row>
    <row r="26" spans="2:4" ht="15" thickBot="1" x14ac:dyDescent="0.35">
      <c r="B26" s="50" t="s">
        <v>99</v>
      </c>
      <c r="C26" s="60">
        <v>13</v>
      </c>
      <c r="D26" s="62">
        <v>16</v>
      </c>
    </row>
    <row r="27" spans="2:4" ht="15" thickBot="1" x14ac:dyDescent="0.35">
      <c r="B27" s="50" t="s">
        <v>95</v>
      </c>
      <c r="C27" s="60">
        <v>12</v>
      </c>
      <c r="D27" s="62">
        <v>16</v>
      </c>
    </row>
    <row r="28" spans="2:4" ht="15" thickBot="1" x14ac:dyDescent="0.35">
      <c r="B28" s="50" t="s">
        <v>97</v>
      </c>
      <c r="C28" s="60">
        <v>30</v>
      </c>
      <c r="D28" s="62">
        <v>31</v>
      </c>
    </row>
    <row r="29" spans="2:4" ht="15" thickBot="1" x14ac:dyDescent="0.35">
      <c r="B29" s="50" t="s">
        <v>43</v>
      </c>
      <c r="C29" s="60">
        <v>3</v>
      </c>
      <c r="D29" s="62">
        <v>3.5</v>
      </c>
    </row>
    <row r="30" spans="2:4" ht="15" thickBot="1" x14ac:dyDescent="0.35">
      <c r="B30" s="50" t="s">
        <v>32</v>
      </c>
      <c r="C30" s="60">
        <v>60</v>
      </c>
      <c r="D30" s="62">
        <v>61</v>
      </c>
    </row>
    <row r="31" spans="2:4" ht="15" thickBot="1" x14ac:dyDescent="0.35">
      <c r="B31" s="50" t="s">
        <v>33</v>
      </c>
      <c r="C31" s="60">
        <v>40</v>
      </c>
      <c r="D31" s="62">
        <v>42</v>
      </c>
    </row>
    <row r="32" spans="2:4" ht="15" thickBot="1" x14ac:dyDescent="0.35">
      <c r="B32" s="50" t="s">
        <v>30</v>
      </c>
      <c r="C32" s="60">
        <v>35</v>
      </c>
      <c r="D32" s="62">
        <v>37</v>
      </c>
    </row>
    <row r="33" spans="2:4" ht="15" thickBot="1" x14ac:dyDescent="0.35">
      <c r="B33" s="50" t="s">
        <v>31</v>
      </c>
      <c r="C33" s="60">
        <v>29</v>
      </c>
      <c r="D33" s="62">
        <v>31</v>
      </c>
    </row>
    <row r="34" spans="2:4" ht="15" thickBot="1" x14ac:dyDescent="0.35">
      <c r="B34" s="50" t="s">
        <v>84</v>
      </c>
      <c r="C34" s="60">
        <v>5</v>
      </c>
      <c r="D34" s="62">
        <v>5</v>
      </c>
    </row>
    <row r="35" spans="2:4" ht="15" thickBot="1" x14ac:dyDescent="0.35">
      <c r="B35" s="50" t="s">
        <v>85</v>
      </c>
      <c r="C35" s="60">
        <v>10</v>
      </c>
      <c r="D35" s="62">
        <v>10</v>
      </c>
    </row>
    <row r="36" spans="2:4" ht="15" thickBot="1" x14ac:dyDescent="0.35">
      <c r="B36" s="50" t="s">
        <v>86</v>
      </c>
      <c r="C36" s="60">
        <v>40</v>
      </c>
      <c r="D36" s="62">
        <v>40</v>
      </c>
    </row>
    <row r="37" spans="2:4" ht="15" thickBot="1" x14ac:dyDescent="0.35">
      <c r="B37" s="50" t="s">
        <v>87</v>
      </c>
      <c r="C37" s="60">
        <v>100</v>
      </c>
      <c r="D37" s="62">
        <v>100</v>
      </c>
    </row>
    <row r="38" spans="2:4" ht="15" thickBot="1" x14ac:dyDescent="0.35">
      <c r="B38" s="50" t="s">
        <v>46</v>
      </c>
      <c r="C38" s="60">
        <v>14</v>
      </c>
      <c r="D38" s="62">
        <v>15</v>
      </c>
    </row>
    <row r="39" spans="2:4" ht="15" thickBot="1" x14ac:dyDescent="0.35">
      <c r="B39" s="50" t="s">
        <v>47</v>
      </c>
      <c r="C39" s="60">
        <v>13</v>
      </c>
      <c r="D39" s="62">
        <v>14</v>
      </c>
    </row>
    <row r="40" spans="2:4" ht="15" thickBot="1" x14ac:dyDescent="0.35">
      <c r="B40" s="50" t="s">
        <v>48</v>
      </c>
      <c r="C40" s="60">
        <v>6</v>
      </c>
      <c r="D40" s="62">
        <v>8</v>
      </c>
    </row>
    <row r="41" spans="2:4" ht="15" thickBot="1" x14ac:dyDescent="0.35">
      <c r="B41" s="50" t="s">
        <v>83</v>
      </c>
      <c r="C41" s="61">
        <v>0</v>
      </c>
      <c r="D41" s="63">
        <v>0</v>
      </c>
    </row>
    <row r="42" spans="2:4" ht="15" thickBot="1" x14ac:dyDescent="0.35">
      <c r="B42" s="50" t="s">
        <v>96</v>
      </c>
      <c r="C42" s="60">
        <v>12</v>
      </c>
      <c r="D42" s="62">
        <v>13</v>
      </c>
    </row>
    <row r="43" spans="2:4" ht="15" thickBot="1" x14ac:dyDescent="0.35">
      <c r="B43" s="50" t="s">
        <v>73</v>
      </c>
      <c r="C43" s="60">
        <v>3</v>
      </c>
      <c r="D43" s="62">
        <v>3.45</v>
      </c>
    </row>
    <row r="44" spans="2:4" ht="15" thickBot="1" x14ac:dyDescent="0.35">
      <c r="B44" s="72" t="s">
        <v>74</v>
      </c>
      <c r="C44" s="73">
        <v>5</v>
      </c>
      <c r="D44" s="73">
        <v>5.5</v>
      </c>
    </row>
    <row r="45" spans="2:4" ht="15" thickBot="1" x14ac:dyDescent="0.35">
      <c r="B45" s="50" t="s">
        <v>70</v>
      </c>
      <c r="C45" s="60">
        <v>5</v>
      </c>
      <c r="D45" s="62">
        <v>5.5</v>
      </c>
    </row>
    <row r="46" spans="2:4" ht="15" thickBot="1" x14ac:dyDescent="0.35">
      <c r="B46" s="50" t="s">
        <v>64</v>
      </c>
      <c r="C46" s="60">
        <v>90</v>
      </c>
      <c r="D46" s="62">
        <v>92</v>
      </c>
    </row>
    <row r="47" spans="2:4" ht="15" thickBot="1" x14ac:dyDescent="0.35">
      <c r="B47" s="50" t="s">
        <v>65</v>
      </c>
      <c r="C47" s="60">
        <v>89</v>
      </c>
      <c r="D47" s="62">
        <v>90</v>
      </c>
    </row>
    <row r="48" spans="2:4" ht="15" thickBot="1" x14ac:dyDescent="0.35">
      <c r="B48" s="50" t="s">
        <v>66</v>
      </c>
      <c r="C48" s="60">
        <v>90</v>
      </c>
      <c r="D48" s="62">
        <v>92</v>
      </c>
    </row>
    <row r="49" spans="2:4" ht="15" thickBot="1" x14ac:dyDescent="0.35">
      <c r="B49" s="50" t="s">
        <v>100</v>
      </c>
      <c r="C49" s="60">
        <v>70</v>
      </c>
      <c r="D49" s="62">
        <v>74</v>
      </c>
    </row>
    <row r="50" spans="2:4" ht="15" thickBot="1" x14ac:dyDescent="0.35">
      <c r="B50" s="50" t="s">
        <v>101</v>
      </c>
      <c r="C50" s="60">
        <v>1.3</v>
      </c>
      <c r="D50" s="62">
        <v>1.4</v>
      </c>
    </row>
    <row r="51" spans="2:4" ht="15" thickBot="1" x14ac:dyDescent="0.35">
      <c r="B51" s="50" t="s">
        <v>102</v>
      </c>
      <c r="C51" s="60">
        <v>5</v>
      </c>
      <c r="D51" s="62">
        <v>6</v>
      </c>
    </row>
    <row r="52" spans="2:4" ht="15" thickBot="1" x14ac:dyDescent="0.35">
      <c r="B52" s="50" t="s">
        <v>26</v>
      </c>
      <c r="C52" s="60">
        <v>45</v>
      </c>
      <c r="D52" s="62">
        <v>47</v>
      </c>
    </row>
    <row r="53" spans="2:4" ht="15" thickBot="1" x14ac:dyDescent="0.35">
      <c r="B53" s="50" t="s">
        <v>27</v>
      </c>
      <c r="C53" s="60">
        <v>45</v>
      </c>
      <c r="D53" s="62">
        <v>47</v>
      </c>
    </row>
    <row r="54" spans="2:4" ht="15" thickBot="1" x14ac:dyDescent="0.35">
      <c r="B54" s="50" t="s">
        <v>28</v>
      </c>
      <c r="C54" s="60">
        <v>45</v>
      </c>
      <c r="D54" s="62">
        <v>47</v>
      </c>
    </row>
    <row r="55" spans="2:4" ht="15" thickBot="1" x14ac:dyDescent="0.35">
      <c r="B55" s="50" t="s">
        <v>29</v>
      </c>
      <c r="C55" s="60">
        <v>2.5</v>
      </c>
      <c r="D55" s="62">
        <v>2.88</v>
      </c>
    </row>
    <row r="56" spans="2:4" ht="15" thickBot="1" x14ac:dyDescent="0.35">
      <c r="B56" s="50" t="s">
        <v>34</v>
      </c>
      <c r="C56" s="60">
        <v>17</v>
      </c>
      <c r="D56" s="62">
        <v>18</v>
      </c>
    </row>
    <row r="57" spans="2:4" ht="15" thickBot="1" x14ac:dyDescent="0.35">
      <c r="B57" s="50" t="s">
        <v>35</v>
      </c>
      <c r="C57" s="60">
        <v>60</v>
      </c>
      <c r="D57" s="62">
        <v>62</v>
      </c>
    </row>
    <row r="58" spans="2:4" ht="15" thickBot="1" x14ac:dyDescent="0.35">
      <c r="B58" s="50" t="s">
        <v>36</v>
      </c>
      <c r="C58" s="60">
        <v>45</v>
      </c>
      <c r="D58" s="62">
        <v>47</v>
      </c>
    </row>
    <row r="59" spans="2:4" ht="15" thickBot="1" x14ac:dyDescent="0.35">
      <c r="B59" s="50" t="s">
        <v>37</v>
      </c>
      <c r="C59" s="60">
        <v>10</v>
      </c>
      <c r="D59" s="62">
        <v>11.5</v>
      </c>
    </row>
    <row r="60" spans="2:4" ht="15" thickBot="1" x14ac:dyDescent="0.35">
      <c r="B60" s="50" t="s">
        <v>38</v>
      </c>
      <c r="C60" s="60">
        <v>10</v>
      </c>
      <c r="D60" s="62">
        <v>11.5</v>
      </c>
    </row>
    <row r="61" spans="2:4" ht="15" thickBot="1" x14ac:dyDescent="0.35">
      <c r="B61" s="50" t="s">
        <v>40</v>
      </c>
      <c r="C61" s="60">
        <v>12</v>
      </c>
      <c r="D61" s="62">
        <v>13</v>
      </c>
    </row>
    <row r="62" spans="2:4" ht="15" thickBot="1" x14ac:dyDescent="0.35">
      <c r="B62" s="50" t="s">
        <v>41</v>
      </c>
      <c r="C62" s="60">
        <v>8</v>
      </c>
      <c r="D62" s="62">
        <v>9</v>
      </c>
    </row>
    <row r="63" spans="2:4" ht="15" thickBot="1" x14ac:dyDescent="0.35">
      <c r="B63" s="50" t="s">
        <v>69</v>
      </c>
      <c r="C63" s="60">
        <v>1.5</v>
      </c>
      <c r="D63" s="62">
        <v>1.73</v>
      </c>
    </row>
    <row r="64" spans="2:4" ht="15" thickBot="1" x14ac:dyDescent="0.35">
      <c r="B64" s="50" t="s">
        <v>108</v>
      </c>
      <c r="C64" s="60">
        <v>50</v>
      </c>
      <c r="D64" s="62">
        <v>54</v>
      </c>
    </row>
    <row r="65" spans="2:4" ht="15" thickBot="1" x14ac:dyDescent="0.35">
      <c r="B65" s="50" t="s">
        <v>44</v>
      </c>
      <c r="C65" s="60">
        <v>3</v>
      </c>
      <c r="D65" s="62">
        <v>3.45</v>
      </c>
    </row>
    <row r="66" spans="2:4" ht="15" thickBot="1" x14ac:dyDescent="0.35">
      <c r="B66" s="50" t="s">
        <v>45</v>
      </c>
      <c r="C66" s="60">
        <v>5</v>
      </c>
      <c r="D66" s="62">
        <v>8</v>
      </c>
    </row>
    <row r="67" spans="2:4" ht="15" thickBot="1" x14ac:dyDescent="0.35">
      <c r="B67" s="50" t="s">
        <v>49</v>
      </c>
      <c r="C67" s="60">
        <v>12</v>
      </c>
      <c r="D67" s="62">
        <v>13</v>
      </c>
    </row>
    <row r="68" spans="2:4" ht="15" thickBot="1" x14ac:dyDescent="0.35">
      <c r="B68" s="50" t="s">
        <v>50</v>
      </c>
      <c r="C68" s="60">
        <v>12</v>
      </c>
      <c r="D68" s="62">
        <v>13</v>
      </c>
    </row>
    <row r="69" spans="2:4" ht="15" thickBot="1" x14ac:dyDescent="0.35">
      <c r="B69" s="50" t="s">
        <v>51</v>
      </c>
      <c r="C69" s="60">
        <v>10</v>
      </c>
      <c r="D69" s="62">
        <v>11</v>
      </c>
    </row>
    <row r="70" spans="2:4" ht="15" thickBot="1" x14ac:dyDescent="0.35">
      <c r="B70" s="50" t="s">
        <v>52</v>
      </c>
      <c r="C70" s="60">
        <v>2</v>
      </c>
      <c r="D70" s="62">
        <v>2.88</v>
      </c>
    </row>
    <row r="71" spans="2:4" ht="15" thickBot="1" x14ac:dyDescent="0.35">
      <c r="B71" s="50" t="s">
        <v>72</v>
      </c>
      <c r="C71" s="60">
        <v>2.5</v>
      </c>
      <c r="D71" s="62">
        <v>2.88</v>
      </c>
    </row>
    <row r="72" spans="2:4" ht="15" thickBot="1" x14ac:dyDescent="0.35">
      <c r="B72" s="50" t="s">
        <v>71</v>
      </c>
      <c r="C72" s="60">
        <v>2</v>
      </c>
      <c r="D72" s="62">
        <v>2.1</v>
      </c>
    </row>
    <row r="73" spans="2:4" ht="15" thickBot="1" x14ac:dyDescent="0.35">
      <c r="B73" s="50" t="s">
        <v>53</v>
      </c>
      <c r="C73" s="60">
        <v>70</v>
      </c>
      <c r="D73" s="62">
        <v>72</v>
      </c>
    </row>
    <row r="74" spans="2:4" ht="15" thickBot="1" x14ac:dyDescent="0.35">
      <c r="B74" s="50" t="s">
        <v>54</v>
      </c>
      <c r="C74" s="60">
        <v>80</v>
      </c>
      <c r="D74" s="62">
        <v>82</v>
      </c>
    </row>
    <row r="75" spans="2:4" ht="15" thickBot="1" x14ac:dyDescent="0.35">
      <c r="B75" s="50" t="s">
        <v>55</v>
      </c>
      <c r="C75" s="60">
        <v>150</v>
      </c>
      <c r="D75" s="62">
        <v>160</v>
      </c>
    </row>
  </sheetData>
  <mergeCells count="1">
    <mergeCell ref="B2:D2"/>
  </mergeCells>
  <pageMargins left="0.7" right="0.7" top="0.75" bottom="0.75" header="0.3" footer="0.3"/>
  <pageSetup orientation="portrait" horizontalDpi="300" verticalDpi="30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DBBC8-ABE1-4F73-B5D5-53FCED04256C}">
  <sheetPr codeName="Sheet9"/>
  <dimension ref="A1:C14"/>
  <sheetViews>
    <sheetView workbookViewId="0">
      <selection activeCell="D56" sqref="D56"/>
    </sheetView>
  </sheetViews>
  <sheetFormatPr defaultColWidth="9.109375" defaultRowHeight="14.4" x14ac:dyDescent="0.3"/>
  <cols>
    <col min="1" max="1" width="11.6640625" style="37" customWidth="1"/>
    <col min="2" max="2" width="12.6640625" style="37" bestFit="1" customWidth="1"/>
    <col min="3" max="3" width="9.109375" style="37"/>
    <col min="4" max="4" width="9.5546875" style="37" customWidth="1"/>
    <col min="5" max="16384" width="9.109375" style="37"/>
  </cols>
  <sheetData>
    <row r="1" spans="1:3" ht="14.4" customHeight="1" x14ac:dyDescent="0.3"/>
    <row r="2" spans="1:3" ht="14.4" customHeight="1" x14ac:dyDescent="0.3"/>
    <row r="3" spans="1:3" ht="14.4" customHeight="1" x14ac:dyDescent="0.3"/>
    <row r="4" spans="1:3" ht="14.4" customHeight="1" x14ac:dyDescent="0.3"/>
    <row r="5" spans="1:3" ht="14.4" customHeight="1" x14ac:dyDescent="0.3"/>
    <row r="6" spans="1:3" ht="14.4" customHeight="1" x14ac:dyDescent="0.3"/>
    <row r="7" spans="1:3" ht="14.4" customHeight="1" x14ac:dyDescent="0.3">
      <c r="B7" s="37" t="s">
        <v>78</v>
      </c>
    </row>
    <row r="8" spans="1:3" ht="14.4" customHeight="1" x14ac:dyDescent="0.3">
      <c r="B8" s="37" t="s">
        <v>79</v>
      </c>
    </row>
    <row r="9" spans="1:3" ht="14.4" customHeight="1" x14ac:dyDescent="0.3"/>
    <row r="10" spans="1:3" ht="14.4" customHeight="1" x14ac:dyDescent="0.3"/>
    <row r="14" spans="1:3" x14ac:dyDescent="0.3">
      <c r="A14" s="226" t="s">
        <v>82</v>
      </c>
      <c r="B14" s="226"/>
      <c r="C14" s="37" cm="1">
        <f t="array" ref="C14">IF($H$10="NO",_xlfn.SWITCH(A14,'Price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List'!$C$76,0),_xlfn.SWITCH(A14,'Price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</row>
  </sheetData>
  <mergeCells count="1">
    <mergeCell ref="A14:B14"/>
  </mergeCells>
  <pageMargins left="0.7" right="0.7" top="0.75" bottom="0.75" header="0.3" footer="0.3"/>
  <pageSetup paperSize="0" orientation="portrait" horizontalDpi="203" verticalDpi="203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9B1BE-F244-458E-8E84-96BDD84798EF}">
  <sheetPr codeName="Sheet31"/>
  <dimension ref="A1:D29"/>
  <sheetViews>
    <sheetView showZeros="0" workbookViewId="0">
      <selection activeCell="A14" sqref="A14:D23"/>
    </sheetView>
  </sheetViews>
  <sheetFormatPr defaultColWidth="8.88671875" defaultRowHeight="14.4" x14ac:dyDescent="0.3"/>
  <cols>
    <col min="1" max="1" width="10.5546875" style="37" customWidth="1"/>
    <col min="2" max="2" width="9" style="37" customWidth="1"/>
    <col min="3" max="3" width="11.33203125" style="37" customWidth="1"/>
    <col min="4" max="4" width="11" style="37" customWidth="1"/>
    <col min="5" max="5" width="10.5546875" style="37" customWidth="1"/>
    <col min="6" max="6" width="12.6640625" style="37" customWidth="1"/>
    <col min="7" max="7" width="20.33203125" style="37" customWidth="1"/>
    <col min="8" max="8" width="9.6640625" style="37" customWidth="1"/>
    <col min="9" max="9" width="8.6640625" style="37" customWidth="1"/>
    <col min="10" max="10" width="8.88671875" style="37"/>
    <col min="11" max="11" width="21.88671875" style="37" customWidth="1"/>
    <col min="12" max="12" width="11.109375" style="37" customWidth="1"/>
    <col min="13" max="13" width="10.88671875" style="37" customWidth="1"/>
    <col min="14" max="16384" width="8.88671875" style="37"/>
  </cols>
  <sheetData>
    <row r="1" spans="1:4" ht="14.4" customHeight="1" x14ac:dyDescent="0.3">
      <c r="A1" s="195"/>
      <c r="B1" s="196"/>
      <c r="C1" s="196"/>
      <c r="D1" s="197"/>
    </row>
    <row r="2" spans="1:4" ht="14.4" customHeight="1" x14ac:dyDescent="0.3">
      <c r="A2" s="198"/>
      <c r="B2" s="199"/>
      <c r="C2" s="199"/>
      <c r="D2" s="200"/>
    </row>
    <row r="3" spans="1:4" ht="14.4" customHeight="1" x14ac:dyDescent="0.3">
      <c r="A3" s="198"/>
      <c r="B3" s="199"/>
      <c r="C3" s="199"/>
      <c r="D3" s="200"/>
    </row>
    <row r="4" spans="1:4" ht="14.4" customHeight="1" x14ac:dyDescent="0.3">
      <c r="A4" s="198"/>
      <c r="B4" s="199"/>
      <c r="C4" s="199"/>
      <c r="D4" s="200"/>
    </row>
    <row r="5" spans="1:4" ht="14.4" customHeight="1" x14ac:dyDescent="0.3">
      <c r="A5" s="198"/>
      <c r="B5" s="199"/>
      <c r="C5" s="199"/>
      <c r="D5" s="200"/>
    </row>
    <row r="6" spans="1:4" ht="14.4" customHeight="1" x14ac:dyDescent="0.3">
      <c r="A6" s="201"/>
      <c r="B6" s="202"/>
      <c r="C6" s="202"/>
      <c r="D6" s="203"/>
    </row>
    <row r="7" spans="1:4" ht="14.4" customHeight="1" x14ac:dyDescent="0.3">
      <c r="A7" s="209"/>
      <c r="B7" s="210"/>
      <c r="C7" s="210"/>
      <c r="D7" s="211"/>
    </row>
    <row r="8" spans="1:4" ht="14.4" customHeight="1" x14ac:dyDescent="0.3">
      <c r="A8" s="198"/>
      <c r="B8" s="199"/>
      <c r="C8" s="199"/>
      <c r="D8" s="200"/>
    </row>
    <row r="9" spans="1:4" ht="14.4" customHeight="1" x14ac:dyDescent="0.3">
      <c r="A9" s="198"/>
      <c r="B9" s="199"/>
      <c r="C9" s="199"/>
      <c r="D9" s="200"/>
    </row>
    <row r="10" spans="1:4" ht="26.4" customHeight="1" x14ac:dyDescent="0.3">
      <c r="A10" s="201"/>
      <c r="B10" s="202"/>
      <c r="C10" s="202"/>
      <c r="D10" s="203"/>
    </row>
    <row r="11" spans="1:4" ht="18.600000000000001" thickBot="1" x14ac:dyDescent="0.4">
      <c r="A11" s="206">
        <f ca="1">TODAY()</f>
        <v>44180</v>
      </c>
      <c r="B11" s="207"/>
      <c r="C11" s="207"/>
      <c r="D11" s="208"/>
    </row>
    <row r="12" spans="1:4" ht="21.6" thickTop="1" x14ac:dyDescent="0.3">
      <c r="A12" s="135" t="s">
        <v>61</v>
      </c>
      <c r="B12" s="136" t="s">
        <v>62</v>
      </c>
      <c r="C12" s="136" t="s">
        <v>63</v>
      </c>
      <c r="D12" s="137" t="s">
        <v>60</v>
      </c>
    </row>
    <row r="13" spans="1:4" ht="17.399999999999999" x14ac:dyDescent="0.3">
      <c r="A13" s="67"/>
      <c r="B13" s="68"/>
      <c r="C13" s="69"/>
      <c r="D13" s="70"/>
    </row>
    <row r="14" spans="1:4" ht="46.8" x14ac:dyDescent="0.3">
      <c r="A14" s="131" t="s">
        <v>77</v>
      </c>
      <c r="B14" s="156">
        <v>10</v>
      </c>
      <c r="C14" s="157">
        <v>2.1</v>
      </c>
      <c r="D14" s="158">
        <v>21</v>
      </c>
    </row>
    <row r="15" spans="1:4" ht="46.8" x14ac:dyDescent="0.3">
      <c r="A15" s="131" t="s">
        <v>77</v>
      </c>
      <c r="B15" s="159">
        <v>100</v>
      </c>
      <c r="C15" s="160">
        <v>2.1</v>
      </c>
      <c r="D15" s="161">
        <v>210</v>
      </c>
    </row>
    <row r="16" spans="1:4" ht="46.8" x14ac:dyDescent="0.3">
      <c r="A16" s="131" t="s">
        <v>77</v>
      </c>
      <c r="B16" s="159">
        <v>1000</v>
      </c>
      <c r="C16" s="160">
        <v>2.1</v>
      </c>
      <c r="D16" s="161">
        <v>2100</v>
      </c>
    </row>
    <row r="17" spans="1:4" ht="23.4" x14ac:dyDescent="0.3">
      <c r="A17" s="131"/>
      <c r="B17" s="159"/>
      <c r="C17" s="160">
        <v>0</v>
      </c>
      <c r="D17" s="161">
        <v>0</v>
      </c>
    </row>
    <row r="18" spans="1:4" ht="23.4" x14ac:dyDescent="0.3">
      <c r="A18" s="131"/>
      <c r="B18" s="159"/>
      <c r="C18" s="160">
        <v>0</v>
      </c>
      <c r="D18" s="161">
        <v>0</v>
      </c>
    </row>
    <row r="19" spans="1:4" ht="23.4" x14ac:dyDescent="0.3">
      <c r="A19" s="131"/>
      <c r="B19" s="159"/>
      <c r="C19" s="160">
        <v>0</v>
      </c>
      <c r="D19" s="161">
        <v>0</v>
      </c>
    </row>
    <row r="20" spans="1:4" ht="23.4" x14ac:dyDescent="0.3">
      <c r="A20" s="131"/>
      <c r="B20" s="159"/>
      <c r="C20" s="160">
        <v>0</v>
      </c>
      <c r="D20" s="161">
        <v>0</v>
      </c>
    </row>
    <row r="21" spans="1:4" ht="23.4" x14ac:dyDescent="0.3">
      <c r="A21" s="131"/>
      <c r="B21" s="159"/>
      <c r="C21" s="160">
        <v>0</v>
      </c>
      <c r="D21" s="161">
        <v>0</v>
      </c>
    </row>
    <row r="22" spans="1:4" ht="23.4" x14ac:dyDescent="0.3">
      <c r="A22" s="131"/>
      <c r="B22" s="159"/>
      <c r="C22" s="160">
        <v>0</v>
      </c>
      <c r="D22" s="161">
        <v>0</v>
      </c>
    </row>
    <row r="23" spans="1:4" ht="23.4" x14ac:dyDescent="0.3">
      <c r="A23" s="131"/>
      <c r="B23" s="159"/>
      <c r="C23" s="160">
        <v>0</v>
      </c>
      <c r="D23" s="161">
        <v>0</v>
      </c>
    </row>
    <row r="24" spans="1:4" ht="16.2" thickBot="1" x14ac:dyDescent="0.35">
      <c r="A24" s="56"/>
      <c r="B24" s="57"/>
      <c r="C24" s="58"/>
      <c r="D24" s="59"/>
    </row>
    <row r="25" spans="1:4" ht="24" thickBot="1" x14ac:dyDescent="0.35">
      <c r="A25" s="144" t="s">
        <v>57</v>
      </c>
      <c r="B25" s="162">
        <f>SUM(B14:B23)</f>
        <v>1110</v>
      </c>
      <c r="C25" s="204">
        <f>SUM(D14:D23)</f>
        <v>2331</v>
      </c>
      <c r="D25" s="205"/>
    </row>
    <row r="26" spans="1:4" ht="15" thickTop="1" x14ac:dyDescent="0.3">
      <c r="A26" s="66"/>
      <c r="B26" s="64"/>
      <c r="C26" s="64"/>
      <c r="D26" s="65"/>
    </row>
    <row r="27" spans="1:4" ht="23.4" x14ac:dyDescent="0.45">
      <c r="A27" s="216" t="s">
        <v>58</v>
      </c>
      <c r="B27" s="193"/>
      <c r="C27" s="193"/>
      <c r="D27" s="194"/>
    </row>
    <row r="28" spans="1:4" ht="24.6" x14ac:dyDescent="0.55000000000000004">
      <c r="A28" s="192" t="s">
        <v>59</v>
      </c>
      <c r="B28" s="227"/>
      <c r="C28" s="227"/>
      <c r="D28" s="228"/>
    </row>
    <row r="29" spans="1:4" ht="15" thickBot="1" x14ac:dyDescent="0.35">
      <c r="A29" s="52"/>
      <c r="B29" s="53"/>
      <c r="C29" s="53"/>
      <c r="D29" s="54"/>
    </row>
  </sheetData>
  <sheetProtection algorithmName="SHA-512" hashValue="hEFq9YtB4NYIOKXvwmTglRgAfLUivpYL+rBUYfL8AHw12D7jgSc9iVglHHUK18/oKZvSXotPq2rF2v31iEwFYA==" saltValue="fpudqaFHuFofD4gjUMEPaw==" spinCount="100000" sheet="1" objects="1" scenarios="1"/>
  <mergeCells count="6">
    <mergeCell ref="A11:D11"/>
    <mergeCell ref="C25:D25"/>
    <mergeCell ref="A27:D27"/>
    <mergeCell ref="A28:D28"/>
    <mergeCell ref="A1:D6"/>
    <mergeCell ref="A7:D10"/>
  </mergeCells>
  <pageMargins left="0.11811023622047245" right="0.11811023622047245" top="0.11811023622047245" bottom="0.11811023622047245" header="0.11811023622047245" footer="0.11811023622047245"/>
  <pageSetup paperSize="0" scale="55" orientation="portrait" horizontalDpi="203" verticalDpi="20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93F5E7-B65D-4BB6-B1C8-6F05E12FBD78}">
          <x14:formula1>
            <xm:f>'Price List'!$B$5:$B$76</xm:f>
          </x14:formula1>
          <xm:sqref>A14:A23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2</vt:i4>
      </vt:variant>
    </vt:vector>
  </HeadingPairs>
  <TitlesOfParts>
    <vt:vector size="34" baseType="lpstr">
      <vt:lpstr>1 December</vt:lpstr>
      <vt:lpstr>2 December</vt:lpstr>
      <vt:lpstr>3 December</vt:lpstr>
      <vt:lpstr>4 December</vt:lpstr>
      <vt:lpstr>5 December</vt:lpstr>
      <vt:lpstr>7 December</vt:lpstr>
      <vt:lpstr>8 December</vt:lpstr>
      <vt:lpstr>9 December</vt:lpstr>
      <vt:lpstr>10 December</vt:lpstr>
      <vt:lpstr>11 December</vt:lpstr>
      <vt:lpstr>12 December</vt:lpstr>
      <vt:lpstr>14 December</vt:lpstr>
      <vt:lpstr>15 December</vt:lpstr>
      <vt:lpstr>16 December</vt:lpstr>
      <vt:lpstr>17 December</vt:lpstr>
      <vt:lpstr>18 December</vt:lpstr>
      <vt:lpstr>19 December</vt:lpstr>
      <vt:lpstr>21 December</vt:lpstr>
      <vt:lpstr>22 December</vt:lpstr>
      <vt:lpstr>23 December</vt:lpstr>
      <vt:lpstr>24 December</vt:lpstr>
      <vt:lpstr>25 December</vt:lpstr>
      <vt:lpstr>26 December</vt:lpstr>
      <vt:lpstr>28 December</vt:lpstr>
      <vt:lpstr>29 December</vt:lpstr>
      <vt:lpstr>30 December</vt:lpstr>
      <vt:lpstr>31 December</vt:lpstr>
      <vt:lpstr>Receipt</vt:lpstr>
      <vt:lpstr>Month Summary</vt:lpstr>
      <vt:lpstr>Price List</vt:lpstr>
      <vt:lpstr>Formulas</vt:lpstr>
      <vt:lpstr>Receipt Copy</vt:lpstr>
      <vt:lpstr>Receipt!Print_Area</vt:lpstr>
      <vt:lpstr>'Receipt Copy'!Print_Area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Hazel</dc:creator>
  <cp:lastModifiedBy>Gerard Gerry</cp:lastModifiedBy>
  <cp:lastPrinted>2020-12-14T13:37:33Z</cp:lastPrinted>
  <dcterms:created xsi:type="dcterms:W3CDTF">2020-08-31T17:54:34Z</dcterms:created>
  <dcterms:modified xsi:type="dcterms:W3CDTF">2020-12-15T13:47:06Z</dcterms:modified>
</cp:coreProperties>
</file>