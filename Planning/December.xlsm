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erry\OneDrive\Documents\Work\Green Enviro\App Development\Planning\"/>
    </mc:Choice>
  </mc:AlternateContent>
  <xr:revisionPtr revIDLastSave="0" documentId="13_ncr:1_{99AD439D-F7E9-4AE6-890E-7296CEAE94C5}" xr6:coauthVersionLast="45" xr6:coauthVersionMax="45" xr10:uidLastSave="{00000000-0000-0000-0000-000000000000}"/>
  <bookViews>
    <workbookView xWindow="-108" yWindow="-108" windowWidth="23256" windowHeight="12576" tabRatio="693" firstSheet="10" activeTab="11" xr2:uid="{86A67715-EF70-41B5-92A9-36CB4C495225}"/>
  </bookViews>
  <sheets>
    <sheet name="1 December" sheetId="71" r:id="rId1"/>
    <sheet name="2 December" sheetId="70" r:id="rId2"/>
    <sheet name="3 December" sheetId="69" r:id="rId3"/>
    <sheet name="4 December" sheetId="68" r:id="rId4"/>
    <sheet name="5 December" sheetId="67" r:id="rId5"/>
    <sheet name="7 December" sheetId="66" r:id="rId6"/>
    <sheet name="8 December" sheetId="65" r:id="rId7"/>
    <sheet name="9 December" sheetId="64" r:id="rId8"/>
    <sheet name="10 December" sheetId="63" r:id="rId9"/>
    <sheet name="11 December" sheetId="62" r:id="rId10"/>
    <sheet name="12 December" sheetId="61" r:id="rId11"/>
    <sheet name="14 December" sheetId="60" r:id="rId12"/>
    <sheet name="15 December" sheetId="59" r:id="rId13"/>
    <sheet name="16 December" sheetId="58" r:id="rId14"/>
    <sheet name="17 December" sheetId="57" r:id="rId15"/>
    <sheet name="18 December" sheetId="56" r:id="rId16"/>
    <sheet name="19 December" sheetId="55" r:id="rId17"/>
    <sheet name="21 December" sheetId="53" r:id="rId18"/>
    <sheet name="22 December" sheetId="54" r:id="rId19"/>
    <sheet name="23 December" sheetId="52" r:id="rId20"/>
    <sheet name="24 December" sheetId="51" r:id="rId21"/>
    <sheet name="25 December" sheetId="50" r:id="rId22"/>
    <sheet name="26 December" sheetId="49" r:id="rId23"/>
    <sheet name="28 December" sheetId="48" r:id="rId24"/>
    <sheet name="29 December" sheetId="47" r:id="rId25"/>
    <sheet name="30 December" sheetId="72" r:id="rId26"/>
    <sheet name="31 December" sheetId="73" r:id="rId27"/>
    <sheet name="Receipt" sheetId="12" r:id="rId28"/>
    <sheet name="Month Summary" sheetId="9" r:id="rId29"/>
    <sheet name="Price List" sheetId="11" r:id="rId30"/>
    <sheet name="Formulas" sheetId="13" state="hidden" r:id="rId31"/>
    <sheet name="Receipt Copy" sheetId="46" state="hidden" r:id="rId32"/>
  </sheets>
  <functionGroups builtInGroupCount="19"/>
  <definedNames>
    <definedName name="_xlnm.Print_Area" localSheetId="27">Receipt!$A$1:$D$30</definedName>
    <definedName name="_xlnm.Print_Area" localSheetId="31">'Receipt Copy'!$A$1:$D$30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1" i="12" l="1" a="1"/>
  <c r="E1" i="12" s="1"/>
  <c r="C14" i="12" a="1"/>
  <c r="C14" i="12" s="1"/>
  <c r="C23" i="12" a="1"/>
  <c r="C23" i="12" s="1"/>
  <c r="C22" i="12" a="1"/>
  <c r="C22" i="12" s="1"/>
  <c r="C21" i="12" a="1"/>
  <c r="C21" i="12" s="1"/>
  <c r="C20" i="12" a="1"/>
  <c r="C20" i="12" s="1"/>
  <c r="C19" i="12" a="1"/>
  <c r="C19" i="12" s="1"/>
  <c r="C18" i="12" a="1"/>
  <c r="C18" i="12" s="1"/>
  <c r="C17" i="12" a="1"/>
  <c r="C17" i="12" s="1"/>
  <c r="C16" i="12" a="1"/>
  <c r="C16" i="12" s="1"/>
  <c r="C15" i="12" a="1"/>
  <c r="C15" i="12" s="1"/>
  <c r="W130" i="73" l="1"/>
  <c r="T130" i="73"/>
  <c r="Q130" i="73"/>
  <c r="P130" i="73"/>
  <c r="N130" i="73"/>
  <c r="M130" i="73"/>
  <c r="I130" i="73"/>
  <c r="F130" i="73"/>
  <c r="E130" i="73"/>
  <c r="B130" i="73"/>
  <c r="Z79" i="73"/>
  <c r="Z78" i="73"/>
  <c r="Z77" i="73"/>
  <c r="Z76" i="73"/>
  <c r="Z75" i="73"/>
  <c r="Z74" i="73"/>
  <c r="Z73" i="73"/>
  <c r="Z72" i="73"/>
  <c r="Z71" i="73"/>
  <c r="Z70" i="73"/>
  <c r="Z69" i="73"/>
  <c r="Z68" i="73"/>
  <c r="Z67" i="73"/>
  <c r="Z66" i="73"/>
  <c r="Z65" i="73"/>
  <c r="Z64" i="73"/>
  <c r="Z63" i="73"/>
  <c r="Z62" i="73"/>
  <c r="Z61" i="73"/>
  <c r="Z60" i="73"/>
  <c r="Z59" i="73"/>
  <c r="Z58" i="73"/>
  <c r="Z57" i="73"/>
  <c r="Z56" i="73"/>
  <c r="Z55" i="73"/>
  <c r="Z54" i="73"/>
  <c r="Z53" i="73"/>
  <c r="Z52" i="73"/>
  <c r="Z51" i="73"/>
  <c r="Z50" i="73"/>
  <c r="Z49" i="73"/>
  <c r="Z48" i="73"/>
  <c r="Z47" i="73"/>
  <c r="Z46" i="73"/>
  <c r="Z45" i="73"/>
  <c r="Z44" i="73"/>
  <c r="Z43" i="73"/>
  <c r="Z42" i="73"/>
  <c r="Z41" i="73"/>
  <c r="Z40" i="73"/>
  <c r="Z39" i="73"/>
  <c r="Z38" i="73"/>
  <c r="Z37" i="73"/>
  <c r="Z36" i="73"/>
  <c r="Z35" i="73"/>
  <c r="Z34" i="73"/>
  <c r="Z33" i="73"/>
  <c r="Z32" i="73"/>
  <c r="Z31" i="73"/>
  <c r="Z30" i="73"/>
  <c r="Z29" i="73"/>
  <c r="Z28" i="73"/>
  <c r="Z27" i="73"/>
  <c r="Z26" i="73"/>
  <c r="Z25" i="73"/>
  <c r="Z24" i="73"/>
  <c r="Z23" i="73"/>
  <c r="Z22" i="73"/>
  <c r="Z21" i="73"/>
  <c r="Z20" i="73"/>
  <c r="Z19" i="73"/>
  <c r="Z18" i="73"/>
  <c r="Z17" i="73"/>
  <c r="Z16" i="73"/>
  <c r="Z15" i="73"/>
  <c r="Z14" i="73"/>
  <c r="Z13" i="73"/>
  <c r="Z12" i="73"/>
  <c r="Z11" i="73"/>
  <c r="Z10" i="73"/>
  <c r="Z9" i="73"/>
  <c r="D3" i="73"/>
  <c r="W130" i="72"/>
  <c r="T130" i="72"/>
  <c r="Q130" i="72"/>
  <c r="P130" i="72"/>
  <c r="N130" i="72"/>
  <c r="M130" i="72"/>
  <c r="I130" i="72"/>
  <c r="D3" i="72" s="1"/>
  <c r="F130" i="72"/>
  <c r="E130" i="72"/>
  <c r="B130" i="72"/>
  <c r="Z79" i="72"/>
  <c r="Z78" i="72"/>
  <c r="Z77" i="72"/>
  <c r="Z76" i="72"/>
  <c r="Z75" i="72"/>
  <c r="Z74" i="72"/>
  <c r="Z73" i="72"/>
  <c r="Z72" i="72"/>
  <c r="Z71" i="72"/>
  <c r="Z70" i="72"/>
  <c r="Z69" i="72"/>
  <c r="Z68" i="72"/>
  <c r="Z67" i="72"/>
  <c r="Z66" i="72"/>
  <c r="Z65" i="72"/>
  <c r="Z64" i="72"/>
  <c r="Z63" i="72"/>
  <c r="Z62" i="72"/>
  <c r="Z61" i="72"/>
  <c r="Z60" i="72"/>
  <c r="Z59" i="72"/>
  <c r="Z58" i="72"/>
  <c r="Z57" i="72"/>
  <c r="Z56" i="72"/>
  <c r="Z55" i="72"/>
  <c r="Z54" i="72"/>
  <c r="Z53" i="72"/>
  <c r="Z52" i="72"/>
  <c r="Z51" i="72"/>
  <c r="Z50" i="72"/>
  <c r="Z49" i="72"/>
  <c r="Z48" i="72"/>
  <c r="Z47" i="72"/>
  <c r="Z46" i="72"/>
  <c r="Z45" i="72"/>
  <c r="Z44" i="72"/>
  <c r="Z43" i="72"/>
  <c r="Z42" i="72"/>
  <c r="Z41" i="72"/>
  <c r="Z40" i="72"/>
  <c r="Z39" i="72"/>
  <c r="Z38" i="72"/>
  <c r="Z37" i="72"/>
  <c r="Z36" i="72"/>
  <c r="Z35" i="72"/>
  <c r="Z34" i="72"/>
  <c r="Z33" i="72"/>
  <c r="Z32" i="72"/>
  <c r="Z31" i="72"/>
  <c r="Z30" i="72"/>
  <c r="Z29" i="72"/>
  <c r="Z28" i="72"/>
  <c r="Z27" i="72"/>
  <c r="Z26" i="72"/>
  <c r="Z25" i="72"/>
  <c r="Z24" i="72"/>
  <c r="Z23" i="72"/>
  <c r="Z22" i="72"/>
  <c r="Z21" i="72"/>
  <c r="Z20" i="72"/>
  <c r="Z19" i="72"/>
  <c r="Z18" i="72"/>
  <c r="Z17" i="72"/>
  <c r="Z16" i="72"/>
  <c r="Z15" i="72"/>
  <c r="Z14" i="72"/>
  <c r="Z13" i="72"/>
  <c r="Z12" i="72"/>
  <c r="Z11" i="72"/>
  <c r="Z10" i="72"/>
  <c r="Z9" i="72"/>
  <c r="B25" i="46" l="1"/>
  <c r="B25" i="12"/>
  <c r="W130" i="71" l="1"/>
  <c r="T130" i="71"/>
  <c r="Q130" i="71"/>
  <c r="P130" i="71"/>
  <c r="N130" i="71"/>
  <c r="M130" i="71"/>
  <c r="I130" i="71"/>
  <c r="D3" i="71" s="1"/>
  <c r="F130" i="71"/>
  <c r="E130" i="71"/>
  <c r="B130" i="71"/>
  <c r="Z79" i="71"/>
  <c r="Z78" i="71"/>
  <c r="Z77" i="71"/>
  <c r="Z76" i="71"/>
  <c r="Z75" i="71"/>
  <c r="Z74" i="71"/>
  <c r="Z73" i="71"/>
  <c r="Z72" i="71"/>
  <c r="Z71" i="71"/>
  <c r="Z70" i="71"/>
  <c r="Z69" i="71"/>
  <c r="Z68" i="71"/>
  <c r="Z67" i="71"/>
  <c r="Z66" i="71"/>
  <c r="Z65" i="71"/>
  <c r="Z64" i="71"/>
  <c r="Z63" i="71"/>
  <c r="Z62" i="71"/>
  <c r="Z61" i="71"/>
  <c r="Z60" i="71"/>
  <c r="Z59" i="71"/>
  <c r="Z58" i="71"/>
  <c r="Z57" i="71"/>
  <c r="Z56" i="71"/>
  <c r="Z55" i="71"/>
  <c r="Z54" i="71"/>
  <c r="Z53" i="71"/>
  <c r="Z52" i="71"/>
  <c r="Z51" i="71"/>
  <c r="Z50" i="71"/>
  <c r="Z49" i="71"/>
  <c r="Z48" i="71"/>
  <c r="Z47" i="71"/>
  <c r="Z46" i="71"/>
  <c r="Z45" i="71"/>
  <c r="Z44" i="71"/>
  <c r="Z43" i="71"/>
  <c r="Z42" i="71"/>
  <c r="Z41" i="71"/>
  <c r="Z40" i="71"/>
  <c r="Z39" i="71"/>
  <c r="Z38" i="71"/>
  <c r="Z37" i="71"/>
  <c r="Z36" i="71"/>
  <c r="Z35" i="71"/>
  <c r="Z34" i="71"/>
  <c r="Z33" i="71"/>
  <c r="Z32" i="71"/>
  <c r="Z31" i="71"/>
  <c r="Z30" i="71"/>
  <c r="Z29" i="71"/>
  <c r="Z28" i="71"/>
  <c r="Z27" i="71"/>
  <c r="Z26" i="71"/>
  <c r="Z25" i="71"/>
  <c r="Z24" i="71"/>
  <c r="Z23" i="71"/>
  <c r="Z22" i="71"/>
  <c r="Z21" i="71"/>
  <c r="Z20" i="71"/>
  <c r="Z19" i="71"/>
  <c r="Z18" i="71"/>
  <c r="Z17" i="71"/>
  <c r="Z16" i="71"/>
  <c r="Z15" i="71"/>
  <c r="Z14" i="71"/>
  <c r="Z13" i="71"/>
  <c r="Z12" i="71"/>
  <c r="Z11" i="71"/>
  <c r="Z10" i="71"/>
  <c r="Z9" i="71"/>
  <c r="W130" i="70"/>
  <c r="T130" i="70"/>
  <c r="Q130" i="70"/>
  <c r="P130" i="70"/>
  <c r="N130" i="70"/>
  <c r="M130" i="70"/>
  <c r="I130" i="70"/>
  <c r="F130" i="70"/>
  <c r="E130" i="70"/>
  <c r="B130" i="70"/>
  <c r="Z79" i="70"/>
  <c r="Z78" i="70"/>
  <c r="Z77" i="70"/>
  <c r="Z76" i="70"/>
  <c r="Z75" i="70"/>
  <c r="Z74" i="70"/>
  <c r="Z73" i="70"/>
  <c r="Z72" i="70"/>
  <c r="Z71" i="70"/>
  <c r="Z70" i="70"/>
  <c r="Z69" i="70"/>
  <c r="Z68" i="70"/>
  <c r="Z67" i="70"/>
  <c r="Z66" i="70"/>
  <c r="Z65" i="70"/>
  <c r="Z64" i="70"/>
  <c r="Z63" i="70"/>
  <c r="Z62" i="70"/>
  <c r="Z61" i="70"/>
  <c r="Z60" i="70"/>
  <c r="Z59" i="70"/>
  <c r="Z58" i="70"/>
  <c r="Z57" i="70"/>
  <c r="Z56" i="70"/>
  <c r="Z55" i="70"/>
  <c r="Z54" i="70"/>
  <c r="Z53" i="70"/>
  <c r="Z52" i="70"/>
  <c r="Z51" i="70"/>
  <c r="Z50" i="70"/>
  <c r="Z49" i="70"/>
  <c r="Z48" i="70"/>
  <c r="Z47" i="70"/>
  <c r="Z46" i="70"/>
  <c r="Z45" i="70"/>
  <c r="Z44" i="70"/>
  <c r="Z43" i="70"/>
  <c r="Z42" i="70"/>
  <c r="Z41" i="70"/>
  <c r="Z40" i="70"/>
  <c r="Z39" i="70"/>
  <c r="Z38" i="70"/>
  <c r="Z37" i="70"/>
  <c r="Z36" i="70"/>
  <c r="Z35" i="70"/>
  <c r="Z34" i="70"/>
  <c r="Z33" i="70"/>
  <c r="Z32" i="70"/>
  <c r="Z31" i="70"/>
  <c r="Z30" i="70"/>
  <c r="Z29" i="70"/>
  <c r="Z28" i="70"/>
  <c r="Z27" i="70"/>
  <c r="Z26" i="70"/>
  <c r="Z25" i="70"/>
  <c r="Z24" i="70"/>
  <c r="Z23" i="70"/>
  <c r="Z22" i="70"/>
  <c r="Z21" i="70"/>
  <c r="Z20" i="70"/>
  <c r="Z19" i="70"/>
  <c r="Z18" i="70"/>
  <c r="Z17" i="70"/>
  <c r="Z16" i="70"/>
  <c r="Z15" i="70"/>
  <c r="Z14" i="70"/>
  <c r="Z13" i="70"/>
  <c r="Z12" i="70"/>
  <c r="Z11" i="70"/>
  <c r="Z10" i="70"/>
  <c r="Z9" i="70"/>
  <c r="W130" i="69"/>
  <c r="T130" i="69"/>
  <c r="Q130" i="69"/>
  <c r="P130" i="69"/>
  <c r="N130" i="69"/>
  <c r="M130" i="69"/>
  <c r="I130" i="69"/>
  <c r="F130" i="69"/>
  <c r="E130" i="69"/>
  <c r="B130" i="69"/>
  <c r="Z79" i="69"/>
  <c r="Z78" i="69"/>
  <c r="Z77" i="69"/>
  <c r="Z76" i="69"/>
  <c r="Z75" i="69"/>
  <c r="Z74" i="69"/>
  <c r="Z73" i="69"/>
  <c r="Z72" i="69"/>
  <c r="Z71" i="69"/>
  <c r="Z70" i="69"/>
  <c r="Z69" i="69"/>
  <c r="Z68" i="69"/>
  <c r="Z67" i="69"/>
  <c r="Z66" i="69"/>
  <c r="Z65" i="69"/>
  <c r="Z64" i="69"/>
  <c r="Z63" i="69"/>
  <c r="Z62" i="69"/>
  <c r="Z61" i="69"/>
  <c r="Z60" i="69"/>
  <c r="Z59" i="69"/>
  <c r="Z58" i="69"/>
  <c r="Z57" i="69"/>
  <c r="Z56" i="69"/>
  <c r="Z55" i="69"/>
  <c r="Z54" i="69"/>
  <c r="Z53" i="69"/>
  <c r="Z52" i="69"/>
  <c r="Z51" i="69"/>
  <c r="Z50" i="69"/>
  <c r="Z49" i="69"/>
  <c r="Z48" i="69"/>
  <c r="Z47" i="69"/>
  <c r="Z46" i="69"/>
  <c r="Z45" i="69"/>
  <c r="Z44" i="69"/>
  <c r="Z43" i="69"/>
  <c r="Z42" i="69"/>
  <c r="Z41" i="69"/>
  <c r="Z40" i="69"/>
  <c r="Z39" i="69"/>
  <c r="Z38" i="69"/>
  <c r="Z37" i="69"/>
  <c r="Z36" i="69"/>
  <c r="Z35" i="69"/>
  <c r="Z34" i="69"/>
  <c r="Z33" i="69"/>
  <c r="Z32" i="69"/>
  <c r="Z31" i="69"/>
  <c r="Z30" i="69"/>
  <c r="Z29" i="69"/>
  <c r="Z28" i="69"/>
  <c r="Z27" i="69"/>
  <c r="Z26" i="69"/>
  <c r="Z25" i="69"/>
  <c r="Z24" i="69"/>
  <c r="Z23" i="69"/>
  <c r="Z22" i="69"/>
  <c r="Z21" i="69"/>
  <c r="Z20" i="69"/>
  <c r="Z19" i="69"/>
  <c r="Z18" i="69"/>
  <c r="Z17" i="69"/>
  <c r="Z16" i="69"/>
  <c r="Z15" i="69"/>
  <c r="Z14" i="69"/>
  <c r="Z13" i="69"/>
  <c r="Z12" i="69"/>
  <c r="Z11" i="69"/>
  <c r="Z10" i="69"/>
  <c r="Z9" i="69"/>
  <c r="W130" i="68"/>
  <c r="T130" i="68"/>
  <c r="Q130" i="68"/>
  <c r="P130" i="68"/>
  <c r="N130" i="68"/>
  <c r="M130" i="68"/>
  <c r="I130" i="68"/>
  <c r="F130" i="68"/>
  <c r="E130" i="68"/>
  <c r="B130" i="68"/>
  <c r="Z79" i="68"/>
  <c r="Z78" i="68"/>
  <c r="Z77" i="68"/>
  <c r="Z76" i="68"/>
  <c r="Z75" i="68"/>
  <c r="Z74" i="68"/>
  <c r="Z73" i="68"/>
  <c r="Z72" i="68"/>
  <c r="Z71" i="68"/>
  <c r="Z70" i="68"/>
  <c r="Z69" i="68"/>
  <c r="Z68" i="68"/>
  <c r="Z67" i="68"/>
  <c r="Z66" i="68"/>
  <c r="Z65" i="68"/>
  <c r="Z64" i="68"/>
  <c r="Z63" i="68"/>
  <c r="Z62" i="68"/>
  <c r="Z61" i="68"/>
  <c r="Z60" i="68"/>
  <c r="Z59" i="68"/>
  <c r="Z58" i="68"/>
  <c r="Z57" i="68"/>
  <c r="Z56" i="68"/>
  <c r="Z55" i="68"/>
  <c r="Z54" i="68"/>
  <c r="Z53" i="68"/>
  <c r="Z52" i="68"/>
  <c r="Z51" i="68"/>
  <c r="Z50" i="68"/>
  <c r="Z49" i="68"/>
  <c r="Z48" i="68"/>
  <c r="Z47" i="68"/>
  <c r="Z46" i="68"/>
  <c r="Z45" i="68"/>
  <c r="Z44" i="68"/>
  <c r="Z43" i="68"/>
  <c r="Z42" i="68"/>
  <c r="Z41" i="68"/>
  <c r="Z40" i="68"/>
  <c r="Z39" i="68"/>
  <c r="Z38" i="68"/>
  <c r="Z37" i="68"/>
  <c r="Z36" i="68"/>
  <c r="Z35" i="68"/>
  <c r="Z34" i="68"/>
  <c r="Z33" i="68"/>
  <c r="Z32" i="68"/>
  <c r="Z31" i="68"/>
  <c r="Z30" i="68"/>
  <c r="Z29" i="68"/>
  <c r="Z28" i="68"/>
  <c r="Z27" i="68"/>
  <c r="Z26" i="68"/>
  <c r="Z25" i="68"/>
  <c r="Z24" i="68"/>
  <c r="Z23" i="68"/>
  <c r="Z22" i="68"/>
  <c r="Z21" i="68"/>
  <c r="Z20" i="68"/>
  <c r="Z19" i="68"/>
  <c r="Z18" i="68"/>
  <c r="Z17" i="68"/>
  <c r="Z16" i="68"/>
  <c r="Z15" i="68"/>
  <c r="Z14" i="68"/>
  <c r="Z13" i="68"/>
  <c r="Z12" i="68"/>
  <c r="Z11" i="68"/>
  <c r="Z10" i="68"/>
  <c r="Z9" i="68"/>
  <c r="W130" i="67"/>
  <c r="T130" i="67"/>
  <c r="Q130" i="67"/>
  <c r="P130" i="67"/>
  <c r="N130" i="67"/>
  <c r="M130" i="67"/>
  <c r="I130" i="67"/>
  <c r="F130" i="67"/>
  <c r="E130" i="67"/>
  <c r="B130" i="67"/>
  <c r="Z79" i="67"/>
  <c r="Z78" i="67"/>
  <c r="Z77" i="67"/>
  <c r="Z76" i="67"/>
  <c r="Z75" i="67"/>
  <c r="Z74" i="67"/>
  <c r="Z73" i="67"/>
  <c r="Z72" i="67"/>
  <c r="Z71" i="67"/>
  <c r="Z70" i="67"/>
  <c r="Z69" i="67"/>
  <c r="Z68" i="67"/>
  <c r="Z67" i="67"/>
  <c r="Z66" i="67"/>
  <c r="Z65" i="67"/>
  <c r="Z64" i="67"/>
  <c r="Z63" i="67"/>
  <c r="Z62" i="67"/>
  <c r="Z61" i="67"/>
  <c r="Z60" i="67"/>
  <c r="Z59" i="67"/>
  <c r="Z58" i="67"/>
  <c r="Z57" i="67"/>
  <c r="Z56" i="67"/>
  <c r="Z55" i="67"/>
  <c r="Z54" i="67"/>
  <c r="Z53" i="67"/>
  <c r="Z52" i="67"/>
  <c r="Z51" i="67"/>
  <c r="Z50" i="67"/>
  <c r="Z49" i="67"/>
  <c r="Z48" i="67"/>
  <c r="Z47" i="67"/>
  <c r="Z46" i="67"/>
  <c r="Z45" i="67"/>
  <c r="Z44" i="67"/>
  <c r="Z43" i="67"/>
  <c r="Z42" i="67"/>
  <c r="Z41" i="67"/>
  <c r="Z40" i="67"/>
  <c r="Z39" i="67"/>
  <c r="Z38" i="67"/>
  <c r="Z37" i="67"/>
  <c r="Z36" i="67"/>
  <c r="Z35" i="67"/>
  <c r="Z34" i="67"/>
  <c r="Z33" i="67"/>
  <c r="Z32" i="67"/>
  <c r="Z31" i="67"/>
  <c r="Z30" i="67"/>
  <c r="Z29" i="67"/>
  <c r="Z28" i="67"/>
  <c r="Z27" i="67"/>
  <c r="Z26" i="67"/>
  <c r="Z25" i="67"/>
  <c r="Z24" i="67"/>
  <c r="Z23" i="67"/>
  <c r="Z22" i="67"/>
  <c r="Z21" i="67"/>
  <c r="Z20" i="67"/>
  <c r="Z19" i="67"/>
  <c r="Z18" i="67"/>
  <c r="Z17" i="67"/>
  <c r="Z16" i="67"/>
  <c r="Z15" i="67"/>
  <c r="Z14" i="67"/>
  <c r="Z13" i="67"/>
  <c r="Z12" i="67"/>
  <c r="Z11" i="67"/>
  <c r="Z10" i="67"/>
  <c r="Z9" i="67"/>
  <c r="W130" i="66"/>
  <c r="T130" i="66"/>
  <c r="Q130" i="66"/>
  <c r="P130" i="66"/>
  <c r="N130" i="66"/>
  <c r="M130" i="66"/>
  <c r="I130" i="66"/>
  <c r="F130" i="66"/>
  <c r="E130" i="66"/>
  <c r="B130" i="66"/>
  <c r="Z79" i="66"/>
  <c r="Z78" i="66"/>
  <c r="Z77" i="66"/>
  <c r="Z76" i="66"/>
  <c r="Z75" i="66"/>
  <c r="Z74" i="66"/>
  <c r="Z73" i="66"/>
  <c r="Z72" i="66"/>
  <c r="Z71" i="66"/>
  <c r="Z70" i="66"/>
  <c r="Z69" i="66"/>
  <c r="Z68" i="66"/>
  <c r="Z67" i="66"/>
  <c r="Z66" i="66"/>
  <c r="Z65" i="66"/>
  <c r="Z64" i="66"/>
  <c r="Z63" i="66"/>
  <c r="Z62" i="66"/>
  <c r="Z61" i="66"/>
  <c r="Z60" i="66"/>
  <c r="Z59" i="66"/>
  <c r="Z58" i="66"/>
  <c r="Z57" i="66"/>
  <c r="Z56" i="66"/>
  <c r="Z55" i="66"/>
  <c r="Z54" i="66"/>
  <c r="Z53" i="66"/>
  <c r="Z52" i="66"/>
  <c r="Z51" i="66"/>
  <c r="Z50" i="66"/>
  <c r="Z49" i="66"/>
  <c r="Z48" i="66"/>
  <c r="Z47" i="66"/>
  <c r="Z46" i="66"/>
  <c r="Z45" i="66"/>
  <c r="Z44" i="66"/>
  <c r="Z43" i="66"/>
  <c r="Z42" i="66"/>
  <c r="Z41" i="66"/>
  <c r="Z40" i="66"/>
  <c r="Z39" i="66"/>
  <c r="Z38" i="66"/>
  <c r="Z37" i="66"/>
  <c r="Z36" i="66"/>
  <c r="Z35" i="66"/>
  <c r="Z34" i="66"/>
  <c r="Z33" i="66"/>
  <c r="Z32" i="66"/>
  <c r="Z31" i="66"/>
  <c r="Z30" i="66"/>
  <c r="Z29" i="66"/>
  <c r="Z28" i="66"/>
  <c r="Z27" i="66"/>
  <c r="Z26" i="66"/>
  <c r="Z25" i="66"/>
  <c r="Z24" i="66"/>
  <c r="Z23" i="66"/>
  <c r="Z22" i="66"/>
  <c r="Z21" i="66"/>
  <c r="Z20" i="66"/>
  <c r="Z19" i="66"/>
  <c r="Z18" i="66"/>
  <c r="Z17" i="66"/>
  <c r="Z16" i="66"/>
  <c r="Z15" i="66"/>
  <c r="Z14" i="66"/>
  <c r="Z13" i="66"/>
  <c r="Z12" i="66"/>
  <c r="Z11" i="66"/>
  <c r="Z10" i="66"/>
  <c r="Z9" i="66"/>
  <c r="W130" i="65"/>
  <c r="T130" i="65"/>
  <c r="Q130" i="65"/>
  <c r="P130" i="65"/>
  <c r="N130" i="65"/>
  <c r="M130" i="65"/>
  <c r="I130" i="65"/>
  <c r="F130" i="65"/>
  <c r="E130" i="65"/>
  <c r="B130" i="65"/>
  <c r="Z79" i="65"/>
  <c r="Z78" i="65"/>
  <c r="Z77" i="65"/>
  <c r="Z76" i="65"/>
  <c r="Z75" i="65"/>
  <c r="Z74" i="65"/>
  <c r="Z73" i="65"/>
  <c r="Z72" i="65"/>
  <c r="Z71" i="65"/>
  <c r="Z70" i="65"/>
  <c r="Z69" i="65"/>
  <c r="Z68" i="65"/>
  <c r="Z67" i="65"/>
  <c r="Z66" i="65"/>
  <c r="Z65" i="65"/>
  <c r="Z64" i="65"/>
  <c r="Z63" i="65"/>
  <c r="Z62" i="65"/>
  <c r="Z61" i="65"/>
  <c r="Z60" i="65"/>
  <c r="Z59" i="65"/>
  <c r="Z58" i="65"/>
  <c r="Z57" i="65"/>
  <c r="Z56" i="65"/>
  <c r="Z55" i="65"/>
  <c r="Z54" i="65"/>
  <c r="Z53" i="65"/>
  <c r="Z52" i="65"/>
  <c r="Z51" i="65"/>
  <c r="Z50" i="65"/>
  <c r="Z49" i="65"/>
  <c r="Z48" i="65"/>
  <c r="Z47" i="65"/>
  <c r="Z46" i="65"/>
  <c r="Z45" i="65"/>
  <c r="Z44" i="65"/>
  <c r="Z43" i="65"/>
  <c r="Z42" i="65"/>
  <c r="Z41" i="65"/>
  <c r="Z40" i="65"/>
  <c r="Z39" i="65"/>
  <c r="Z38" i="65"/>
  <c r="Z37" i="65"/>
  <c r="Z36" i="65"/>
  <c r="Z35" i="65"/>
  <c r="Z34" i="65"/>
  <c r="Z33" i="65"/>
  <c r="Z32" i="65"/>
  <c r="Z31" i="65"/>
  <c r="Z30" i="65"/>
  <c r="Z29" i="65"/>
  <c r="Z28" i="65"/>
  <c r="Z27" i="65"/>
  <c r="Z26" i="65"/>
  <c r="Z25" i="65"/>
  <c r="Z24" i="65"/>
  <c r="Z23" i="65"/>
  <c r="Z22" i="65"/>
  <c r="Z21" i="65"/>
  <c r="Z20" i="65"/>
  <c r="Z19" i="65"/>
  <c r="Z18" i="65"/>
  <c r="Z17" i="65"/>
  <c r="Z16" i="65"/>
  <c r="Z15" i="65"/>
  <c r="Z14" i="65"/>
  <c r="Z13" i="65"/>
  <c r="Z12" i="65"/>
  <c r="Z11" i="65"/>
  <c r="Z10" i="65"/>
  <c r="Z9" i="65"/>
  <c r="W130" i="64"/>
  <c r="T130" i="64"/>
  <c r="Q130" i="64"/>
  <c r="P130" i="64"/>
  <c r="N130" i="64"/>
  <c r="M130" i="64"/>
  <c r="I130" i="64"/>
  <c r="F130" i="64"/>
  <c r="E130" i="64"/>
  <c r="B130" i="64"/>
  <c r="Z79" i="64"/>
  <c r="Z78" i="64"/>
  <c r="Z77" i="64"/>
  <c r="Z76" i="64"/>
  <c r="Z75" i="64"/>
  <c r="Z74" i="64"/>
  <c r="Z73" i="64"/>
  <c r="Z72" i="64"/>
  <c r="Z71" i="64"/>
  <c r="Z70" i="64"/>
  <c r="Z69" i="64"/>
  <c r="Z68" i="64"/>
  <c r="Z67" i="64"/>
  <c r="Z66" i="64"/>
  <c r="Z65" i="64"/>
  <c r="Z64" i="64"/>
  <c r="Z63" i="64"/>
  <c r="Z62" i="64"/>
  <c r="Z61" i="64"/>
  <c r="Z60" i="64"/>
  <c r="Z59" i="64"/>
  <c r="Z58" i="64"/>
  <c r="Z57" i="64"/>
  <c r="Z56" i="64"/>
  <c r="Z55" i="64"/>
  <c r="Z54" i="64"/>
  <c r="Z53" i="64"/>
  <c r="Z52" i="64"/>
  <c r="Z51" i="64"/>
  <c r="Z50" i="64"/>
  <c r="Z49" i="64"/>
  <c r="Z48" i="64"/>
  <c r="Z47" i="64"/>
  <c r="Z46" i="64"/>
  <c r="Z45" i="64"/>
  <c r="Z44" i="64"/>
  <c r="Z43" i="64"/>
  <c r="Z42" i="64"/>
  <c r="Z41" i="64"/>
  <c r="Z40" i="64"/>
  <c r="Z39" i="64"/>
  <c r="Z38" i="64"/>
  <c r="Z37" i="64"/>
  <c r="Z36" i="64"/>
  <c r="Z35" i="64"/>
  <c r="Z34" i="64"/>
  <c r="Z33" i="64"/>
  <c r="Z32" i="64"/>
  <c r="Z31" i="64"/>
  <c r="Z30" i="64"/>
  <c r="Z29" i="64"/>
  <c r="Z28" i="64"/>
  <c r="Z27" i="64"/>
  <c r="Z26" i="64"/>
  <c r="Z25" i="64"/>
  <c r="Z24" i="64"/>
  <c r="Z23" i="64"/>
  <c r="Z22" i="64"/>
  <c r="Z21" i="64"/>
  <c r="Z20" i="64"/>
  <c r="Z19" i="64"/>
  <c r="Z18" i="64"/>
  <c r="Z17" i="64"/>
  <c r="Z16" i="64"/>
  <c r="Z15" i="64"/>
  <c r="Z14" i="64"/>
  <c r="Z13" i="64"/>
  <c r="Z12" i="64"/>
  <c r="Z11" i="64"/>
  <c r="Z10" i="64"/>
  <c r="Z9" i="64"/>
  <c r="W130" i="63"/>
  <c r="T130" i="63"/>
  <c r="Q130" i="63"/>
  <c r="P130" i="63"/>
  <c r="N130" i="63"/>
  <c r="M130" i="63"/>
  <c r="I130" i="63"/>
  <c r="F130" i="63"/>
  <c r="E130" i="63"/>
  <c r="B130" i="63"/>
  <c r="Z79" i="63"/>
  <c r="Z78" i="63"/>
  <c r="Z77" i="63"/>
  <c r="Z76" i="63"/>
  <c r="Z75" i="63"/>
  <c r="Z74" i="63"/>
  <c r="Z73" i="63"/>
  <c r="Z72" i="63"/>
  <c r="Z71" i="63"/>
  <c r="Z70" i="63"/>
  <c r="Z69" i="63"/>
  <c r="Z68" i="63"/>
  <c r="Z67" i="63"/>
  <c r="Z66" i="63"/>
  <c r="Z65" i="63"/>
  <c r="Z64" i="63"/>
  <c r="Z63" i="63"/>
  <c r="Z62" i="63"/>
  <c r="Z61" i="63"/>
  <c r="Z60" i="63"/>
  <c r="Z59" i="63"/>
  <c r="Z58" i="63"/>
  <c r="Z57" i="63"/>
  <c r="Z56" i="63"/>
  <c r="Z55" i="63"/>
  <c r="Z54" i="63"/>
  <c r="Z53" i="63"/>
  <c r="Z52" i="63"/>
  <c r="Z51" i="63"/>
  <c r="Z50" i="63"/>
  <c r="Z49" i="63"/>
  <c r="Z48" i="63"/>
  <c r="Z47" i="63"/>
  <c r="Z46" i="63"/>
  <c r="Z45" i="63"/>
  <c r="Z44" i="63"/>
  <c r="Z43" i="63"/>
  <c r="Z42" i="63"/>
  <c r="Z41" i="63"/>
  <c r="Z40" i="63"/>
  <c r="Z39" i="63"/>
  <c r="Z38" i="63"/>
  <c r="Z37" i="63"/>
  <c r="Z36" i="63"/>
  <c r="Z35" i="63"/>
  <c r="Z34" i="63"/>
  <c r="Z33" i="63"/>
  <c r="Z32" i="63"/>
  <c r="Z31" i="63"/>
  <c r="Z30" i="63"/>
  <c r="Z29" i="63"/>
  <c r="Z28" i="63"/>
  <c r="Z27" i="63"/>
  <c r="Z26" i="63"/>
  <c r="Z25" i="63"/>
  <c r="Z24" i="63"/>
  <c r="Z23" i="63"/>
  <c r="Z22" i="63"/>
  <c r="Z21" i="63"/>
  <c r="Z20" i="63"/>
  <c r="Z19" i="63"/>
  <c r="Z18" i="63"/>
  <c r="Z17" i="63"/>
  <c r="Z16" i="63"/>
  <c r="Z15" i="63"/>
  <c r="Z14" i="63"/>
  <c r="Z13" i="63"/>
  <c r="Z12" i="63"/>
  <c r="Z11" i="63"/>
  <c r="Z10" i="63"/>
  <c r="Z9" i="63"/>
  <c r="W130" i="62"/>
  <c r="T130" i="62"/>
  <c r="Q130" i="62"/>
  <c r="P130" i="62"/>
  <c r="N130" i="62"/>
  <c r="M130" i="62"/>
  <c r="I130" i="62"/>
  <c r="F130" i="62"/>
  <c r="E130" i="62"/>
  <c r="B130" i="62"/>
  <c r="Z79" i="62"/>
  <c r="Z78" i="62"/>
  <c r="Z77" i="62"/>
  <c r="Z76" i="62"/>
  <c r="Z75" i="62"/>
  <c r="Z74" i="62"/>
  <c r="Z73" i="62"/>
  <c r="Z72" i="62"/>
  <c r="Z71" i="62"/>
  <c r="Z70" i="62"/>
  <c r="Z69" i="62"/>
  <c r="Z68" i="62"/>
  <c r="Z67" i="62"/>
  <c r="Z66" i="62"/>
  <c r="Z65" i="62"/>
  <c r="Z64" i="62"/>
  <c r="Z63" i="62"/>
  <c r="Z62" i="62"/>
  <c r="Z61" i="62"/>
  <c r="Z60" i="62"/>
  <c r="Z59" i="62"/>
  <c r="Z58" i="62"/>
  <c r="Z57" i="62"/>
  <c r="Z56" i="62"/>
  <c r="Z55" i="62"/>
  <c r="Z54" i="62"/>
  <c r="Z53" i="62"/>
  <c r="Z52" i="62"/>
  <c r="Z51" i="62"/>
  <c r="Z50" i="62"/>
  <c r="Z49" i="62"/>
  <c r="Z48" i="62"/>
  <c r="Z47" i="62"/>
  <c r="Z46" i="62"/>
  <c r="Z45" i="62"/>
  <c r="Z44" i="62"/>
  <c r="Z43" i="62"/>
  <c r="Z42" i="62"/>
  <c r="Z41" i="62"/>
  <c r="Z40" i="62"/>
  <c r="Z39" i="62"/>
  <c r="Z38" i="62"/>
  <c r="Z37" i="62"/>
  <c r="Z36" i="62"/>
  <c r="Z35" i="62"/>
  <c r="Z34" i="62"/>
  <c r="Z33" i="62"/>
  <c r="Z32" i="62"/>
  <c r="Z31" i="62"/>
  <c r="Z30" i="62"/>
  <c r="Z29" i="62"/>
  <c r="Z28" i="62"/>
  <c r="Z27" i="62"/>
  <c r="Z26" i="62"/>
  <c r="Z25" i="62"/>
  <c r="Z24" i="62"/>
  <c r="Z23" i="62"/>
  <c r="Z22" i="62"/>
  <c r="Z21" i="62"/>
  <c r="Z20" i="62"/>
  <c r="Z19" i="62"/>
  <c r="Z18" i="62"/>
  <c r="Z17" i="62"/>
  <c r="Z16" i="62"/>
  <c r="Z15" i="62"/>
  <c r="Z14" i="62"/>
  <c r="Z13" i="62"/>
  <c r="Z12" i="62"/>
  <c r="Z11" i="62"/>
  <c r="Z10" i="62"/>
  <c r="Z9" i="62"/>
  <c r="W130" i="61"/>
  <c r="T130" i="61"/>
  <c r="Q130" i="61"/>
  <c r="P130" i="61"/>
  <c r="N130" i="61"/>
  <c r="M130" i="61"/>
  <c r="I130" i="61"/>
  <c r="F130" i="61"/>
  <c r="E130" i="61"/>
  <c r="B130" i="61"/>
  <c r="Z79" i="61"/>
  <c r="Z78" i="61"/>
  <c r="Z77" i="61"/>
  <c r="Z76" i="61"/>
  <c r="Z75" i="61"/>
  <c r="Z74" i="61"/>
  <c r="Z73" i="61"/>
  <c r="Z72" i="61"/>
  <c r="Z71" i="61"/>
  <c r="Z70" i="61"/>
  <c r="Z69" i="61"/>
  <c r="Z68" i="61"/>
  <c r="Z67" i="61"/>
  <c r="Z66" i="61"/>
  <c r="Z65" i="61"/>
  <c r="Z64" i="61"/>
  <c r="Z63" i="61"/>
  <c r="Z62" i="61"/>
  <c r="Z61" i="61"/>
  <c r="Z60" i="61"/>
  <c r="Z59" i="61"/>
  <c r="Z58" i="61"/>
  <c r="Z57" i="61"/>
  <c r="Z56" i="61"/>
  <c r="Z55" i="61"/>
  <c r="Z54" i="61"/>
  <c r="Z53" i="61"/>
  <c r="Z52" i="61"/>
  <c r="Z51" i="61"/>
  <c r="Z50" i="61"/>
  <c r="Z49" i="61"/>
  <c r="Z48" i="61"/>
  <c r="Z47" i="61"/>
  <c r="Z46" i="61"/>
  <c r="Z45" i="61"/>
  <c r="Z44" i="61"/>
  <c r="Z43" i="61"/>
  <c r="Z42" i="61"/>
  <c r="Z41" i="61"/>
  <c r="Z40" i="61"/>
  <c r="Z39" i="61"/>
  <c r="Z38" i="61"/>
  <c r="Z37" i="61"/>
  <c r="Z36" i="61"/>
  <c r="Z35" i="61"/>
  <c r="Z34" i="61"/>
  <c r="Z33" i="61"/>
  <c r="Z32" i="61"/>
  <c r="Z31" i="61"/>
  <c r="Z30" i="61"/>
  <c r="Z29" i="61"/>
  <c r="Z28" i="61"/>
  <c r="Z27" i="61"/>
  <c r="Z26" i="61"/>
  <c r="Z25" i="61"/>
  <c r="Z24" i="61"/>
  <c r="Z23" i="61"/>
  <c r="Z22" i="61"/>
  <c r="Z21" i="61"/>
  <c r="Z20" i="61"/>
  <c r="Z19" i="61"/>
  <c r="Z18" i="61"/>
  <c r="Z17" i="61"/>
  <c r="Z16" i="61"/>
  <c r="Z15" i="61"/>
  <c r="Z14" i="61"/>
  <c r="Z13" i="61"/>
  <c r="Z12" i="61"/>
  <c r="Z11" i="61"/>
  <c r="Z10" i="61"/>
  <c r="Z9" i="61"/>
  <c r="W130" i="60"/>
  <c r="T130" i="60"/>
  <c r="Q130" i="60"/>
  <c r="P130" i="60"/>
  <c r="N130" i="60"/>
  <c r="M130" i="60"/>
  <c r="I130" i="60"/>
  <c r="F130" i="60"/>
  <c r="E130" i="60"/>
  <c r="B130" i="60"/>
  <c r="Z79" i="60"/>
  <c r="Z78" i="60"/>
  <c r="Z77" i="60"/>
  <c r="Z76" i="60"/>
  <c r="Z75" i="60"/>
  <c r="Z74" i="60"/>
  <c r="Z73" i="60"/>
  <c r="Z72" i="60"/>
  <c r="Z71" i="60"/>
  <c r="Z70" i="60"/>
  <c r="Z69" i="60"/>
  <c r="Z68" i="60"/>
  <c r="Z67" i="60"/>
  <c r="Z66" i="60"/>
  <c r="Z65" i="60"/>
  <c r="Z64" i="60"/>
  <c r="Z63" i="60"/>
  <c r="Z62" i="60"/>
  <c r="Z61" i="60"/>
  <c r="Z60" i="60"/>
  <c r="Z59" i="60"/>
  <c r="Z58" i="60"/>
  <c r="Z57" i="60"/>
  <c r="Z56" i="60"/>
  <c r="Z55" i="60"/>
  <c r="Z54" i="60"/>
  <c r="Z53" i="60"/>
  <c r="Z52" i="60"/>
  <c r="Z51" i="60"/>
  <c r="Z50" i="60"/>
  <c r="Z49" i="60"/>
  <c r="Z48" i="60"/>
  <c r="Z47" i="60"/>
  <c r="Z46" i="60"/>
  <c r="Z45" i="60"/>
  <c r="Z44" i="60"/>
  <c r="Z43" i="60"/>
  <c r="Z42" i="60"/>
  <c r="Z41" i="60"/>
  <c r="Z40" i="60"/>
  <c r="Z39" i="60"/>
  <c r="Z38" i="60"/>
  <c r="Z37" i="60"/>
  <c r="Z36" i="60"/>
  <c r="Z35" i="60"/>
  <c r="Z34" i="60"/>
  <c r="Z33" i="60"/>
  <c r="Z32" i="60"/>
  <c r="Z31" i="60"/>
  <c r="Z30" i="60"/>
  <c r="Z29" i="60"/>
  <c r="Z28" i="60"/>
  <c r="Z27" i="60"/>
  <c r="Z26" i="60"/>
  <c r="Z25" i="60"/>
  <c r="Z24" i="60"/>
  <c r="Z23" i="60"/>
  <c r="Z22" i="60"/>
  <c r="Z21" i="60"/>
  <c r="Z20" i="60"/>
  <c r="Z19" i="60"/>
  <c r="Z18" i="60"/>
  <c r="Z17" i="60"/>
  <c r="Z16" i="60"/>
  <c r="Z15" i="60"/>
  <c r="Z14" i="60"/>
  <c r="Z13" i="60"/>
  <c r="Z12" i="60"/>
  <c r="Z11" i="60"/>
  <c r="Z10" i="60"/>
  <c r="Z9" i="60"/>
  <c r="W130" i="59"/>
  <c r="T130" i="59"/>
  <c r="Q130" i="59"/>
  <c r="P130" i="59"/>
  <c r="N130" i="59"/>
  <c r="M130" i="59"/>
  <c r="I130" i="59"/>
  <c r="F130" i="59"/>
  <c r="E130" i="59"/>
  <c r="B130" i="59"/>
  <c r="Z79" i="59"/>
  <c r="Z78" i="59"/>
  <c r="Z77" i="59"/>
  <c r="Z76" i="59"/>
  <c r="Z75" i="59"/>
  <c r="Z74" i="59"/>
  <c r="Z73" i="59"/>
  <c r="Z72" i="59"/>
  <c r="Z71" i="59"/>
  <c r="Z70" i="59"/>
  <c r="Z69" i="59"/>
  <c r="Z68" i="59"/>
  <c r="Z67" i="59"/>
  <c r="Z66" i="59"/>
  <c r="Z65" i="59"/>
  <c r="Z64" i="59"/>
  <c r="Z63" i="59"/>
  <c r="Z62" i="59"/>
  <c r="Z61" i="59"/>
  <c r="Z60" i="59"/>
  <c r="Z59" i="59"/>
  <c r="Z58" i="59"/>
  <c r="Z57" i="59"/>
  <c r="Z56" i="59"/>
  <c r="Z55" i="59"/>
  <c r="Z54" i="59"/>
  <c r="Z53" i="59"/>
  <c r="Z52" i="59"/>
  <c r="Z51" i="59"/>
  <c r="Z50" i="59"/>
  <c r="Z49" i="59"/>
  <c r="Z48" i="59"/>
  <c r="Z47" i="59"/>
  <c r="Z46" i="59"/>
  <c r="Z45" i="59"/>
  <c r="Z44" i="59"/>
  <c r="Z43" i="59"/>
  <c r="Z42" i="59"/>
  <c r="Z41" i="59"/>
  <c r="Z40" i="59"/>
  <c r="Z39" i="59"/>
  <c r="Z38" i="59"/>
  <c r="Z37" i="59"/>
  <c r="Z36" i="59"/>
  <c r="Z35" i="59"/>
  <c r="Z34" i="59"/>
  <c r="Z33" i="59"/>
  <c r="Z32" i="59"/>
  <c r="Z31" i="59"/>
  <c r="Z30" i="59"/>
  <c r="Z29" i="59"/>
  <c r="Z28" i="59"/>
  <c r="Z27" i="59"/>
  <c r="Z26" i="59"/>
  <c r="Z25" i="59"/>
  <c r="Z24" i="59"/>
  <c r="Z23" i="59"/>
  <c r="Z22" i="59"/>
  <c r="Z21" i="59"/>
  <c r="Z20" i="59"/>
  <c r="Z19" i="59"/>
  <c r="Z18" i="59"/>
  <c r="Z17" i="59"/>
  <c r="Z16" i="59"/>
  <c r="Z15" i="59"/>
  <c r="Z14" i="59"/>
  <c r="Z13" i="59"/>
  <c r="Z12" i="59"/>
  <c r="Z11" i="59"/>
  <c r="Z10" i="59"/>
  <c r="Z9" i="59"/>
  <c r="W130" i="58"/>
  <c r="T130" i="58"/>
  <c r="Q130" i="58"/>
  <c r="P130" i="58"/>
  <c r="N130" i="58"/>
  <c r="M130" i="58"/>
  <c r="I130" i="58"/>
  <c r="F130" i="58"/>
  <c r="E130" i="58"/>
  <c r="B130" i="58"/>
  <c r="Z79" i="58"/>
  <c r="Z78" i="58"/>
  <c r="Z77" i="58"/>
  <c r="Z76" i="58"/>
  <c r="Z75" i="58"/>
  <c r="Z74" i="58"/>
  <c r="Z73" i="58"/>
  <c r="Z72" i="58"/>
  <c r="Z71" i="58"/>
  <c r="Z70" i="58"/>
  <c r="Z69" i="58"/>
  <c r="Z68" i="58"/>
  <c r="Z67" i="58"/>
  <c r="Z66" i="58"/>
  <c r="Z65" i="58"/>
  <c r="Z64" i="58"/>
  <c r="Z63" i="58"/>
  <c r="Z62" i="58"/>
  <c r="Z61" i="58"/>
  <c r="Z60" i="58"/>
  <c r="Z59" i="58"/>
  <c r="Z58" i="58"/>
  <c r="Z57" i="58"/>
  <c r="Z56" i="58"/>
  <c r="Z55" i="58"/>
  <c r="Z54" i="58"/>
  <c r="Z53" i="58"/>
  <c r="Z52" i="58"/>
  <c r="Z51" i="58"/>
  <c r="Z50" i="58"/>
  <c r="Z49" i="58"/>
  <c r="Z48" i="58"/>
  <c r="Z47" i="58"/>
  <c r="Z46" i="58"/>
  <c r="Z45" i="58"/>
  <c r="Z44" i="58"/>
  <c r="Z43" i="58"/>
  <c r="Z42" i="58"/>
  <c r="Z41" i="58"/>
  <c r="Z40" i="58"/>
  <c r="Z39" i="58"/>
  <c r="Z38" i="58"/>
  <c r="Z37" i="58"/>
  <c r="Z36" i="58"/>
  <c r="Z35" i="58"/>
  <c r="Z34" i="58"/>
  <c r="Z33" i="58"/>
  <c r="Z32" i="58"/>
  <c r="Z31" i="58"/>
  <c r="Z30" i="58"/>
  <c r="Z29" i="58"/>
  <c r="Z28" i="58"/>
  <c r="Z27" i="58"/>
  <c r="Z26" i="58"/>
  <c r="Z25" i="58"/>
  <c r="Z24" i="58"/>
  <c r="Z23" i="58"/>
  <c r="Z22" i="58"/>
  <c r="Z21" i="58"/>
  <c r="Z20" i="58"/>
  <c r="Z19" i="58"/>
  <c r="Z18" i="58"/>
  <c r="Z17" i="58"/>
  <c r="Z16" i="58"/>
  <c r="Z15" i="58"/>
  <c r="Z14" i="58"/>
  <c r="Z13" i="58"/>
  <c r="Z12" i="58"/>
  <c r="Z11" i="58"/>
  <c r="Z10" i="58"/>
  <c r="Z9" i="58"/>
  <c r="W130" i="57"/>
  <c r="T130" i="57"/>
  <c r="Q130" i="57"/>
  <c r="P130" i="57"/>
  <c r="N130" i="57"/>
  <c r="M130" i="57"/>
  <c r="I130" i="57"/>
  <c r="F130" i="57"/>
  <c r="E130" i="57"/>
  <c r="B130" i="57"/>
  <c r="Z79" i="57"/>
  <c r="Z78" i="57"/>
  <c r="Z77" i="57"/>
  <c r="Z76" i="57"/>
  <c r="Z75" i="57"/>
  <c r="Z74" i="57"/>
  <c r="Z73" i="57"/>
  <c r="Z72" i="57"/>
  <c r="Z71" i="57"/>
  <c r="Z70" i="57"/>
  <c r="Z69" i="57"/>
  <c r="Z68" i="57"/>
  <c r="Z67" i="57"/>
  <c r="Z66" i="57"/>
  <c r="Z65" i="57"/>
  <c r="Z64" i="57"/>
  <c r="Z63" i="57"/>
  <c r="Z62" i="57"/>
  <c r="Z61" i="57"/>
  <c r="Z60" i="57"/>
  <c r="Z59" i="57"/>
  <c r="Z58" i="57"/>
  <c r="Z57" i="57"/>
  <c r="Z56" i="57"/>
  <c r="Z55" i="57"/>
  <c r="Z54" i="57"/>
  <c r="Z53" i="57"/>
  <c r="Z52" i="57"/>
  <c r="Z51" i="57"/>
  <c r="Z50" i="57"/>
  <c r="Z49" i="57"/>
  <c r="Z48" i="57"/>
  <c r="Z47" i="57"/>
  <c r="Z46" i="57"/>
  <c r="Z45" i="57"/>
  <c r="Z44" i="57"/>
  <c r="Z43" i="57"/>
  <c r="Z42" i="57"/>
  <c r="Z41" i="57"/>
  <c r="Z40" i="57"/>
  <c r="Z39" i="57"/>
  <c r="Z38" i="57"/>
  <c r="Z37" i="57"/>
  <c r="Z36" i="57"/>
  <c r="Z35" i="57"/>
  <c r="Z34" i="57"/>
  <c r="Z33" i="57"/>
  <c r="Z32" i="57"/>
  <c r="Z31" i="57"/>
  <c r="Z30" i="57"/>
  <c r="Z29" i="57"/>
  <c r="Z28" i="57"/>
  <c r="Z27" i="57"/>
  <c r="Z26" i="57"/>
  <c r="Z25" i="57"/>
  <c r="Z24" i="57"/>
  <c r="Z23" i="57"/>
  <c r="Z22" i="57"/>
  <c r="Z21" i="57"/>
  <c r="Z20" i="57"/>
  <c r="Z19" i="57"/>
  <c r="Z18" i="57"/>
  <c r="Z17" i="57"/>
  <c r="Z16" i="57"/>
  <c r="Z15" i="57"/>
  <c r="Z14" i="57"/>
  <c r="Z13" i="57"/>
  <c r="Z12" i="57"/>
  <c r="Z11" i="57"/>
  <c r="Z10" i="57"/>
  <c r="Z9" i="57"/>
  <c r="W130" i="56"/>
  <c r="T130" i="56"/>
  <c r="Q130" i="56"/>
  <c r="P130" i="56"/>
  <c r="N130" i="56"/>
  <c r="M130" i="56"/>
  <c r="I130" i="56"/>
  <c r="F130" i="56"/>
  <c r="E130" i="56"/>
  <c r="B130" i="56"/>
  <c r="Z79" i="56"/>
  <c r="Z78" i="56"/>
  <c r="Z77" i="56"/>
  <c r="Z76" i="56"/>
  <c r="Z75" i="56"/>
  <c r="Z74" i="56"/>
  <c r="Z73" i="56"/>
  <c r="Z72" i="56"/>
  <c r="Z71" i="56"/>
  <c r="Z70" i="56"/>
  <c r="Z69" i="56"/>
  <c r="Z68" i="56"/>
  <c r="Z67" i="56"/>
  <c r="Z66" i="56"/>
  <c r="Z65" i="56"/>
  <c r="Z64" i="56"/>
  <c r="Z63" i="56"/>
  <c r="Z62" i="56"/>
  <c r="Z61" i="56"/>
  <c r="Z60" i="56"/>
  <c r="Z59" i="56"/>
  <c r="Z58" i="56"/>
  <c r="Z57" i="56"/>
  <c r="Z56" i="56"/>
  <c r="Z55" i="56"/>
  <c r="Z54" i="56"/>
  <c r="Z53" i="56"/>
  <c r="Z52" i="56"/>
  <c r="Z51" i="56"/>
  <c r="Z50" i="56"/>
  <c r="Z49" i="56"/>
  <c r="Z48" i="56"/>
  <c r="Z47" i="56"/>
  <c r="Z46" i="56"/>
  <c r="Z45" i="56"/>
  <c r="Z44" i="56"/>
  <c r="Z43" i="56"/>
  <c r="Z42" i="56"/>
  <c r="Z41" i="56"/>
  <c r="Z40" i="56"/>
  <c r="Z39" i="56"/>
  <c r="Z38" i="56"/>
  <c r="Z37" i="56"/>
  <c r="Z36" i="56"/>
  <c r="Z35" i="56"/>
  <c r="Z34" i="56"/>
  <c r="Z33" i="56"/>
  <c r="Z32" i="56"/>
  <c r="Z31" i="56"/>
  <c r="Z30" i="56"/>
  <c r="Z29" i="56"/>
  <c r="Z28" i="56"/>
  <c r="Z27" i="56"/>
  <c r="Z26" i="56"/>
  <c r="Z25" i="56"/>
  <c r="Z24" i="56"/>
  <c r="Z23" i="56"/>
  <c r="Z22" i="56"/>
  <c r="Z21" i="56"/>
  <c r="Z20" i="56"/>
  <c r="Z19" i="56"/>
  <c r="Z18" i="56"/>
  <c r="Z17" i="56"/>
  <c r="Z16" i="56"/>
  <c r="Z15" i="56"/>
  <c r="Z14" i="56"/>
  <c r="Z13" i="56"/>
  <c r="Z12" i="56"/>
  <c r="Z11" i="56"/>
  <c r="Z10" i="56"/>
  <c r="Z9" i="56"/>
  <c r="W130" i="55"/>
  <c r="T130" i="55"/>
  <c r="Q130" i="55"/>
  <c r="P130" i="55"/>
  <c r="N130" i="55"/>
  <c r="M130" i="55"/>
  <c r="I130" i="55"/>
  <c r="F130" i="55"/>
  <c r="E130" i="55"/>
  <c r="B130" i="55"/>
  <c r="Z79" i="55"/>
  <c r="Z78" i="55"/>
  <c r="Z77" i="55"/>
  <c r="Z76" i="55"/>
  <c r="Z75" i="55"/>
  <c r="Z74" i="55"/>
  <c r="Z73" i="55"/>
  <c r="Z72" i="55"/>
  <c r="Z71" i="55"/>
  <c r="Z70" i="55"/>
  <c r="Z69" i="55"/>
  <c r="Z68" i="55"/>
  <c r="Z67" i="55"/>
  <c r="Z66" i="55"/>
  <c r="Z65" i="55"/>
  <c r="Z64" i="55"/>
  <c r="Z63" i="55"/>
  <c r="Z62" i="55"/>
  <c r="Z61" i="55"/>
  <c r="Z60" i="55"/>
  <c r="Z59" i="55"/>
  <c r="Z58" i="55"/>
  <c r="Z57" i="55"/>
  <c r="Z56" i="55"/>
  <c r="Z55" i="55"/>
  <c r="Z54" i="55"/>
  <c r="Z53" i="55"/>
  <c r="Z52" i="55"/>
  <c r="Z51" i="55"/>
  <c r="Z50" i="55"/>
  <c r="Z49" i="55"/>
  <c r="Z48" i="55"/>
  <c r="Z47" i="55"/>
  <c r="Z46" i="55"/>
  <c r="Z45" i="55"/>
  <c r="Z44" i="55"/>
  <c r="Z43" i="55"/>
  <c r="Z42" i="55"/>
  <c r="Z41" i="55"/>
  <c r="Z40" i="55"/>
  <c r="Z39" i="55"/>
  <c r="Z38" i="55"/>
  <c r="Z37" i="55"/>
  <c r="Z36" i="55"/>
  <c r="Z35" i="55"/>
  <c r="Z34" i="55"/>
  <c r="Z33" i="55"/>
  <c r="Z32" i="55"/>
  <c r="Z31" i="55"/>
  <c r="Z30" i="55"/>
  <c r="Z29" i="55"/>
  <c r="Z28" i="55"/>
  <c r="Z27" i="55"/>
  <c r="Z26" i="55"/>
  <c r="Z25" i="55"/>
  <c r="Z24" i="55"/>
  <c r="Z23" i="55"/>
  <c r="Z22" i="55"/>
  <c r="Z21" i="55"/>
  <c r="Z20" i="55"/>
  <c r="Z19" i="55"/>
  <c r="Z18" i="55"/>
  <c r="Z17" i="55"/>
  <c r="Z16" i="55"/>
  <c r="Z15" i="55"/>
  <c r="Z14" i="55"/>
  <c r="Z13" i="55"/>
  <c r="Z12" i="55"/>
  <c r="Z11" i="55"/>
  <c r="Z10" i="55"/>
  <c r="Z9" i="55"/>
  <c r="W130" i="54"/>
  <c r="T130" i="54"/>
  <c r="Q130" i="54"/>
  <c r="P130" i="54"/>
  <c r="N130" i="54"/>
  <c r="M130" i="54"/>
  <c r="I130" i="54"/>
  <c r="F130" i="54"/>
  <c r="E130" i="54"/>
  <c r="B130" i="54"/>
  <c r="Z79" i="54"/>
  <c r="Z78" i="54"/>
  <c r="Z77" i="54"/>
  <c r="Z76" i="54"/>
  <c r="Z75" i="54"/>
  <c r="Z74" i="54"/>
  <c r="Z73" i="54"/>
  <c r="Z72" i="54"/>
  <c r="Z71" i="54"/>
  <c r="Z70" i="54"/>
  <c r="Z69" i="54"/>
  <c r="Z68" i="54"/>
  <c r="Z67" i="54"/>
  <c r="Z66" i="54"/>
  <c r="Z65" i="54"/>
  <c r="Z64" i="54"/>
  <c r="Z63" i="54"/>
  <c r="Z62" i="54"/>
  <c r="Z61" i="54"/>
  <c r="Z60" i="54"/>
  <c r="Z59" i="54"/>
  <c r="Z58" i="54"/>
  <c r="Z57" i="54"/>
  <c r="Z56" i="54"/>
  <c r="Z55" i="54"/>
  <c r="Z54" i="54"/>
  <c r="Z53" i="54"/>
  <c r="Z52" i="54"/>
  <c r="Z51" i="54"/>
  <c r="Z50" i="54"/>
  <c r="Z49" i="54"/>
  <c r="Z48" i="54"/>
  <c r="Z47" i="54"/>
  <c r="Z46" i="54"/>
  <c r="Z45" i="54"/>
  <c r="Z44" i="54"/>
  <c r="Z43" i="54"/>
  <c r="Z42" i="54"/>
  <c r="Z41" i="54"/>
  <c r="Z40" i="54"/>
  <c r="Z39" i="54"/>
  <c r="Z38" i="54"/>
  <c r="Z37" i="54"/>
  <c r="Z36" i="54"/>
  <c r="Z35" i="54"/>
  <c r="Z34" i="54"/>
  <c r="Z33" i="54"/>
  <c r="Z32" i="54"/>
  <c r="Z31" i="54"/>
  <c r="Z30" i="54"/>
  <c r="Z29" i="54"/>
  <c r="Z28" i="54"/>
  <c r="Z27" i="54"/>
  <c r="Z26" i="54"/>
  <c r="Z25" i="54"/>
  <c r="Z24" i="54"/>
  <c r="Z23" i="54"/>
  <c r="Z22" i="54"/>
  <c r="Z21" i="54"/>
  <c r="Z20" i="54"/>
  <c r="Z19" i="54"/>
  <c r="Z18" i="54"/>
  <c r="Z17" i="54"/>
  <c r="Z16" i="54"/>
  <c r="Z15" i="54"/>
  <c r="Z14" i="54"/>
  <c r="Z13" i="54"/>
  <c r="Z12" i="54"/>
  <c r="Z11" i="54"/>
  <c r="Z10" i="54"/>
  <c r="Z9" i="54"/>
  <c r="W130" i="53"/>
  <c r="T130" i="53"/>
  <c r="Q130" i="53"/>
  <c r="P130" i="53"/>
  <c r="N130" i="53"/>
  <c r="M130" i="53"/>
  <c r="I130" i="53"/>
  <c r="F130" i="53"/>
  <c r="E130" i="53"/>
  <c r="B130" i="53"/>
  <c r="Z79" i="53"/>
  <c r="Z78" i="53"/>
  <c r="Z77" i="53"/>
  <c r="Z76" i="53"/>
  <c r="Z75" i="53"/>
  <c r="Z74" i="53"/>
  <c r="Z73" i="53"/>
  <c r="Z72" i="53"/>
  <c r="Z71" i="53"/>
  <c r="Z70" i="53"/>
  <c r="Z69" i="53"/>
  <c r="Z68" i="53"/>
  <c r="Z67" i="53"/>
  <c r="Z66" i="53"/>
  <c r="Z65" i="53"/>
  <c r="Z64" i="53"/>
  <c r="Z63" i="53"/>
  <c r="Z62" i="53"/>
  <c r="Z61" i="53"/>
  <c r="Z60" i="53"/>
  <c r="Z59" i="53"/>
  <c r="Z58" i="53"/>
  <c r="Z57" i="53"/>
  <c r="Z56" i="53"/>
  <c r="Z55" i="53"/>
  <c r="Z54" i="53"/>
  <c r="Z53" i="53"/>
  <c r="Z52" i="53"/>
  <c r="Z51" i="53"/>
  <c r="Z50" i="53"/>
  <c r="Z49" i="53"/>
  <c r="Z48" i="53"/>
  <c r="Z47" i="53"/>
  <c r="Z46" i="53"/>
  <c r="Z45" i="53"/>
  <c r="Z44" i="53"/>
  <c r="Z43" i="53"/>
  <c r="Z42" i="53"/>
  <c r="Z41" i="53"/>
  <c r="Z40" i="53"/>
  <c r="Z39" i="53"/>
  <c r="Z38" i="53"/>
  <c r="Z37" i="53"/>
  <c r="Z36" i="53"/>
  <c r="Z35" i="53"/>
  <c r="Z34" i="53"/>
  <c r="Z33" i="53"/>
  <c r="Z32" i="53"/>
  <c r="Z31" i="53"/>
  <c r="Z30" i="53"/>
  <c r="Z29" i="53"/>
  <c r="Z28" i="53"/>
  <c r="Z27" i="53"/>
  <c r="Z26" i="53"/>
  <c r="Z25" i="53"/>
  <c r="Z24" i="53"/>
  <c r="Z23" i="53"/>
  <c r="Z22" i="53"/>
  <c r="Z21" i="53"/>
  <c r="Z20" i="53"/>
  <c r="Z19" i="53"/>
  <c r="Z18" i="53"/>
  <c r="Z17" i="53"/>
  <c r="Z16" i="53"/>
  <c r="Z15" i="53"/>
  <c r="Z14" i="53"/>
  <c r="Z13" i="53"/>
  <c r="Z12" i="53"/>
  <c r="Z11" i="53"/>
  <c r="Z10" i="53"/>
  <c r="Z9" i="53"/>
  <c r="W130" i="52"/>
  <c r="T130" i="52"/>
  <c r="Q130" i="52"/>
  <c r="P130" i="52"/>
  <c r="N130" i="52"/>
  <c r="M130" i="52"/>
  <c r="I130" i="52"/>
  <c r="F130" i="52"/>
  <c r="E130" i="52"/>
  <c r="B130" i="52"/>
  <c r="Z79" i="52"/>
  <c r="Z78" i="52"/>
  <c r="Z77" i="52"/>
  <c r="Z76" i="52"/>
  <c r="Z75" i="52"/>
  <c r="Z74" i="52"/>
  <c r="Z73" i="52"/>
  <c r="Z72" i="52"/>
  <c r="Z71" i="52"/>
  <c r="Z70" i="52"/>
  <c r="Z69" i="52"/>
  <c r="Z68" i="52"/>
  <c r="Z67" i="52"/>
  <c r="Z66" i="52"/>
  <c r="Z65" i="52"/>
  <c r="Z64" i="52"/>
  <c r="Z63" i="52"/>
  <c r="Z62" i="52"/>
  <c r="Z61" i="52"/>
  <c r="Z60" i="52"/>
  <c r="Z59" i="52"/>
  <c r="Z58" i="52"/>
  <c r="Z57" i="52"/>
  <c r="Z56" i="52"/>
  <c r="Z55" i="52"/>
  <c r="Z54" i="52"/>
  <c r="Z53" i="52"/>
  <c r="Z52" i="52"/>
  <c r="Z51" i="52"/>
  <c r="Z50" i="52"/>
  <c r="Z49" i="52"/>
  <c r="Z48" i="52"/>
  <c r="Z47" i="52"/>
  <c r="Z46" i="52"/>
  <c r="Z45" i="52"/>
  <c r="Z44" i="52"/>
  <c r="Z43" i="52"/>
  <c r="Z42" i="52"/>
  <c r="Z41" i="52"/>
  <c r="Z40" i="52"/>
  <c r="Z39" i="52"/>
  <c r="Z38" i="52"/>
  <c r="Z37" i="52"/>
  <c r="Z36" i="52"/>
  <c r="Z35" i="52"/>
  <c r="Z34" i="52"/>
  <c r="Z33" i="52"/>
  <c r="Z32" i="52"/>
  <c r="Z31" i="52"/>
  <c r="Z30" i="52"/>
  <c r="Z29" i="52"/>
  <c r="Z28" i="52"/>
  <c r="Z27" i="52"/>
  <c r="Z26" i="52"/>
  <c r="Z25" i="52"/>
  <c r="Z24" i="52"/>
  <c r="Z23" i="52"/>
  <c r="Z22" i="52"/>
  <c r="Z21" i="52"/>
  <c r="Z20" i="52"/>
  <c r="Z19" i="52"/>
  <c r="Z18" i="52"/>
  <c r="Z17" i="52"/>
  <c r="Z16" i="52"/>
  <c r="Z15" i="52"/>
  <c r="Z14" i="52"/>
  <c r="Z13" i="52"/>
  <c r="Z12" i="52"/>
  <c r="Z11" i="52"/>
  <c r="Z10" i="52"/>
  <c r="Z9" i="52"/>
  <c r="W130" i="51"/>
  <c r="T130" i="51"/>
  <c r="Q130" i="51"/>
  <c r="P130" i="51"/>
  <c r="N130" i="51"/>
  <c r="M130" i="51"/>
  <c r="I130" i="51"/>
  <c r="F130" i="51"/>
  <c r="E130" i="51"/>
  <c r="B130" i="51"/>
  <c r="Z79" i="51"/>
  <c r="Z78" i="51"/>
  <c r="Z77" i="51"/>
  <c r="Z76" i="51"/>
  <c r="Z75" i="51"/>
  <c r="Z74" i="51"/>
  <c r="Z73" i="51"/>
  <c r="Z72" i="51"/>
  <c r="Z71" i="51"/>
  <c r="Z70" i="51"/>
  <c r="Z69" i="51"/>
  <c r="Z68" i="51"/>
  <c r="Z67" i="51"/>
  <c r="Z66" i="51"/>
  <c r="Z65" i="51"/>
  <c r="Z64" i="51"/>
  <c r="Z63" i="51"/>
  <c r="Z62" i="51"/>
  <c r="Z61" i="51"/>
  <c r="Z60" i="51"/>
  <c r="Z59" i="51"/>
  <c r="Z58" i="51"/>
  <c r="Z57" i="51"/>
  <c r="Z56" i="51"/>
  <c r="Z55" i="51"/>
  <c r="Z54" i="51"/>
  <c r="Z53" i="51"/>
  <c r="Z52" i="51"/>
  <c r="Z51" i="51"/>
  <c r="Z50" i="51"/>
  <c r="Z49" i="51"/>
  <c r="Z48" i="51"/>
  <c r="Z47" i="51"/>
  <c r="Z46" i="51"/>
  <c r="Z45" i="51"/>
  <c r="Z44" i="51"/>
  <c r="Z43" i="51"/>
  <c r="Z42" i="51"/>
  <c r="Z41" i="51"/>
  <c r="Z40" i="51"/>
  <c r="Z39" i="51"/>
  <c r="Z38" i="51"/>
  <c r="Z37" i="51"/>
  <c r="Z36" i="51"/>
  <c r="Z35" i="51"/>
  <c r="Z34" i="51"/>
  <c r="Z33" i="51"/>
  <c r="Z32" i="51"/>
  <c r="Z31" i="51"/>
  <c r="Z30" i="51"/>
  <c r="Z29" i="51"/>
  <c r="Z28" i="51"/>
  <c r="Z27" i="51"/>
  <c r="Z26" i="51"/>
  <c r="Z25" i="51"/>
  <c r="Z24" i="51"/>
  <c r="Z23" i="51"/>
  <c r="Z22" i="51"/>
  <c r="Z21" i="51"/>
  <c r="Z20" i="51"/>
  <c r="Z19" i="51"/>
  <c r="Z18" i="51"/>
  <c r="Z17" i="51"/>
  <c r="Z16" i="51"/>
  <c r="Z15" i="51"/>
  <c r="Z14" i="51"/>
  <c r="Z13" i="51"/>
  <c r="Z12" i="51"/>
  <c r="Z11" i="51"/>
  <c r="Z10" i="51"/>
  <c r="Z9" i="51"/>
  <c r="W130" i="50"/>
  <c r="T130" i="50"/>
  <c r="Q130" i="50"/>
  <c r="P130" i="50"/>
  <c r="N130" i="50"/>
  <c r="M130" i="50"/>
  <c r="I130" i="50"/>
  <c r="F130" i="50"/>
  <c r="E130" i="50"/>
  <c r="B130" i="50"/>
  <c r="Z79" i="50"/>
  <c r="Z78" i="50"/>
  <c r="Z77" i="50"/>
  <c r="Z76" i="50"/>
  <c r="Z75" i="50"/>
  <c r="Z74" i="50"/>
  <c r="Z73" i="50"/>
  <c r="Z72" i="50"/>
  <c r="Z71" i="50"/>
  <c r="Z70" i="50"/>
  <c r="Z69" i="50"/>
  <c r="Z68" i="50"/>
  <c r="Z67" i="50"/>
  <c r="Z66" i="50"/>
  <c r="Z65" i="50"/>
  <c r="Z64" i="50"/>
  <c r="Z63" i="50"/>
  <c r="Z62" i="50"/>
  <c r="Z61" i="50"/>
  <c r="Z60" i="50"/>
  <c r="Z59" i="50"/>
  <c r="Z58" i="50"/>
  <c r="Z57" i="50"/>
  <c r="Z56" i="50"/>
  <c r="Z55" i="50"/>
  <c r="Z54" i="50"/>
  <c r="Z53" i="50"/>
  <c r="Z52" i="50"/>
  <c r="Z51" i="50"/>
  <c r="Z50" i="50"/>
  <c r="Z49" i="50"/>
  <c r="Z48" i="50"/>
  <c r="Z47" i="50"/>
  <c r="Z46" i="50"/>
  <c r="Z45" i="50"/>
  <c r="Z44" i="50"/>
  <c r="Z43" i="50"/>
  <c r="Z42" i="50"/>
  <c r="Z41" i="50"/>
  <c r="Z40" i="50"/>
  <c r="Z39" i="50"/>
  <c r="Z38" i="50"/>
  <c r="Z37" i="50"/>
  <c r="Z36" i="50"/>
  <c r="Z35" i="50"/>
  <c r="Z34" i="50"/>
  <c r="Z33" i="50"/>
  <c r="Z32" i="50"/>
  <c r="Z31" i="50"/>
  <c r="Z30" i="50"/>
  <c r="Z29" i="50"/>
  <c r="Z28" i="50"/>
  <c r="Z27" i="50"/>
  <c r="Z26" i="50"/>
  <c r="Z25" i="50"/>
  <c r="Z24" i="50"/>
  <c r="Z23" i="50"/>
  <c r="Z22" i="50"/>
  <c r="Z21" i="50"/>
  <c r="Z20" i="50"/>
  <c r="Z19" i="50"/>
  <c r="Z18" i="50"/>
  <c r="Z17" i="50"/>
  <c r="Z16" i="50"/>
  <c r="Z15" i="50"/>
  <c r="Z14" i="50"/>
  <c r="Z13" i="50"/>
  <c r="Z12" i="50"/>
  <c r="Z11" i="50"/>
  <c r="Z10" i="50"/>
  <c r="Z9" i="50"/>
  <c r="W130" i="49"/>
  <c r="T130" i="49"/>
  <c r="Q130" i="49"/>
  <c r="P130" i="49"/>
  <c r="N130" i="49"/>
  <c r="M130" i="49"/>
  <c r="I130" i="49"/>
  <c r="F130" i="49"/>
  <c r="E130" i="49"/>
  <c r="B130" i="49"/>
  <c r="Z79" i="49"/>
  <c r="Z78" i="49"/>
  <c r="Z77" i="49"/>
  <c r="Z76" i="49"/>
  <c r="Z75" i="49"/>
  <c r="Z74" i="49"/>
  <c r="Z73" i="49"/>
  <c r="Z72" i="49"/>
  <c r="Z71" i="49"/>
  <c r="Z70" i="49"/>
  <c r="Z69" i="49"/>
  <c r="Z68" i="49"/>
  <c r="Z67" i="49"/>
  <c r="Z66" i="49"/>
  <c r="Z65" i="49"/>
  <c r="Z64" i="49"/>
  <c r="Z63" i="49"/>
  <c r="Z62" i="49"/>
  <c r="Z61" i="49"/>
  <c r="Z60" i="49"/>
  <c r="Z59" i="49"/>
  <c r="Z58" i="49"/>
  <c r="Z57" i="49"/>
  <c r="Z56" i="49"/>
  <c r="Z55" i="49"/>
  <c r="Z54" i="49"/>
  <c r="Z53" i="49"/>
  <c r="Z52" i="49"/>
  <c r="Z51" i="49"/>
  <c r="Z50" i="49"/>
  <c r="Z49" i="49"/>
  <c r="Z48" i="49"/>
  <c r="Z47" i="49"/>
  <c r="Z46" i="49"/>
  <c r="Z45" i="49"/>
  <c r="Z44" i="49"/>
  <c r="Z43" i="49"/>
  <c r="Z42" i="49"/>
  <c r="Z41" i="49"/>
  <c r="Z40" i="49"/>
  <c r="Z39" i="49"/>
  <c r="Z38" i="49"/>
  <c r="Z37" i="49"/>
  <c r="Z36" i="49"/>
  <c r="Z35" i="49"/>
  <c r="Z34" i="49"/>
  <c r="Z33" i="49"/>
  <c r="Z32" i="49"/>
  <c r="Z31" i="49"/>
  <c r="Z30" i="49"/>
  <c r="Z29" i="49"/>
  <c r="Z28" i="49"/>
  <c r="Z27" i="49"/>
  <c r="Z26" i="49"/>
  <c r="Z25" i="49"/>
  <c r="Z24" i="49"/>
  <c r="Z23" i="49"/>
  <c r="Z22" i="49"/>
  <c r="Z21" i="49"/>
  <c r="Z20" i="49"/>
  <c r="Z19" i="49"/>
  <c r="Z18" i="49"/>
  <c r="Z17" i="49"/>
  <c r="Z16" i="49"/>
  <c r="Z15" i="49"/>
  <c r="Z14" i="49"/>
  <c r="Z13" i="49"/>
  <c r="Z12" i="49"/>
  <c r="Z11" i="49"/>
  <c r="Z10" i="49"/>
  <c r="Z9" i="49"/>
  <c r="W130" i="48"/>
  <c r="T130" i="48"/>
  <c r="Q130" i="48"/>
  <c r="P130" i="48"/>
  <c r="N130" i="48"/>
  <c r="M130" i="48"/>
  <c r="I130" i="48"/>
  <c r="F130" i="48"/>
  <c r="E130" i="48"/>
  <c r="B130" i="48"/>
  <c r="Z79" i="48"/>
  <c r="Z78" i="48"/>
  <c r="Z77" i="48"/>
  <c r="Z76" i="48"/>
  <c r="Z75" i="48"/>
  <c r="Z74" i="48"/>
  <c r="Z73" i="48"/>
  <c r="Z72" i="48"/>
  <c r="Z71" i="48"/>
  <c r="Z70" i="48"/>
  <c r="Z69" i="48"/>
  <c r="Z68" i="48"/>
  <c r="Z67" i="48"/>
  <c r="Z66" i="48"/>
  <c r="Z65" i="48"/>
  <c r="Z64" i="48"/>
  <c r="Z63" i="48"/>
  <c r="Z62" i="48"/>
  <c r="Z61" i="48"/>
  <c r="Z60" i="48"/>
  <c r="Z59" i="48"/>
  <c r="Z58" i="48"/>
  <c r="Z57" i="48"/>
  <c r="Z56" i="48"/>
  <c r="Z55" i="48"/>
  <c r="Z54" i="48"/>
  <c r="Z53" i="48"/>
  <c r="Z52" i="48"/>
  <c r="Z51" i="48"/>
  <c r="Z50" i="48"/>
  <c r="Z49" i="48"/>
  <c r="Z48" i="48"/>
  <c r="Z47" i="48"/>
  <c r="Z46" i="48"/>
  <c r="Z45" i="48"/>
  <c r="Z44" i="48"/>
  <c r="Z43" i="48"/>
  <c r="Z42" i="48"/>
  <c r="Z41" i="48"/>
  <c r="Z40" i="48"/>
  <c r="Z39" i="48"/>
  <c r="Z38" i="48"/>
  <c r="Z37" i="48"/>
  <c r="Z36" i="48"/>
  <c r="Z35" i="48"/>
  <c r="Z34" i="48"/>
  <c r="Z33" i="48"/>
  <c r="Z32" i="48"/>
  <c r="Z31" i="48"/>
  <c r="Z30" i="48"/>
  <c r="Z29" i="48"/>
  <c r="Z28" i="48"/>
  <c r="Z27" i="48"/>
  <c r="Z26" i="48"/>
  <c r="Z25" i="48"/>
  <c r="Z24" i="48"/>
  <c r="Z23" i="48"/>
  <c r="Z22" i="48"/>
  <c r="Z21" i="48"/>
  <c r="Z20" i="48"/>
  <c r="Z19" i="48"/>
  <c r="Z18" i="48"/>
  <c r="Z17" i="48"/>
  <c r="Z16" i="48"/>
  <c r="Z15" i="48"/>
  <c r="Z14" i="48"/>
  <c r="Z13" i="48"/>
  <c r="Z12" i="48"/>
  <c r="Z11" i="48"/>
  <c r="Z10" i="48"/>
  <c r="Z9" i="48"/>
  <c r="W130" i="47"/>
  <c r="T130" i="47"/>
  <c r="Q130" i="47"/>
  <c r="P130" i="47"/>
  <c r="N130" i="47"/>
  <c r="M130" i="47"/>
  <c r="I130" i="47"/>
  <c r="F130" i="47"/>
  <c r="E130" i="47"/>
  <c r="B130" i="47"/>
  <c r="Z79" i="47"/>
  <c r="Z78" i="47"/>
  <c r="Z77" i="47"/>
  <c r="Z76" i="47"/>
  <c r="Z75" i="47"/>
  <c r="Z74" i="47"/>
  <c r="Z73" i="47"/>
  <c r="Z72" i="47"/>
  <c r="Z71" i="47"/>
  <c r="Z70" i="47"/>
  <c r="Z69" i="47"/>
  <c r="Z68" i="47"/>
  <c r="Z67" i="47"/>
  <c r="Z66" i="47"/>
  <c r="Z65" i="47"/>
  <c r="Z64" i="47"/>
  <c r="Z63" i="47"/>
  <c r="Z62" i="47"/>
  <c r="Z61" i="47"/>
  <c r="Z60" i="47"/>
  <c r="Z59" i="47"/>
  <c r="Z58" i="47"/>
  <c r="Z57" i="47"/>
  <c r="Z56" i="47"/>
  <c r="Z55" i="47"/>
  <c r="Z54" i="47"/>
  <c r="Z53" i="47"/>
  <c r="Z52" i="47"/>
  <c r="Z51" i="47"/>
  <c r="Z50" i="47"/>
  <c r="Z49" i="47"/>
  <c r="Z48" i="47"/>
  <c r="Z47" i="47"/>
  <c r="Z46" i="47"/>
  <c r="Z45" i="47"/>
  <c r="Z44" i="47"/>
  <c r="Z43" i="47"/>
  <c r="Z42" i="47"/>
  <c r="Z41" i="47"/>
  <c r="Z40" i="47"/>
  <c r="Z39" i="47"/>
  <c r="Z38" i="47"/>
  <c r="Z37" i="47"/>
  <c r="Z36" i="47"/>
  <c r="Z35" i="47"/>
  <c r="Z34" i="47"/>
  <c r="Z33" i="47"/>
  <c r="Z32" i="47"/>
  <c r="Z31" i="47"/>
  <c r="Z30" i="47"/>
  <c r="Z29" i="47"/>
  <c r="Z28" i="47"/>
  <c r="Z27" i="47"/>
  <c r="Z26" i="47"/>
  <c r="Z25" i="47"/>
  <c r="Z24" i="47"/>
  <c r="Z23" i="47"/>
  <c r="Z22" i="47"/>
  <c r="Z21" i="47"/>
  <c r="Z20" i="47"/>
  <c r="Z19" i="47"/>
  <c r="Z18" i="47"/>
  <c r="Z17" i="47"/>
  <c r="Z16" i="47"/>
  <c r="Z15" i="47"/>
  <c r="Z14" i="47"/>
  <c r="Z13" i="47"/>
  <c r="Z12" i="47"/>
  <c r="Z11" i="47"/>
  <c r="Z10" i="47"/>
  <c r="Z9" i="47"/>
  <c r="D3" i="47" l="1"/>
  <c r="D3" i="48"/>
  <c r="D3" i="49"/>
  <c r="D3" i="50"/>
  <c r="D3" i="51"/>
  <c r="D3" i="52"/>
  <c r="D3" i="53"/>
  <c r="D3" i="54"/>
  <c r="D3" i="55"/>
  <c r="D3" i="56"/>
  <c r="D3" i="57"/>
  <c r="D3" i="58"/>
  <c r="D3" i="59"/>
  <c r="D3" i="60"/>
  <c r="D3" i="61"/>
  <c r="D3" i="62"/>
  <c r="D3" i="63"/>
  <c r="D3" i="64"/>
  <c r="D3" i="65"/>
  <c r="D3" i="66"/>
  <c r="D3" i="67"/>
  <c r="D3" i="68"/>
  <c r="D3" i="69"/>
  <c r="D3" i="70"/>
  <c r="A11" i="12"/>
  <c r="A11" i="46"/>
  <c r="C25" i="46"/>
  <c r="H44" i="9" l="1"/>
  <c r="H35" i="9"/>
  <c r="H26" i="9"/>
  <c r="H17" i="9"/>
  <c r="D14" i="12" l="1"/>
  <c r="D23" i="12"/>
  <c r="D22" i="12"/>
  <c r="D21" i="12"/>
  <c r="D20" i="12"/>
  <c r="D19" i="12"/>
  <c r="D18" i="12"/>
  <c r="D17" i="12"/>
  <c r="D16" i="12"/>
  <c r="D15" i="12"/>
  <c r="C14" i="13" a="1"/>
  <c r="C14" i="13" s="1"/>
  <c r="K2" i="12" l="1"/>
  <c r="D44" i="9" l="1"/>
  <c r="D26" i="9"/>
  <c r="N26" i="9" l="1"/>
  <c r="N44" i="9"/>
  <c r="D35" i="9"/>
  <c r="D17" i="9"/>
  <c r="N35" i="9" l="1"/>
  <c r="N17" i="9"/>
  <c r="H51" i="9" l="1"/>
  <c r="H52" i="9"/>
  <c r="J53" i="9"/>
  <c r="L53" i="9"/>
  <c r="H53" i="9" l="1"/>
  <c r="H8" i="9"/>
  <c r="D51" i="9"/>
  <c r="D52" i="9"/>
  <c r="D53" i="9" l="1"/>
  <c r="N53" i="9" s="1"/>
  <c r="D8" i="9"/>
  <c r="N8" i="9" s="1"/>
  <c r="C25" i="1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<sst xmlns="http://schemas.openxmlformats.org/spreadsheetml/2006/main" count="4092" uniqueCount="134">
  <si>
    <t>CASH FLOAT: START OF DAY</t>
  </si>
  <si>
    <t>CASH FLOAT: END OF DAY</t>
  </si>
  <si>
    <t>PURCHASES</t>
  </si>
  <si>
    <t>SALES</t>
  </si>
  <si>
    <t>EXPENSES</t>
  </si>
  <si>
    <t>WAGES</t>
  </si>
  <si>
    <t>KG's</t>
  </si>
  <si>
    <t>FERROUS</t>
  </si>
  <si>
    <t>PRICE/KG</t>
  </si>
  <si>
    <t>AMOUNT</t>
  </si>
  <si>
    <t>NON-FERROUS</t>
  </si>
  <si>
    <t>NON-FEROUS</t>
  </si>
  <si>
    <t>FEROUS</t>
  </si>
  <si>
    <t>DESCRIPTION</t>
  </si>
  <si>
    <t>PERSON</t>
  </si>
  <si>
    <t>TOTALS</t>
  </si>
  <si>
    <t>PROFIT</t>
  </si>
  <si>
    <t>TOTAL</t>
  </si>
  <si>
    <t>UBC</t>
  </si>
  <si>
    <t>PVC</t>
  </si>
  <si>
    <t>ABS</t>
  </si>
  <si>
    <t>Metal</t>
  </si>
  <si>
    <t>Cu SB</t>
  </si>
  <si>
    <t>Brass Heavy</t>
  </si>
  <si>
    <t>Brass Light</t>
  </si>
  <si>
    <t>Brass Shavings</t>
  </si>
  <si>
    <t>Brass 70/30</t>
  </si>
  <si>
    <t>Brass 60/40</t>
  </si>
  <si>
    <t>Brass C/Cases</t>
  </si>
  <si>
    <t>Brass Irony</t>
  </si>
  <si>
    <t>AB Solids</t>
  </si>
  <si>
    <t>AB Shavings</t>
  </si>
  <si>
    <t>GM Solids</t>
  </si>
  <si>
    <t>GM Shavings</t>
  </si>
  <si>
    <t>Mixed GM Shavings</t>
  </si>
  <si>
    <t>PB C/Wheels</t>
  </si>
  <si>
    <t>PB Shavings</t>
  </si>
  <si>
    <t>90/10 Cupro/Ni Tubes</t>
  </si>
  <si>
    <t>90/10 Gilding Metal</t>
  </si>
  <si>
    <t>Al Wire</t>
  </si>
  <si>
    <t>Al Litho</t>
  </si>
  <si>
    <t>Al Offcuts Soft</t>
  </si>
  <si>
    <t>Al Cast</t>
  </si>
  <si>
    <t>Al Shavings</t>
  </si>
  <si>
    <t>Mag Cast</t>
  </si>
  <si>
    <t>Zinc</t>
  </si>
  <si>
    <t>Cable Lead</t>
  </si>
  <si>
    <t>Lead Mixed</t>
  </si>
  <si>
    <t>Batteries</t>
  </si>
  <si>
    <t>Stainless 316</t>
  </si>
  <si>
    <t>Stainless 310</t>
  </si>
  <si>
    <t>S/Shavings</t>
  </si>
  <si>
    <t>S/Elements</t>
  </si>
  <si>
    <t>Ni Cushions</t>
  </si>
  <si>
    <t>Ni Squares</t>
  </si>
  <si>
    <t>Tungsten MG</t>
  </si>
  <si>
    <t>Price List</t>
  </si>
  <si>
    <t>Total</t>
  </si>
  <si>
    <t>Thank You!</t>
  </si>
  <si>
    <t>Green Enviro. Keeping SA Clean!</t>
  </si>
  <si>
    <t>Price</t>
  </si>
  <si>
    <t>Items</t>
  </si>
  <si>
    <t>KG</t>
  </si>
  <si>
    <t>Price/KG</t>
  </si>
  <si>
    <t>SB Greasy</t>
  </si>
  <si>
    <t>SB Granules</t>
  </si>
  <si>
    <t>Sidronic</t>
  </si>
  <si>
    <t>Cu 1A</t>
  </si>
  <si>
    <t>Cu Pyro</t>
  </si>
  <si>
    <t>Al Foil</t>
  </si>
  <si>
    <t>Unclean</t>
  </si>
  <si>
    <t>3CR12</t>
  </si>
  <si>
    <t>Stainless Mag</t>
  </si>
  <si>
    <t>Fridge</t>
  </si>
  <si>
    <t>Motors</t>
  </si>
  <si>
    <t>DATE:</t>
  </si>
  <si>
    <t>A Grade</t>
  </si>
  <si>
    <t>Sub Grade</t>
  </si>
  <si>
    <t>YES</t>
  </si>
  <si>
    <t>NO</t>
  </si>
  <si>
    <t>Dealer's Prices</t>
  </si>
  <si>
    <t>General Prices</t>
  </si>
  <si>
    <t>Price Calculation Formula</t>
  </si>
  <si>
    <t>Cables</t>
  </si>
  <si>
    <t>PCB-L</t>
  </si>
  <si>
    <t>PCB-M</t>
  </si>
  <si>
    <t>PCB-C</t>
  </si>
  <si>
    <t>PCB-P</t>
  </si>
  <si>
    <t>Steel Can</t>
  </si>
  <si>
    <t>General</t>
  </si>
  <si>
    <t>Cu Mix</t>
  </si>
  <si>
    <t>Cu Tin</t>
  </si>
  <si>
    <t>Cu Brz</t>
  </si>
  <si>
    <t>Cu Rads</t>
  </si>
  <si>
    <t>Al O/R</t>
  </si>
  <si>
    <t>AI Rims</t>
  </si>
  <si>
    <t>SS 304</t>
  </si>
  <si>
    <t>Al/Cu Rads</t>
  </si>
  <si>
    <t>Al Rads</t>
  </si>
  <si>
    <t>Al Extrusion</t>
  </si>
  <si>
    <t>Cu Tin Granules</t>
  </si>
  <si>
    <t>S Shavings</t>
  </si>
  <si>
    <t>SS Elements</t>
  </si>
  <si>
    <t>ON</t>
  </si>
  <si>
    <t>OFF</t>
  </si>
  <si>
    <t>GROUPED PURCHASES</t>
  </si>
  <si>
    <t xml:space="preserve">ITEM </t>
  </si>
  <si>
    <t>TOTOAL KG'S</t>
  </si>
  <si>
    <t>CU Shavings</t>
  </si>
  <si>
    <t>Remaining Float</t>
  </si>
  <si>
    <t>OVERALL NOVEMBER SUMMARY</t>
  </si>
  <si>
    <t>WEEK 1:  Monday 1 December - Saturday 5 December</t>
  </si>
  <si>
    <t>WEEK 2: Monday  7 December - Saturday 12 December</t>
  </si>
  <si>
    <t>WEEK 3:  Monday 14 December - Saturday 19 December</t>
  </si>
  <si>
    <t xml:space="preserve">WEEK 5:  Monday 28 December - Saturday 31 December </t>
  </si>
  <si>
    <t>WEEK 4:  Monday 21 December - Saturday 26 December</t>
  </si>
  <si>
    <t>CASUAL</t>
  </si>
  <si>
    <t>RENT</t>
  </si>
  <si>
    <t>ALARM</t>
  </si>
  <si>
    <t>fuel</t>
  </si>
  <si>
    <t>FUEL</t>
  </si>
  <si>
    <t>TENDAI</t>
  </si>
  <si>
    <t>TINOTENDA</t>
  </si>
  <si>
    <t>UNCLEAN/CASUAL</t>
  </si>
  <si>
    <t>FMP</t>
  </si>
  <si>
    <t>SAPS</t>
  </si>
  <si>
    <t>BIG SIX</t>
  </si>
  <si>
    <t>B IG SIX/201</t>
  </si>
  <si>
    <t>BIG SIX/TINS</t>
  </si>
  <si>
    <t>OXYGEN</t>
  </si>
  <si>
    <t>PRIMO BATTRIES</t>
  </si>
  <si>
    <t>TRUST/CASUAL</t>
  </si>
  <si>
    <t>DAVID/CASUAL</t>
  </si>
  <si>
    <t>ENGENE STATER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</si>
</sst>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-&quot;R&quot;* #,##0.00_-;\-&quot;R&quot;* #,##0.00_-;_-&quot;R&quot;* &quot;-&quot;??_-;_-@_-"/>
    <numFmt numFmtId="164" formatCode="_ &quot;R&quot;\ * #,##0.00_ ;_ &quot;R&quot;\ * \-#,##0.00_ ;_ &quot;R&quot;\ * &quot;-&quot;??_ ;_ @_ "/>
    <numFmt numFmtId="165" formatCode="[$-F800]dddd\,\ mmmm\ dd\,\ yyyy"/>
    <numFmt numFmtId="166" formatCode="&quot;R&quot;#,##0.00"/>
  </numFmts>
  <fonts count="1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0"/>
      <color rgb="FF222222"/>
      <name val="Arial"/>
      <family val="2"/>
    </font>
    <font>
      <b/>
      <sz val="18"/>
      <color theme="1"/>
      <name val="Calibri"/>
      <family val="2"/>
      <scheme val="minor"/>
    </font>
    <font>
      <b/>
      <sz val="18"/>
      <color theme="1"/>
      <name val="Brush Script MT"/>
      <family val="4"/>
    </font>
    <font>
      <b/>
      <sz val="13"/>
      <color theme="1"/>
      <name val="Calibri"/>
      <family val="2"/>
      <scheme val="minor"/>
    </font>
    <font>
      <b/>
      <sz val="16"/>
      <color theme="1"/>
      <name val="Cambria"/>
      <family val="1"/>
    </font>
    <font>
      <b/>
      <sz val="14"/>
      <color theme="1"/>
      <name val="Cambria"/>
      <family val="1"/>
    </font>
    <font>
      <sz val="18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18"/>
      <color rgb="FF000000"/>
      <name val="Calibri"/>
      <family val="2"/>
    </font>
    <font>
      <b/>
      <sz val="14"/>
      <color rgb="FF000000"/>
      <name val="Cambria Math"/>
      <family val="1"/>
    </font>
  </fonts>
  <fills count="9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79998168889431442"/>
        <bgColor indexed="64"/>
      </patternFill>
    </fill>
  </fills>
  <borders count="5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dashDotDot">
        <color indexed="64"/>
      </right>
      <top style="dashDotDot">
        <color indexed="64"/>
      </top>
      <bottom style="dashDotDot">
        <color indexed="64"/>
      </bottom>
      <diagonal/>
    </border>
    <border>
      <left style="dashDotDot">
        <color indexed="64"/>
      </left>
      <right/>
      <top/>
      <bottom style="thin">
        <color indexed="64"/>
      </bottom>
      <diagonal/>
    </border>
    <border>
      <left style="dashDotDot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</borders>
  <cellStyleXfs count="1">
    <xf numFmtId="0" fontId="0" fillId="0" borderId="0"/>
  </cellStyleXfs>
  <cellXfs count="229">
    <xf numFmtId="0" fontId="0" fillId="0" borderId="0" xfId="0"/>
    <xf numFmtId="44" fontId="3" fillId="0" borderId="0" xfId="0" applyNumberFormat="1" applyFont="1" applyProtection="1">
      <protection locked="0"/>
    </xf>
    <xf numFmtId="0" fontId="2" fillId="0" borderId="0" xfId="0" applyFont="1" applyProtection="1">
      <protection locked="0"/>
    </xf>
    <xf numFmtId="0" fontId="2" fillId="4" borderId="10" xfId="0" applyFont="1" applyFill="1" applyBorder="1" applyAlignment="1" applyProtection="1">
      <alignment horizontal="center"/>
      <protection locked="0"/>
    </xf>
    <xf numFmtId="0" fontId="2" fillId="4" borderId="11" xfId="0" applyFont="1" applyFill="1" applyBorder="1" applyAlignment="1" applyProtection="1">
      <alignment horizontal="center"/>
      <protection locked="0"/>
    </xf>
    <xf numFmtId="44" fontId="2" fillId="4" borderId="12" xfId="0" applyNumberFormat="1" applyFont="1" applyFill="1" applyBorder="1" applyProtection="1">
      <protection locked="0"/>
    </xf>
    <xf numFmtId="0" fontId="2" fillId="3" borderId="12" xfId="0" applyFont="1" applyFill="1" applyBorder="1" applyAlignment="1" applyProtection="1">
      <alignment horizontal="center"/>
      <protection locked="0"/>
    </xf>
    <xf numFmtId="0" fontId="2" fillId="3" borderId="13" xfId="0" applyFont="1" applyFill="1" applyBorder="1" applyAlignment="1" applyProtection="1">
      <alignment horizontal="center"/>
      <protection locked="0"/>
    </xf>
    <xf numFmtId="44" fontId="2" fillId="3" borderId="14" xfId="0" applyNumberFormat="1" applyFont="1" applyFill="1" applyBorder="1" applyAlignment="1" applyProtection="1">
      <alignment horizontal="center"/>
      <protection locked="0"/>
    </xf>
    <xf numFmtId="44" fontId="2" fillId="4" borderId="14" xfId="0" applyNumberFormat="1" applyFont="1" applyFill="1" applyBorder="1" applyAlignment="1" applyProtection="1">
      <alignment horizontal="center"/>
      <protection locked="0"/>
    </xf>
    <xf numFmtId="0" fontId="2" fillId="3" borderId="10" xfId="0" applyFont="1" applyFill="1" applyBorder="1" applyAlignment="1" applyProtection="1">
      <alignment horizontal="center"/>
      <protection locked="0"/>
    </xf>
    <xf numFmtId="0" fontId="2" fillId="3" borderId="16" xfId="0" applyFont="1" applyFill="1" applyBorder="1" applyAlignment="1" applyProtection="1">
      <alignment horizontal="center"/>
      <protection locked="0"/>
    </xf>
    <xf numFmtId="0" fontId="2" fillId="4" borderId="15" xfId="0" applyFont="1" applyFill="1" applyBorder="1" applyAlignment="1" applyProtection="1">
      <alignment horizontal="center"/>
      <protection locked="0"/>
    </xf>
    <xf numFmtId="0" fontId="2" fillId="4" borderId="17" xfId="0" applyFont="1" applyFill="1" applyBorder="1" applyAlignment="1" applyProtection="1">
      <alignment horizontal="center"/>
      <protection locked="0"/>
    </xf>
    <xf numFmtId="44" fontId="2" fillId="4" borderId="16" xfId="0" applyNumberFormat="1" applyFont="1" applyFill="1" applyBorder="1" applyProtection="1">
      <protection locked="0"/>
    </xf>
    <xf numFmtId="0" fontId="2" fillId="3" borderId="18" xfId="0" applyFont="1" applyFill="1" applyBorder="1" applyAlignment="1" applyProtection="1">
      <alignment horizontal="center"/>
      <protection locked="0"/>
    </xf>
    <xf numFmtId="44" fontId="2" fillId="3" borderId="9" xfId="0" applyNumberFormat="1" applyFont="1" applyFill="1" applyBorder="1" applyAlignment="1" applyProtection="1">
      <alignment horizontal="center"/>
      <protection locked="0"/>
    </xf>
    <xf numFmtId="44" fontId="2" fillId="4" borderId="9" xfId="0" applyNumberFormat="1" applyFont="1" applyFill="1" applyBorder="1" applyAlignment="1" applyProtection="1">
      <alignment horizontal="center"/>
      <protection locked="0"/>
    </xf>
    <xf numFmtId="0" fontId="2" fillId="3" borderId="15" xfId="0" applyFont="1" applyFill="1" applyBorder="1" applyAlignment="1" applyProtection="1">
      <alignment horizontal="center"/>
      <protection locked="0"/>
    </xf>
    <xf numFmtId="0" fontId="2" fillId="3" borderId="20" xfId="0" applyFont="1" applyFill="1" applyBorder="1" applyAlignment="1" applyProtection="1">
      <alignment horizontal="center"/>
      <protection locked="0"/>
    </xf>
    <xf numFmtId="0" fontId="2" fillId="4" borderId="19" xfId="0" applyFont="1" applyFill="1" applyBorder="1" applyAlignment="1" applyProtection="1">
      <alignment horizontal="center"/>
      <protection locked="0"/>
    </xf>
    <xf numFmtId="0" fontId="2" fillId="4" borderId="21" xfId="0" applyFont="1" applyFill="1" applyBorder="1" applyAlignment="1" applyProtection="1">
      <alignment horizontal="center"/>
      <protection locked="0"/>
    </xf>
    <xf numFmtId="44" fontId="2" fillId="4" borderId="20" xfId="0" applyNumberFormat="1" applyFont="1" applyFill="1" applyBorder="1" applyProtection="1">
      <protection locked="0"/>
    </xf>
    <xf numFmtId="0" fontId="2" fillId="3" borderId="22" xfId="0" applyFont="1" applyFill="1" applyBorder="1" applyAlignment="1" applyProtection="1">
      <alignment horizontal="center"/>
      <protection locked="0"/>
    </xf>
    <xf numFmtId="44" fontId="2" fillId="3" borderId="24" xfId="0" applyNumberFormat="1" applyFont="1" applyFill="1" applyBorder="1" applyAlignment="1" applyProtection="1">
      <alignment horizontal="center"/>
      <protection locked="0"/>
    </xf>
    <xf numFmtId="44" fontId="2" fillId="4" borderId="24" xfId="0" applyNumberFormat="1" applyFont="1" applyFill="1" applyBorder="1" applyAlignment="1" applyProtection="1">
      <alignment horizontal="center"/>
      <protection locked="0"/>
    </xf>
    <xf numFmtId="0" fontId="2" fillId="3" borderId="19" xfId="0" applyFont="1" applyFill="1" applyBorder="1" applyAlignment="1" applyProtection="1">
      <alignment horizontal="center"/>
      <protection locked="0"/>
    </xf>
    <xf numFmtId="44" fontId="2" fillId="3" borderId="25" xfId="0" applyNumberFormat="1" applyFont="1" applyFill="1" applyBorder="1" applyAlignment="1" applyProtection="1">
      <alignment horizontal="center"/>
      <protection locked="0"/>
    </xf>
    <xf numFmtId="0" fontId="2" fillId="4" borderId="16" xfId="0" applyFont="1" applyFill="1" applyBorder="1" applyAlignment="1" applyProtection="1">
      <alignment horizontal="center"/>
      <protection locked="0"/>
    </xf>
    <xf numFmtId="0" fontId="2" fillId="3" borderId="27" xfId="0" applyFont="1" applyFill="1" applyBorder="1" applyAlignment="1" applyProtection="1">
      <alignment horizontal="center"/>
      <protection locked="0"/>
    </xf>
    <xf numFmtId="0" fontId="2" fillId="4" borderId="26" xfId="0" applyFont="1" applyFill="1" applyBorder="1" applyAlignment="1" applyProtection="1">
      <alignment horizontal="center"/>
      <protection locked="0"/>
    </xf>
    <xf numFmtId="0" fontId="2" fillId="4" borderId="27" xfId="0" applyFont="1" applyFill="1" applyBorder="1" applyAlignment="1" applyProtection="1">
      <alignment horizontal="center"/>
      <protection locked="0"/>
    </xf>
    <xf numFmtId="44" fontId="2" fillId="4" borderId="27" xfId="0" applyNumberFormat="1" applyFont="1" applyFill="1" applyBorder="1" applyProtection="1">
      <protection locked="0"/>
    </xf>
    <xf numFmtId="44" fontId="2" fillId="3" borderId="28" xfId="0" applyNumberFormat="1" applyFont="1" applyFill="1" applyBorder="1" applyAlignment="1" applyProtection="1">
      <alignment horizontal="center"/>
      <protection locked="0"/>
    </xf>
    <xf numFmtId="44" fontId="2" fillId="4" borderId="28" xfId="0" applyNumberFormat="1" applyFont="1" applyFill="1" applyBorder="1" applyAlignment="1" applyProtection="1">
      <alignment horizontal="center"/>
      <protection locked="0"/>
    </xf>
    <xf numFmtId="0" fontId="2" fillId="3" borderId="26" xfId="0" applyFont="1" applyFill="1" applyBorder="1" applyAlignment="1" applyProtection="1">
      <alignment horizontal="center"/>
      <protection locked="0"/>
    </xf>
    <xf numFmtId="0" fontId="0" fillId="0" borderId="0" xfId="0" applyProtection="1"/>
    <xf numFmtId="0" fontId="0" fillId="0" borderId="0" xfId="0"/>
    <xf numFmtId="0" fontId="7" fillId="0" borderId="0" xfId="0" applyFont="1" applyAlignment="1">
      <alignment horizontal="center"/>
    </xf>
    <xf numFmtId="0" fontId="3" fillId="0" borderId="0" xfId="0" applyFont="1"/>
    <xf numFmtId="0" fontId="5" fillId="0" borderId="16" xfId="0" applyFont="1" applyBorder="1" applyAlignment="1">
      <alignment horizontal="center"/>
    </xf>
    <xf numFmtId="0" fontId="3" fillId="0" borderId="29" xfId="0" applyFont="1" applyBorder="1"/>
    <xf numFmtId="0" fontId="3" fillId="0" borderId="30" xfId="0" applyFont="1" applyBorder="1"/>
    <xf numFmtId="0" fontId="3" fillId="0" borderId="31" xfId="0" applyFont="1" applyBorder="1"/>
    <xf numFmtId="164" fontId="3" fillId="0" borderId="16" xfId="0" applyNumberFormat="1" applyFont="1" applyBorder="1"/>
    <xf numFmtId="0" fontId="3" fillId="3" borderId="16" xfId="0" applyFont="1" applyFill="1" applyBorder="1"/>
    <xf numFmtId="0" fontId="3" fillId="0" borderId="13" xfId="0" applyFont="1" applyBorder="1"/>
    <xf numFmtId="0" fontId="3" fillId="0" borderId="32" xfId="0" applyFont="1" applyBorder="1"/>
    <xf numFmtId="164" fontId="3" fillId="3" borderId="16" xfId="0" applyNumberFormat="1" applyFont="1" applyFill="1" applyBorder="1"/>
    <xf numFmtId="0" fontId="7" fillId="0" borderId="0" xfId="0" applyFont="1"/>
    <xf numFmtId="0" fontId="8" fillId="5" borderId="36" xfId="0" applyFont="1" applyFill="1" applyBorder="1" applyAlignment="1">
      <alignment vertical="center"/>
    </xf>
    <xf numFmtId="0" fontId="8" fillId="5" borderId="40" xfId="0" applyFont="1" applyFill="1" applyBorder="1" applyAlignment="1">
      <alignment vertical="center"/>
    </xf>
    <xf numFmtId="0" fontId="0" fillId="0" borderId="36" xfId="0" applyBorder="1"/>
    <xf numFmtId="0" fontId="0" fillId="0" borderId="42" xfId="0" applyBorder="1"/>
    <xf numFmtId="0" fontId="0" fillId="0" borderId="35" xfId="0" applyBorder="1"/>
    <xf numFmtId="0" fontId="1" fillId="0" borderId="0" xfId="0" applyFont="1" applyFill="1" applyBorder="1" applyAlignment="1">
      <alignment horizontal="center"/>
    </xf>
    <xf numFmtId="0" fontId="3" fillId="0" borderId="36" xfId="0" applyFont="1" applyBorder="1" applyAlignment="1">
      <alignment horizontal="center" vertical="center"/>
    </xf>
    <xf numFmtId="166" fontId="3" fillId="0" borderId="42" xfId="0" applyNumberFormat="1" applyFont="1" applyBorder="1" applyAlignment="1">
      <alignment horizontal="center" vertical="center"/>
    </xf>
    <xf numFmtId="0" fontId="3" fillId="0" borderId="42" xfId="0" applyFont="1" applyBorder="1" applyAlignment="1">
      <alignment horizontal="center" vertical="center"/>
    </xf>
    <xf numFmtId="166" fontId="3" fillId="0" borderId="35" xfId="0" applyNumberFormat="1" applyFont="1" applyBorder="1" applyAlignment="1">
      <alignment horizontal="center" vertical="center"/>
    </xf>
    <xf numFmtId="2" fontId="8" fillId="5" borderId="34" xfId="0" applyNumberFormat="1" applyFont="1" applyFill="1" applyBorder="1" applyAlignment="1">
      <alignment horizontal="right" vertical="center"/>
    </xf>
    <xf numFmtId="2" fontId="8" fillId="5" borderId="34" xfId="0" applyNumberFormat="1" applyFont="1" applyFill="1" applyBorder="1" applyAlignment="1">
      <alignment vertical="center"/>
    </xf>
    <xf numFmtId="2" fontId="8" fillId="5" borderId="35" xfId="0" applyNumberFormat="1" applyFont="1" applyFill="1" applyBorder="1" applyAlignment="1">
      <alignment horizontal="right" vertical="center"/>
    </xf>
    <xf numFmtId="2" fontId="8" fillId="5" borderId="35" xfId="0" applyNumberFormat="1" applyFont="1" applyFill="1" applyBorder="1" applyAlignment="1">
      <alignment vertical="center"/>
    </xf>
    <xf numFmtId="0" fontId="0" fillId="0" borderId="0" xfId="0" applyBorder="1"/>
    <xf numFmtId="0" fontId="0" fillId="0" borderId="33" xfId="0" applyBorder="1"/>
    <xf numFmtId="0" fontId="0" fillId="0" borderId="39" xfId="0" applyBorder="1"/>
    <xf numFmtId="0" fontId="11" fillId="6" borderId="39" xfId="0" applyFont="1" applyFill="1" applyBorder="1" applyAlignment="1">
      <alignment horizontal="center" vertical="center"/>
    </xf>
    <xf numFmtId="166" fontId="11" fillId="6" borderId="0" xfId="0" applyNumberFormat="1" applyFont="1" applyFill="1" applyBorder="1" applyAlignment="1">
      <alignment horizontal="center" vertical="center"/>
    </xf>
    <xf numFmtId="0" fontId="11" fillId="6" borderId="0" xfId="0" applyFont="1" applyFill="1" applyBorder="1" applyAlignment="1">
      <alignment horizontal="center" vertical="center"/>
    </xf>
    <xf numFmtId="166" fontId="11" fillId="6" borderId="33" xfId="0" applyNumberFormat="1" applyFont="1" applyFill="1" applyBorder="1" applyAlignment="1">
      <alignment horizontal="center" vertical="center"/>
    </xf>
    <xf numFmtId="0" fontId="1" fillId="0" borderId="0" xfId="0" applyFont="1"/>
    <xf numFmtId="0" fontId="8" fillId="5" borderId="4" xfId="0" applyFont="1" applyFill="1" applyBorder="1" applyAlignment="1">
      <alignment vertical="center"/>
    </xf>
    <xf numFmtId="2" fontId="8" fillId="5" borderId="4" xfId="0" applyNumberFormat="1" applyFont="1" applyFill="1" applyBorder="1" applyAlignment="1">
      <alignment horizontal="right" vertical="center"/>
    </xf>
    <xf numFmtId="0" fontId="0" fillId="0" borderId="4" xfId="0" applyBorder="1"/>
    <xf numFmtId="0" fontId="8" fillId="5" borderId="0" xfId="0" applyFont="1" applyFill="1" applyBorder="1" applyAlignment="1">
      <alignment vertical="center"/>
    </xf>
    <xf numFmtId="0" fontId="0" fillId="0" borderId="0" xfId="0" applyAlignment="1" applyProtection="1">
      <alignment horizontal="center"/>
    </xf>
    <xf numFmtId="44" fontId="3" fillId="0" borderId="0" xfId="0" applyNumberFormat="1" applyFont="1" applyProtection="1"/>
    <xf numFmtId="0" fontId="2" fillId="2" borderId="1" xfId="0" applyFont="1" applyFill="1" applyBorder="1" applyAlignment="1" applyProtection="1">
      <alignment horizontal="center"/>
    </xf>
    <xf numFmtId="0" fontId="2" fillId="2" borderId="2" xfId="0" applyFont="1" applyFill="1" applyBorder="1" applyAlignment="1" applyProtection="1">
      <alignment horizontal="center"/>
    </xf>
    <xf numFmtId="0" fontId="2" fillId="2" borderId="3" xfId="0" applyFont="1" applyFill="1" applyBorder="1" applyAlignment="1" applyProtection="1">
      <alignment horizontal="center"/>
    </xf>
    <xf numFmtId="0" fontId="2" fillId="3" borderId="1" xfId="0" applyFont="1" applyFill="1" applyBorder="1" applyAlignment="1" applyProtection="1">
      <alignment horizontal="center"/>
    </xf>
    <xf numFmtId="0" fontId="2" fillId="3" borderId="4" xfId="0" applyFont="1" applyFill="1" applyBorder="1" applyAlignment="1" applyProtection="1">
      <alignment horizontal="center"/>
    </xf>
    <xf numFmtId="0" fontId="2" fillId="0" borderId="0" xfId="0" applyFont="1" applyProtection="1"/>
    <xf numFmtId="0" fontId="2" fillId="4" borderId="4" xfId="0" applyFont="1" applyFill="1" applyBorder="1" applyAlignment="1" applyProtection="1">
      <alignment horizontal="center"/>
    </xf>
    <xf numFmtId="0" fontId="2" fillId="4" borderId="5" xfId="0" applyFont="1" applyFill="1" applyBorder="1" applyAlignment="1" applyProtection="1">
      <alignment horizontal="center"/>
    </xf>
    <xf numFmtId="0" fontId="2" fillId="2" borderId="6" xfId="0" applyFont="1" applyFill="1" applyBorder="1" applyProtection="1"/>
    <xf numFmtId="0" fontId="2" fillId="2" borderId="7" xfId="0" applyFont="1" applyFill="1" applyBorder="1" applyAlignment="1" applyProtection="1">
      <alignment horizontal="center"/>
    </xf>
    <xf numFmtId="44" fontId="2" fillId="2" borderId="7" xfId="0" applyNumberFormat="1" applyFont="1" applyFill="1" applyBorder="1" applyProtection="1"/>
    <xf numFmtId="164" fontId="2" fillId="2" borderId="8" xfId="0" applyNumberFormat="1" applyFont="1" applyFill="1" applyBorder="1" applyProtection="1"/>
    <xf numFmtId="0" fontId="2" fillId="3" borderId="16" xfId="0" applyFont="1" applyFill="1" applyBorder="1" applyProtection="1"/>
    <xf numFmtId="0" fontId="2" fillId="3" borderId="16" xfId="0" applyFont="1" applyFill="1" applyBorder="1" applyAlignment="1" applyProtection="1">
      <alignment horizontal="center"/>
    </xf>
    <xf numFmtId="44" fontId="2" fillId="3" borderId="16" xfId="0" applyNumberFormat="1" applyFont="1" applyFill="1" applyBorder="1" applyProtection="1"/>
    <xf numFmtId="164" fontId="2" fillId="3" borderId="9" xfId="0" applyNumberFormat="1" applyFont="1" applyFill="1" applyBorder="1" applyProtection="1"/>
    <xf numFmtId="0" fontId="2" fillId="3" borderId="12" xfId="0" applyFont="1" applyFill="1" applyBorder="1" applyAlignment="1" applyProtection="1">
      <alignment horizontal="center"/>
    </xf>
    <xf numFmtId="0" fontId="2" fillId="2" borderId="15" xfId="0" applyFont="1" applyFill="1" applyBorder="1" applyProtection="1"/>
    <xf numFmtId="0" fontId="2" fillId="2" borderId="16" xfId="0" applyFont="1" applyFill="1" applyBorder="1" applyAlignment="1" applyProtection="1">
      <alignment horizontal="center"/>
    </xf>
    <xf numFmtId="44" fontId="2" fillId="2" borderId="16" xfId="0" applyNumberFormat="1" applyFont="1" applyFill="1" applyBorder="1" applyProtection="1"/>
    <xf numFmtId="164" fontId="2" fillId="2" borderId="16" xfId="0" applyNumberFormat="1" applyFont="1" applyFill="1" applyBorder="1" applyProtection="1"/>
    <xf numFmtId="0" fontId="2" fillId="3" borderId="20" xfId="0" applyFont="1" applyFill="1" applyBorder="1" applyProtection="1"/>
    <xf numFmtId="0" fontId="2" fillId="3" borderId="20" xfId="0" applyFont="1" applyFill="1" applyBorder="1" applyAlignment="1" applyProtection="1">
      <alignment horizontal="center"/>
    </xf>
    <xf numFmtId="44" fontId="2" fillId="3" borderId="20" xfId="0" applyNumberFormat="1" applyFont="1" applyFill="1" applyBorder="1" applyProtection="1"/>
    <xf numFmtId="164" fontId="2" fillId="3" borderId="24" xfId="0" applyNumberFormat="1" applyFont="1" applyFill="1" applyBorder="1" applyProtection="1"/>
    <xf numFmtId="0" fontId="2" fillId="3" borderId="12" xfId="0" applyFont="1" applyFill="1" applyBorder="1" applyProtection="1"/>
    <xf numFmtId="44" fontId="2" fillId="3" borderId="12" xfId="0" applyNumberFormat="1" applyFont="1" applyFill="1" applyBorder="1" applyProtection="1"/>
    <xf numFmtId="164" fontId="2" fillId="3" borderId="14" xfId="0" applyNumberFormat="1" applyFont="1" applyFill="1" applyBorder="1" applyProtection="1"/>
    <xf numFmtId="0" fontId="2" fillId="2" borderId="19" xfId="0" applyFont="1" applyFill="1" applyBorder="1" applyProtection="1"/>
    <xf numFmtId="0" fontId="2" fillId="2" borderId="20" xfId="0" applyFont="1" applyFill="1" applyBorder="1" applyAlignment="1" applyProtection="1">
      <alignment horizontal="center"/>
    </xf>
    <xf numFmtId="44" fontId="2" fillId="2" borderId="20" xfId="0" applyNumberFormat="1" applyFont="1" applyFill="1" applyBorder="1" applyProtection="1"/>
    <xf numFmtId="164" fontId="2" fillId="2" borderId="20" xfId="0" applyNumberFormat="1" applyFont="1" applyFill="1" applyBorder="1" applyProtection="1"/>
    <xf numFmtId="0" fontId="2" fillId="2" borderId="10" xfId="0" applyFont="1" applyFill="1" applyBorder="1" applyProtection="1"/>
    <xf numFmtId="0" fontId="2" fillId="2" borderId="12" xfId="0" applyFont="1" applyFill="1" applyBorder="1" applyAlignment="1" applyProtection="1">
      <alignment horizontal="center"/>
    </xf>
    <xf numFmtId="44" fontId="2" fillId="2" borderId="12" xfId="0" applyNumberFormat="1" applyFont="1" applyFill="1" applyBorder="1" applyProtection="1"/>
    <xf numFmtId="164" fontId="2" fillId="2" borderId="12" xfId="0" applyNumberFormat="1" applyFont="1" applyFill="1" applyBorder="1" applyProtection="1"/>
    <xf numFmtId="0" fontId="2" fillId="2" borderId="26" xfId="0" applyFont="1" applyFill="1" applyBorder="1" applyProtection="1"/>
    <xf numFmtId="0" fontId="2" fillId="2" borderId="27" xfId="0" applyFont="1" applyFill="1" applyBorder="1" applyAlignment="1" applyProtection="1">
      <alignment horizontal="center"/>
    </xf>
    <xf numFmtId="44" fontId="2" fillId="2" borderId="27" xfId="0" applyNumberFormat="1" applyFont="1" applyFill="1" applyBorder="1" applyProtection="1"/>
    <xf numFmtId="0" fontId="2" fillId="3" borderId="27" xfId="0" applyFont="1" applyFill="1" applyBorder="1" applyProtection="1"/>
    <xf numFmtId="0" fontId="2" fillId="3" borderId="27" xfId="0" applyFont="1" applyFill="1" applyBorder="1" applyAlignment="1" applyProtection="1">
      <alignment horizontal="center"/>
    </xf>
    <xf numFmtId="44" fontId="2" fillId="3" borderId="27" xfId="0" applyNumberFormat="1" applyFont="1" applyFill="1" applyBorder="1" applyProtection="1"/>
    <xf numFmtId="0" fontId="1" fillId="0" borderId="23" xfId="0" applyFont="1" applyBorder="1" applyProtection="1"/>
    <xf numFmtId="0" fontId="2" fillId="2" borderId="4" xfId="0" applyFont="1" applyFill="1" applyBorder="1" applyProtection="1"/>
    <xf numFmtId="0" fontId="2" fillId="2" borderId="4" xfId="0" applyFont="1" applyFill="1" applyBorder="1" applyAlignment="1" applyProtection="1">
      <alignment horizontal="center"/>
    </xf>
    <xf numFmtId="164" fontId="2" fillId="2" borderId="4" xfId="0" applyNumberFormat="1" applyFont="1" applyFill="1" applyBorder="1" applyProtection="1"/>
    <xf numFmtId="0" fontId="2" fillId="3" borderId="4" xfId="0" applyFont="1" applyFill="1" applyBorder="1" applyProtection="1"/>
    <xf numFmtId="164" fontId="2" fillId="3" borderId="4" xfId="0" applyNumberFormat="1" applyFont="1" applyFill="1" applyBorder="1" applyProtection="1"/>
    <xf numFmtId="0" fontId="2" fillId="4" borderId="23" xfId="0" applyFont="1" applyFill="1" applyBorder="1" applyAlignment="1" applyProtection="1">
      <alignment horizontal="center"/>
    </xf>
    <xf numFmtId="164" fontId="2" fillId="4" borderId="4" xfId="0" applyNumberFormat="1" applyFont="1" applyFill="1" applyBorder="1" applyProtection="1"/>
    <xf numFmtId="164" fontId="2" fillId="3" borderId="4" xfId="0" applyNumberFormat="1" applyFont="1" applyFill="1" applyBorder="1" applyAlignment="1" applyProtection="1">
      <alignment horizontal="center"/>
    </xf>
    <xf numFmtId="164" fontId="2" fillId="4" borderId="5" xfId="0" applyNumberFormat="1" applyFont="1" applyFill="1" applyBorder="1" applyAlignment="1" applyProtection="1">
      <alignment horizontal="center"/>
    </xf>
    <xf numFmtId="164" fontId="2" fillId="3" borderId="5" xfId="0" applyNumberFormat="1" applyFont="1" applyFill="1" applyBorder="1" applyAlignment="1" applyProtection="1">
      <alignment horizontal="center"/>
    </xf>
    <xf numFmtId="0" fontId="9" fillId="0" borderId="51" xfId="0" applyFont="1" applyBorder="1" applyAlignment="1" applyProtection="1">
      <alignment horizontal="center" vertical="center" wrapText="1"/>
      <protection locked="0"/>
    </xf>
    <xf numFmtId="0" fontId="0" fillId="0" borderId="0" xfId="0" applyAlignment="1">
      <alignment vertical="center"/>
    </xf>
    <xf numFmtId="0" fontId="1" fillId="0" borderId="0" xfId="0" applyFont="1" applyBorder="1" applyAlignment="1">
      <alignment vertical="center"/>
    </xf>
    <xf numFmtId="0" fontId="0" fillId="0" borderId="0" xfId="0" applyBorder="1" applyAlignment="1">
      <alignment vertical="center"/>
    </xf>
    <xf numFmtId="0" fontId="5" fillId="0" borderId="39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33" xfId="0" applyFont="1" applyBorder="1" applyAlignment="1">
      <alignment horizontal="center" vertical="center"/>
    </xf>
    <xf numFmtId="0" fontId="9" fillId="0" borderId="52" xfId="0" applyFont="1" applyBorder="1" applyAlignment="1" applyProtection="1">
      <alignment horizontal="center" vertical="center"/>
      <protection locked="0"/>
    </xf>
    <xf numFmtId="0" fontId="9" fillId="0" borderId="32" xfId="0" applyFont="1" applyBorder="1" applyAlignment="1" applyProtection="1">
      <alignment horizontal="center" vertical="center"/>
    </xf>
    <xf numFmtId="0" fontId="9" fillId="0" borderId="45" xfId="0" applyFont="1" applyBorder="1" applyAlignment="1">
      <alignment horizontal="center" vertical="center"/>
    </xf>
    <xf numFmtId="0" fontId="9" fillId="0" borderId="53" xfId="0" applyFont="1" applyBorder="1" applyAlignment="1" applyProtection="1">
      <alignment horizontal="center" vertical="center"/>
      <protection locked="0"/>
    </xf>
    <xf numFmtId="0" fontId="9" fillId="0" borderId="54" xfId="0" applyFont="1" applyBorder="1" applyAlignment="1" applyProtection="1">
      <alignment horizontal="center" vertical="center"/>
    </xf>
    <xf numFmtId="0" fontId="9" fillId="0" borderId="55" xfId="0" applyFont="1" applyBorder="1" applyAlignment="1">
      <alignment horizontal="center" vertical="center"/>
    </xf>
    <xf numFmtId="0" fontId="9" fillId="0" borderId="49" xfId="0" applyFont="1" applyBorder="1" applyAlignment="1">
      <alignment horizontal="center" vertical="center"/>
    </xf>
    <xf numFmtId="0" fontId="14" fillId="0" borderId="0" xfId="0" applyFont="1"/>
    <xf numFmtId="0" fontId="2" fillId="8" borderId="4" xfId="0" applyFont="1" applyFill="1" applyBorder="1" applyAlignment="1" applyProtection="1">
      <alignment horizontal="center"/>
    </xf>
    <xf numFmtId="0" fontId="2" fillId="8" borderId="5" xfId="0" applyFont="1" applyFill="1" applyBorder="1" applyAlignment="1" applyProtection="1">
      <alignment horizontal="center"/>
    </xf>
    <xf numFmtId="0" fontId="2" fillId="8" borderId="10" xfId="0" applyFont="1" applyFill="1" applyBorder="1" applyProtection="1"/>
    <xf numFmtId="0" fontId="2" fillId="8" borderId="15" xfId="0" applyFont="1" applyFill="1" applyBorder="1" applyProtection="1"/>
    <xf numFmtId="0" fontId="2" fillId="8" borderId="26" xfId="0" applyFont="1" applyFill="1" applyBorder="1" applyProtection="1"/>
    <xf numFmtId="0" fontId="2" fillId="8" borderId="14" xfId="0" applyFont="1" applyFill="1" applyBorder="1" applyProtection="1"/>
    <xf numFmtId="0" fontId="2" fillId="8" borderId="9" xfId="0" applyFont="1" applyFill="1" applyBorder="1" applyProtection="1"/>
    <xf numFmtId="0" fontId="2" fillId="8" borderId="28" xfId="0" applyFont="1" applyFill="1" applyBorder="1" applyProtection="1"/>
    <xf numFmtId="44" fontId="3" fillId="0" borderId="16" xfId="0" applyNumberFormat="1" applyFont="1" applyBorder="1"/>
    <xf numFmtId="44" fontId="3" fillId="3" borderId="16" xfId="0" applyNumberFormat="1" applyFont="1" applyFill="1" applyBorder="1"/>
    <xf numFmtId="0" fontId="9" fillId="0" borderId="52" xfId="0" applyNumberFormat="1" applyFont="1" applyBorder="1" applyAlignment="1" applyProtection="1">
      <alignment horizontal="center" vertical="center"/>
      <protection locked="0"/>
    </xf>
    <xf numFmtId="0" fontId="9" fillId="0" borderId="32" xfId="0" applyNumberFormat="1" applyFont="1" applyBorder="1" applyAlignment="1" applyProtection="1">
      <alignment horizontal="center" vertical="center"/>
    </xf>
    <xf numFmtId="0" fontId="9" fillId="0" borderId="45" xfId="0" applyNumberFormat="1" applyFont="1" applyBorder="1" applyAlignment="1">
      <alignment horizontal="center" vertical="center"/>
    </xf>
    <xf numFmtId="0" fontId="9" fillId="0" borderId="53" xfId="0" applyNumberFormat="1" applyFont="1" applyBorder="1" applyAlignment="1" applyProtection="1">
      <alignment horizontal="center" vertical="center"/>
      <protection locked="0"/>
    </xf>
    <xf numFmtId="0" fontId="9" fillId="0" borderId="54" xfId="0" applyNumberFormat="1" applyFont="1" applyBorder="1" applyAlignment="1" applyProtection="1">
      <alignment horizontal="center" vertical="center"/>
    </xf>
    <xf numFmtId="0" fontId="9" fillId="0" borderId="55" xfId="0" applyNumberFormat="1" applyFont="1" applyBorder="1" applyAlignment="1">
      <alignment horizontal="center" vertical="center"/>
    </xf>
    <xf numFmtId="0" fontId="9" fillId="0" borderId="56" xfId="0" applyFont="1" applyBorder="1" applyAlignment="1">
      <alignment horizontal="center" vertical="center"/>
    </xf>
    <xf numFmtId="0" fontId="2" fillId="2" borderId="6" xfId="0" applyFont="1" applyFill="1" applyBorder="1"/>
    <xf numFmtId="0" fontId="2" fillId="2" borderId="7" xfId="0" applyFont="1" applyFill="1" applyBorder="1" applyAlignment="1">
      <alignment horizontal="center"/>
    </xf>
    <xf numFmtId="44" fontId="2" fillId="2" borderId="7" xfId="0" applyNumberFormat="1" applyFont="1" applyFill="1" applyBorder="1"/>
    <xf numFmtId="164" fontId="2" fillId="2" borderId="8" xfId="0" applyNumberFormat="1" applyFont="1" applyFill="1" applyBorder="1"/>
    <xf numFmtId="0" fontId="2" fillId="3" borderId="16" xfId="0" applyFont="1" applyFill="1" applyBorder="1"/>
    <xf numFmtId="0" fontId="2" fillId="3" borderId="16" xfId="0" applyFont="1" applyFill="1" applyBorder="1" applyAlignment="1">
      <alignment horizontal="center"/>
    </xf>
    <xf numFmtId="44" fontId="2" fillId="3" borderId="16" xfId="0" applyNumberFormat="1" applyFont="1" applyFill="1" applyBorder="1"/>
    <xf numFmtId="164" fontId="2" fillId="3" borderId="9" xfId="0" applyNumberFormat="1" applyFont="1" applyFill="1" applyBorder="1"/>
    <xf numFmtId="0" fontId="2" fillId="2" borderId="15" xfId="0" applyFont="1" applyFill="1" applyBorder="1"/>
    <xf numFmtId="0" fontId="2" fillId="2" borderId="16" xfId="0" applyFont="1" applyFill="1" applyBorder="1" applyAlignment="1">
      <alignment horizontal="center"/>
    </xf>
    <xf numFmtId="44" fontId="2" fillId="2" borderId="16" xfId="0" applyNumberFormat="1" applyFont="1" applyFill="1" applyBorder="1"/>
    <xf numFmtId="164" fontId="2" fillId="2" borderId="16" xfId="0" applyNumberFormat="1" applyFont="1" applyFill="1" applyBorder="1"/>
    <xf numFmtId="0" fontId="2" fillId="3" borderId="20" xfId="0" applyFont="1" applyFill="1" applyBorder="1"/>
    <xf numFmtId="0" fontId="2" fillId="3" borderId="20" xfId="0" applyFont="1" applyFill="1" applyBorder="1" applyAlignment="1">
      <alignment horizontal="center"/>
    </xf>
    <xf numFmtId="44" fontId="2" fillId="3" borderId="20" xfId="0" applyNumberFormat="1" applyFont="1" applyFill="1" applyBorder="1"/>
    <xf numFmtId="164" fontId="2" fillId="3" borderId="24" xfId="0" applyNumberFormat="1" applyFont="1" applyFill="1" applyBorder="1"/>
    <xf numFmtId="0" fontId="2" fillId="3" borderId="12" xfId="0" applyFont="1" applyFill="1" applyBorder="1"/>
    <xf numFmtId="0" fontId="2" fillId="3" borderId="12" xfId="0" applyFont="1" applyFill="1" applyBorder="1" applyAlignment="1">
      <alignment horizontal="center"/>
    </xf>
    <xf numFmtId="44" fontId="2" fillId="3" borderId="12" xfId="0" applyNumberFormat="1" applyFont="1" applyFill="1" applyBorder="1"/>
    <xf numFmtId="164" fontId="2" fillId="3" borderId="14" xfId="0" applyNumberFormat="1" applyFont="1" applyFill="1" applyBorder="1"/>
    <xf numFmtId="0" fontId="2" fillId="2" borderId="19" xfId="0" applyFont="1" applyFill="1" applyBorder="1"/>
    <xf numFmtId="0" fontId="2" fillId="2" borderId="20" xfId="0" applyFont="1" applyFill="1" applyBorder="1" applyAlignment="1">
      <alignment horizontal="center"/>
    </xf>
    <xf numFmtId="44" fontId="2" fillId="2" borderId="20" xfId="0" applyNumberFormat="1" applyFont="1" applyFill="1" applyBorder="1"/>
    <xf numFmtId="164" fontId="2" fillId="2" borderId="20" xfId="0" applyNumberFormat="1" applyFont="1" applyFill="1" applyBorder="1"/>
    <xf numFmtId="0" fontId="6" fillId="0" borderId="0" xfId="0" applyFont="1" applyAlignment="1" applyProtection="1">
      <alignment horizontal="center"/>
    </xf>
    <xf numFmtId="0" fontId="15" fillId="0" borderId="0" xfId="0" applyFont="1" applyAlignment="1" applyProtection="1">
      <alignment horizontal="center"/>
    </xf>
    <xf numFmtId="165" fontId="5" fillId="0" borderId="0" xfId="0" applyNumberFormat="1" applyFont="1" applyAlignment="1" applyProtection="1">
      <alignment horizontal="center"/>
    </xf>
    <xf numFmtId="0" fontId="2" fillId="0" borderId="0" xfId="0" applyFont="1" applyAlignment="1" applyProtection="1">
      <alignment horizontal="center"/>
    </xf>
    <xf numFmtId="0" fontId="4" fillId="0" borderId="0" xfId="0" applyFont="1" applyAlignment="1" applyProtection="1">
      <alignment horizontal="center"/>
    </xf>
    <xf numFmtId="0" fontId="10" fillId="0" borderId="39" xfId="0" applyFont="1" applyBorder="1" applyAlignment="1">
      <alignment horizontal="center"/>
    </xf>
    <xf numFmtId="0" fontId="9" fillId="0" borderId="0" xfId="0" applyFont="1" applyBorder="1" applyAlignment="1">
      <alignment horizontal="center"/>
    </xf>
    <xf numFmtId="0" fontId="9" fillId="0" borderId="33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41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39" xfId="0" applyFont="1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2" fillId="0" borderId="33" xfId="0" applyFont="1" applyBorder="1" applyAlignment="1">
      <alignment horizontal="center"/>
    </xf>
    <xf numFmtId="0" fontId="2" fillId="0" borderId="44" xfId="0" applyFont="1" applyBorder="1" applyAlignment="1">
      <alignment horizontal="center"/>
    </xf>
    <xf numFmtId="0" fontId="2" fillId="0" borderId="32" xfId="0" applyFont="1" applyBorder="1" applyAlignment="1">
      <alignment horizontal="center"/>
    </xf>
    <xf numFmtId="0" fontId="2" fillId="0" borderId="45" xfId="0" applyFont="1" applyBorder="1" applyAlignment="1">
      <alignment horizontal="center"/>
    </xf>
    <xf numFmtId="166" fontId="9" fillId="0" borderId="49" xfId="0" applyNumberFormat="1" applyFont="1" applyBorder="1" applyAlignment="1">
      <alignment horizontal="center" vertical="center"/>
    </xf>
    <xf numFmtId="166" fontId="9" fillId="0" borderId="50" xfId="0" applyNumberFormat="1" applyFont="1" applyBorder="1" applyAlignment="1">
      <alignment horizontal="center" vertical="center"/>
    </xf>
    <xf numFmtId="165" fontId="2" fillId="0" borderId="46" xfId="0" applyNumberFormat="1" applyFont="1" applyBorder="1" applyAlignment="1">
      <alignment horizontal="center"/>
    </xf>
    <xf numFmtId="165" fontId="2" fillId="0" borderId="47" xfId="0" applyNumberFormat="1" applyFont="1" applyBorder="1" applyAlignment="1">
      <alignment horizontal="center"/>
    </xf>
    <xf numFmtId="165" fontId="2" fillId="0" borderId="48" xfId="0" applyNumberFormat="1" applyFont="1" applyBorder="1" applyAlignment="1">
      <alignment horizontal="center"/>
    </xf>
    <xf numFmtId="0" fontId="2" fillId="0" borderId="37" xfId="0" applyFont="1" applyBorder="1" applyAlignment="1">
      <alignment horizontal="center"/>
    </xf>
    <xf numFmtId="0" fontId="2" fillId="0" borderId="43" xfId="0" applyFont="1" applyBorder="1" applyAlignment="1">
      <alignment horizontal="center"/>
    </xf>
    <xf numFmtId="0" fontId="2" fillId="0" borderId="38" xfId="0" applyFont="1" applyBorder="1" applyAlignment="1">
      <alignment horizontal="center"/>
    </xf>
    <xf numFmtId="0" fontId="3" fillId="0" borderId="0" xfId="0" applyFont="1" applyAlignment="1">
      <alignment horizontal="center"/>
    </xf>
    <xf numFmtId="44" fontId="3" fillId="0" borderId="0" xfId="0" applyNumberFormat="1" applyFont="1" applyAlignment="1">
      <alignment horizontal="center"/>
    </xf>
    <xf numFmtId="0" fontId="13" fillId="0" borderId="0" xfId="0" applyFont="1" applyAlignment="1" applyProtection="1">
      <alignment horizontal="center" vertical="center"/>
    </xf>
    <xf numFmtId="165" fontId="1" fillId="0" borderId="0" xfId="0" applyNumberFormat="1" applyFont="1" applyAlignment="1">
      <alignment horizontal="center"/>
    </xf>
    <xf numFmtId="0" fontId="9" fillId="0" borderId="39" xfId="0" applyFont="1" applyBorder="1" applyAlignment="1">
      <alignment horizontal="center"/>
    </xf>
    <xf numFmtId="0" fontId="9" fillId="0" borderId="0" xfId="0" applyFont="1" applyAlignment="1">
      <alignment horizontal="center"/>
    </xf>
    <xf numFmtId="0" fontId="12" fillId="7" borderId="0" xfId="0" applyFont="1" applyFill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12" fillId="7" borderId="0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44" fontId="5" fillId="0" borderId="0" xfId="0" applyNumberFormat="1" applyFont="1" applyAlignment="1">
      <alignment horizontal="center" vertical="center"/>
    </xf>
    <xf numFmtId="0" fontId="7" fillId="2" borderId="0" xfId="0" applyFont="1" applyFill="1" applyAlignment="1">
      <alignment horizontal="center"/>
    </xf>
    <xf numFmtId="0" fontId="5" fillId="0" borderId="16" xfId="0" applyFont="1" applyBorder="1" applyAlignment="1">
      <alignment horizontal="center"/>
    </xf>
    <xf numFmtId="0" fontId="5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0" fillId="0" borderId="0" xfId="0" applyFont="1" applyBorder="1" applyAlignment="1">
      <alignment horizontal="center"/>
    </xf>
    <xf numFmtId="0" fontId="10" fillId="0" borderId="33" xfId="0" applyFont="1" applyBorder="1" applyAlignment="1">
      <alignment horizontal="center"/>
    </xf>
  </cellXfs>
  <cellStyles count="1">
    <cellStyle name="Normal" xfId="0" builtinId="0"/>
  </cellStyles>
  <dxfs count="5"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</dxfs>
  <tableStyles count="0" defaultTableStyle="TableStyleMedium2" defaultPivotStyle="PivotStyleLight16"/>
  <colors>
    <mruColors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5</xdr:row>
      <xdr:rowOff>180457</xdr:rowOff>
    </xdr:from>
    <xdr:to>
      <xdr:col>4</xdr:col>
      <xdr:colOff>114473</xdr:colOff>
      <xdr:row>9</xdr:row>
      <xdr:rowOff>283845</xdr:rowOff>
    </xdr:to>
    <xdr:sp macro="" textlink="">
      <xdr:nvSpPr>
        <xdr:cNvPr id="5" name="Text Box 2">
          <a:extLst>
            <a:ext uri="{FF2B5EF4-FFF2-40B4-BE49-F238E27FC236}">
              <a16:creationId xmlns:a16="http://schemas.microsoft.com/office/drawing/2014/main" id="{00000000-0008-0000-1B00-000005000000}"/>
            </a:ext>
          </a:extLst>
        </xdr:cNvPr>
        <xdr:cNvSpPr txBox="1">
          <a:spLocks noChangeArrowheads="1"/>
        </xdr:cNvSpPr>
      </xdr:nvSpPr>
      <xdr:spPr bwMode="auto">
        <a:xfrm>
          <a:off x="0" y="1089662"/>
          <a:ext cx="3041246" cy="830751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rot="0" vert="horz" wrap="square" lIns="91440" tIns="45720" rIns="91440" bIns="45720" anchor="t" anchorCtr="0">
          <a:noAutofit/>
        </a:bodyPr>
        <a:lstStyle/>
        <a:p>
          <a:pPr algn="ctr">
            <a:spcAft>
              <a:spcPts val="0"/>
            </a:spcAft>
          </a:pPr>
          <a:r>
            <a:rPr lang="en-US" sz="1300" b="1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rPr>
            <a:t>5 Shaft Road</a:t>
          </a:r>
          <a:r>
            <a:rPr lang="en-ZA" sz="1300" b="1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rPr>
            <a:t>,</a:t>
          </a:r>
          <a:r>
            <a:rPr lang="en-ZA" sz="1300" b="1" baseline="0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rPr>
            <a:t> </a:t>
          </a:r>
          <a:r>
            <a:rPr lang="en-US" sz="1300" b="1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rPr>
            <a:t>Knights, Germiston</a:t>
          </a:r>
          <a:r>
            <a:rPr lang="en-ZA" sz="1300" b="1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rPr>
            <a:t>,</a:t>
          </a:r>
          <a:r>
            <a:rPr lang="en-ZA" sz="1300" b="1" baseline="0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rPr>
            <a:t> </a:t>
          </a:r>
          <a:r>
            <a:rPr lang="en-US" sz="1300" b="1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rPr>
            <a:t>1401 </a:t>
          </a:r>
          <a:endParaRPr lang="en-ZA" sz="1300" b="1">
            <a:effectLst/>
            <a:latin typeface="Calibri" panose="020F0502020204030204" pitchFamily="34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ctr">
            <a:spcAft>
              <a:spcPts val="0"/>
            </a:spcAft>
          </a:pPr>
          <a:r>
            <a:rPr lang="en-US" sz="1300" b="1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rPr>
            <a:t>Phone: +27 63 236 3034 </a:t>
          </a:r>
          <a:endParaRPr lang="en-ZA" sz="1300" b="1">
            <a:effectLst/>
            <a:latin typeface="Calibri" panose="020F0502020204030204" pitchFamily="34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ctr">
            <a:spcAft>
              <a:spcPts val="0"/>
            </a:spcAft>
          </a:pPr>
          <a:r>
            <a:rPr lang="en-US" sz="1300" b="1" i="0">
              <a:solidFill>
                <a:srgbClr val="000000"/>
              </a:solidFill>
              <a:effectLst/>
              <a:latin typeface="Calibri-Bold"/>
              <a:ea typeface="Calibri" panose="020F0502020204030204" pitchFamily="34" charset="0"/>
              <a:cs typeface="Times New Roman" panose="02020603050405020304" pitchFamily="18" charset="0"/>
            </a:rPr>
            <a:t>Tax Num : 9154951249</a:t>
          </a:r>
        </a:p>
        <a:p>
          <a:pPr algn="ctr">
            <a:spcAft>
              <a:spcPts val="0"/>
            </a:spcAft>
          </a:pPr>
          <a:r>
            <a:rPr lang="en-US" sz="1300" b="1" i="0">
              <a:solidFill>
                <a:srgbClr val="000000"/>
              </a:solidFill>
              <a:effectLst/>
              <a:latin typeface="Calibri-Bold"/>
              <a:ea typeface="Calibri" panose="020F0502020204030204" pitchFamily="34" charset="0"/>
              <a:cs typeface="Times New Roman" panose="02020603050405020304" pitchFamily="18" charset="0"/>
            </a:rPr>
            <a:t>Reg</a:t>
          </a:r>
          <a:r>
            <a:rPr lang="en-US" sz="1300" b="1" i="0" baseline="0">
              <a:solidFill>
                <a:srgbClr val="000000"/>
              </a:solidFill>
              <a:effectLst/>
              <a:latin typeface="Calibri-Bold"/>
              <a:ea typeface="Calibri" panose="020F0502020204030204" pitchFamily="34" charset="0"/>
              <a:cs typeface="Times New Roman" panose="02020603050405020304" pitchFamily="18" charset="0"/>
            </a:rPr>
            <a:t>istration : </a:t>
          </a:r>
          <a:r>
            <a:rPr lang="en-US" sz="1300" b="1">
              <a:effectLst/>
              <a:latin typeface="+mn-lt"/>
              <a:ea typeface="+mn-ea"/>
              <a:cs typeface="+mn-cs"/>
            </a:rPr>
            <a:t>2019/528743/07</a:t>
          </a:r>
          <a:endParaRPr lang="en-ZA" sz="1300" b="1">
            <a:effectLst/>
            <a:latin typeface="Calibri" panose="020F0502020204030204" pitchFamily="34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l">
            <a:spcAft>
              <a:spcPts val="0"/>
            </a:spcAft>
          </a:pPr>
          <a:r>
            <a:rPr lang="en-US" sz="1300" b="1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rPr>
            <a:t> </a:t>
          </a:r>
          <a:endParaRPr lang="en-ZA" sz="1300" b="1">
            <a:effectLst/>
            <a:latin typeface="Calibri" panose="020F0502020204030204" pitchFamily="34" charset="0"/>
            <a:ea typeface="Calibri" panose="020F0502020204030204" pitchFamily="34" charset="0"/>
            <a:cs typeface="Times New Roman" panose="02020603050405020304" pitchFamily="18" charset="0"/>
          </a:endParaRPr>
        </a:p>
      </xdr:txBody>
    </xdr:sp>
    <xdr:clientData/>
  </xdr:twoCellAnchor>
  <xdr:oneCellAnchor>
    <xdr:from>
      <xdr:col>1</xdr:col>
      <xdr:colOff>485775</xdr:colOff>
      <xdr:row>0</xdr:row>
      <xdr:rowOff>104428</xdr:rowOff>
    </xdr:from>
    <xdr:ext cx="1737359" cy="937757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1B00-000006000000}"/>
            </a:ext>
          </a:extLst>
        </xdr:cNvPr>
        <xdr:cNvSpPr txBox="1"/>
      </xdr:nvSpPr>
      <xdr:spPr>
        <a:xfrm>
          <a:off x="1213139" y="104428"/>
          <a:ext cx="1737359" cy="9377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ZA" sz="1800" b="1"/>
            <a:t>GREEN</a:t>
          </a:r>
          <a:r>
            <a:rPr lang="en-ZA" sz="1800" b="1" baseline="0"/>
            <a:t> ENVIRO </a:t>
          </a:r>
        </a:p>
        <a:p>
          <a:r>
            <a:rPr lang="en-ZA" sz="1800" b="1" baseline="0"/>
            <a:t>SA RECYCLING (PVT) LTD</a:t>
          </a:r>
          <a:endParaRPr lang="en-ZA" sz="1800" b="1"/>
        </a:p>
      </xdr:txBody>
    </xdr:sp>
    <xdr:clientData/>
  </xdr:oneCellAnchor>
  <xdr:twoCellAnchor editAs="oneCell">
    <xdr:from>
      <xdr:col>0</xdr:col>
      <xdr:colOff>95250</xdr:colOff>
      <xdr:row>0</xdr:row>
      <xdr:rowOff>43296</xdr:rowOff>
    </xdr:from>
    <xdr:to>
      <xdr:col>1</xdr:col>
      <xdr:colOff>342553</xdr:colOff>
      <xdr:row>5</xdr:row>
      <xdr:rowOff>162736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1B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0" y="43296"/>
          <a:ext cx="974667" cy="103455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</xdr:row>
          <xdr:rowOff>175260</xdr:rowOff>
        </xdr:from>
        <xdr:to>
          <xdr:col>6</xdr:col>
          <xdr:colOff>632460</xdr:colOff>
          <xdr:row>4</xdr:row>
          <xdr:rowOff>76200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1B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93776" rIns="45720" bIns="493776" anchor="ctr" upright="1"/>
            <a:lstStyle/>
            <a:p>
              <a:pPr algn="ctr" rtl="0">
                <a:defRPr sz="1000"/>
              </a:pPr>
              <a:r>
                <a:rPr lang="en-ZA" sz="1400" b="1" i="0" u="none" strike="noStrike" baseline="0">
                  <a:solidFill>
                    <a:srgbClr val="000000"/>
                  </a:solidFill>
                  <a:latin typeface="Cambria Math"/>
                  <a:ea typeface="Cambria Math"/>
                </a:rPr>
                <a:t>Record Purchase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723900</xdr:colOff>
          <xdr:row>1</xdr:row>
          <xdr:rowOff>175260</xdr:rowOff>
        </xdr:from>
        <xdr:to>
          <xdr:col>7</xdr:col>
          <xdr:colOff>655320</xdr:colOff>
          <xdr:row>4</xdr:row>
          <xdr:rowOff>68580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1B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93776" rIns="45720" bIns="493776" anchor="ctr" upright="1"/>
            <a:lstStyle/>
            <a:p>
              <a:pPr algn="ctr" rtl="0">
                <a:defRPr sz="1000"/>
              </a:pPr>
              <a:r>
                <a:rPr lang="en-ZA" sz="1400" b="1" i="0" u="none" strike="noStrike" baseline="0">
                  <a:solidFill>
                    <a:srgbClr val="000000"/>
                  </a:solidFill>
                  <a:latin typeface="Cambria Math"/>
                  <a:ea typeface="Cambria Math"/>
                </a:rPr>
                <a:t>Clear Slip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8</xdr:row>
          <xdr:rowOff>175260</xdr:rowOff>
        </xdr:from>
        <xdr:to>
          <xdr:col>6</xdr:col>
          <xdr:colOff>1348740</xdr:colOff>
          <xdr:row>11</xdr:row>
          <xdr:rowOff>30480</xdr:rowOff>
        </xdr:to>
        <xdr:sp macro="" textlink="">
          <xdr:nvSpPr>
            <xdr:cNvPr id="1061" name="DealerPrices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1B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9</xdr:row>
          <xdr:rowOff>0</xdr:rowOff>
        </xdr:from>
        <xdr:to>
          <xdr:col>11</xdr:col>
          <xdr:colOff>723900</xdr:colOff>
          <xdr:row>11</xdr:row>
          <xdr:rowOff>7620</xdr:rowOff>
        </xdr:to>
        <xdr:sp macro="" textlink="">
          <xdr:nvSpPr>
            <xdr:cNvPr id="1073" name="ManualPriceOverride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1B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</xdr:row>
          <xdr:rowOff>0</xdr:rowOff>
        </xdr:from>
        <xdr:to>
          <xdr:col>10</xdr:col>
          <xdr:colOff>1470660</xdr:colOff>
          <xdr:row>7</xdr:row>
          <xdr:rowOff>7620</xdr:rowOff>
        </xdr:to>
        <xdr:sp macro="" textlink="">
          <xdr:nvSpPr>
            <xdr:cNvPr id="1079" name="PrinterOff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1B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5</xdr:row>
          <xdr:rowOff>0</xdr:rowOff>
        </xdr:from>
        <xdr:to>
          <xdr:col>6</xdr:col>
          <xdr:colOff>632460</xdr:colOff>
          <xdr:row>7</xdr:row>
          <xdr:rowOff>30480</xdr:rowOff>
        </xdr:to>
        <xdr:sp macro="" textlink="">
          <xdr:nvSpPr>
            <xdr:cNvPr id="1086" name="Button 62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1B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93776" rIns="45720" bIns="493776" anchor="ctr" upright="1"/>
            <a:lstStyle/>
            <a:p>
              <a:pPr algn="ctr" rtl="0">
                <a:defRPr sz="1000"/>
              </a:pPr>
              <a:r>
                <a:rPr lang="en-ZA" sz="1400" b="1" i="0" u="none" strike="noStrike" baseline="0">
                  <a:solidFill>
                    <a:srgbClr val="000000"/>
                  </a:solidFill>
                  <a:latin typeface="Cambria Math"/>
                  <a:ea typeface="Cambria Math"/>
                </a:rPr>
                <a:t>Reprint Receipt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</xdr:colOff>
          <xdr:row>53</xdr:row>
          <xdr:rowOff>175260</xdr:rowOff>
        </xdr:from>
        <xdr:to>
          <xdr:col>4</xdr:col>
          <xdr:colOff>0</xdr:colOff>
          <xdr:row>57</xdr:row>
          <xdr:rowOff>7620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1C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ZA" sz="1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 Summaries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5</xdr:row>
      <xdr:rowOff>180457</xdr:rowOff>
    </xdr:from>
    <xdr:to>
      <xdr:col>4</xdr:col>
      <xdr:colOff>114473</xdr:colOff>
      <xdr:row>9</xdr:row>
      <xdr:rowOff>283845</xdr:rowOff>
    </xdr:to>
    <xdr:sp macro="" textlink="">
      <xdr:nvSpPr>
        <xdr:cNvPr id="17" name="Text Box 2">
          <a:extLst>
            <a:ext uri="{FF2B5EF4-FFF2-40B4-BE49-F238E27FC236}">
              <a16:creationId xmlns:a16="http://schemas.microsoft.com/office/drawing/2014/main" id="{00000000-0008-0000-1F00-000011000000}"/>
            </a:ext>
          </a:extLst>
        </xdr:cNvPr>
        <xdr:cNvSpPr txBox="1">
          <a:spLocks noChangeArrowheads="1"/>
        </xdr:cNvSpPr>
      </xdr:nvSpPr>
      <xdr:spPr bwMode="auto">
        <a:xfrm>
          <a:off x="0" y="1110097"/>
          <a:ext cx="3055793" cy="83490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rot="0" vert="horz" wrap="square" lIns="91440" tIns="45720" rIns="91440" bIns="45720" anchor="t" anchorCtr="0">
          <a:noAutofit/>
        </a:bodyPr>
        <a:lstStyle/>
        <a:p>
          <a:pPr algn="ctr">
            <a:spcAft>
              <a:spcPts val="0"/>
            </a:spcAft>
          </a:pPr>
          <a:r>
            <a:rPr lang="en-US" sz="1300" b="1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rPr>
            <a:t>5 Shaft Road</a:t>
          </a:r>
          <a:r>
            <a:rPr lang="en-ZA" sz="1300" b="1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rPr>
            <a:t>,</a:t>
          </a:r>
          <a:r>
            <a:rPr lang="en-ZA" sz="1300" b="1" baseline="0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rPr>
            <a:t> </a:t>
          </a:r>
          <a:r>
            <a:rPr lang="en-US" sz="1300" b="1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rPr>
            <a:t>Knights, Germiston</a:t>
          </a:r>
          <a:r>
            <a:rPr lang="en-ZA" sz="1300" b="1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rPr>
            <a:t>,</a:t>
          </a:r>
          <a:r>
            <a:rPr lang="en-ZA" sz="1300" b="1" baseline="0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rPr>
            <a:t> </a:t>
          </a:r>
          <a:r>
            <a:rPr lang="en-US" sz="1300" b="1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rPr>
            <a:t>1401 </a:t>
          </a:r>
          <a:endParaRPr lang="en-ZA" sz="1300" b="1">
            <a:effectLst/>
            <a:latin typeface="Calibri" panose="020F0502020204030204" pitchFamily="34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ctr">
            <a:spcAft>
              <a:spcPts val="0"/>
            </a:spcAft>
          </a:pPr>
          <a:r>
            <a:rPr lang="en-US" sz="1300" b="1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rPr>
            <a:t>Phone: +27 63 236 3034 </a:t>
          </a:r>
          <a:endParaRPr lang="en-ZA" sz="1300" b="1">
            <a:effectLst/>
            <a:latin typeface="Calibri" panose="020F0502020204030204" pitchFamily="34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ctr">
            <a:spcAft>
              <a:spcPts val="0"/>
            </a:spcAft>
          </a:pPr>
          <a:r>
            <a:rPr lang="en-US" sz="1300" b="1" i="0">
              <a:solidFill>
                <a:srgbClr val="000000"/>
              </a:solidFill>
              <a:effectLst/>
              <a:latin typeface="Calibri-Bold"/>
              <a:ea typeface="Calibri" panose="020F0502020204030204" pitchFamily="34" charset="0"/>
              <a:cs typeface="Times New Roman" panose="02020603050405020304" pitchFamily="18" charset="0"/>
            </a:rPr>
            <a:t>Tax Num : 9154951249</a:t>
          </a:r>
        </a:p>
        <a:p>
          <a:pPr algn="ctr">
            <a:spcAft>
              <a:spcPts val="0"/>
            </a:spcAft>
          </a:pPr>
          <a:r>
            <a:rPr lang="en-US" sz="1300" b="1" i="0">
              <a:solidFill>
                <a:srgbClr val="000000"/>
              </a:solidFill>
              <a:effectLst/>
              <a:latin typeface="Calibri-Bold"/>
              <a:ea typeface="Calibri" panose="020F0502020204030204" pitchFamily="34" charset="0"/>
              <a:cs typeface="Times New Roman" panose="02020603050405020304" pitchFamily="18" charset="0"/>
            </a:rPr>
            <a:t>Reg</a:t>
          </a:r>
          <a:r>
            <a:rPr lang="en-US" sz="1300" b="1" i="0" baseline="0">
              <a:solidFill>
                <a:srgbClr val="000000"/>
              </a:solidFill>
              <a:effectLst/>
              <a:latin typeface="Calibri-Bold"/>
              <a:ea typeface="Calibri" panose="020F0502020204030204" pitchFamily="34" charset="0"/>
              <a:cs typeface="Times New Roman" panose="02020603050405020304" pitchFamily="18" charset="0"/>
            </a:rPr>
            <a:t>istration : </a:t>
          </a:r>
          <a:r>
            <a:rPr lang="en-US" sz="1300" b="1">
              <a:effectLst/>
              <a:latin typeface="+mn-lt"/>
              <a:ea typeface="+mn-ea"/>
              <a:cs typeface="+mn-cs"/>
            </a:rPr>
            <a:t>2019/528743/07</a:t>
          </a:r>
          <a:endParaRPr lang="en-ZA" sz="1300" b="1">
            <a:effectLst/>
            <a:latin typeface="Calibri" panose="020F0502020204030204" pitchFamily="34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l">
            <a:spcAft>
              <a:spcPts val="0"/>
            </a:spcAft>
          </a:pPr>
          <a:r>
            <a:rPr lang="en-US" sz="1300" b="1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rPr>
            <a:t> </a:t>
          </a:r>
          <a:endParaRPr lang="en-ZA" sz="1300" b="1">
            <a:effectLst/>
            <a:latin typeface="Calibri" panose="020F0502020204030204" pitchFamily="34" charset="0"/>
            <a:ea typeface="Calibri" panose="020F0502020204030204" pitchFamily="34" charset="0"/>
            <a:cs typeface="Times New Roman" panose="02020603050405020304" pitchFamily="18" charset="0"/>
          </a:endParaRPr>
        </a:p>
      </xdr:txBody>
    </xdr:sp>
    <xdr:clientData/>
  </xdr:twoCellAnchor>
  <xdr:oneCellAnchor>
    <xdr:from>
      <xdr:col>1</xdr:col>
      <xdr:colOff>485775</xdr:colOff>
      <xdr:row>0</xdr:row>
      <xdr:rowOff>104428</xdr:rowOff>
    </xdr:from>
    <xdr:ext cx="1737359" cy="937757"/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00000000-0008-0000-1F00-000012000000}"/>
            </a:ext>
          </a:extLst>
        </xdr:cNvPr>
        <xdr:cNvSpPr txBox="1"/>
      </xdr:nvSpPr>
      <xdr:spPr>
        <a:xfrm>
          <a:off x="1209675" y="104428"/>
          <a:ext cx="1737359" cy="9377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ZA" sz="1800" b="1"/>
            <a:t>GREEN</a:t>
          </a:r>
          <a:r>
            <a:rPr lang="en-ZA" sz="1800" b="1" baseline="0"/>
            <a:t> ENVIRO </a:t>
          </a:r>
        </a:p>
        <a:p>
          <a:r>
            <a:rPr lang="en-ZA" sz="1800" b="1" baseline="0"/>
            <a:t>SA RECYCLING (PVT) LTD</a:t>
          </a:r>
          <a:endParaRPr lang="en-ZA" sz="1800" b="1"/>
        </a:p>
      </xdr:txBody>
    </xdr:sp>
    <xdr:clientData/>
  </xdr:oneCellAnchor>
  <xdr:twoCellAnchor editAs="oneCell">
    <xdr:from>
      <xdr:col>0</xdr:col>
      <xdr:colOff>95250</xdr:colOff>
      <xdr:row>0</xdr:row>
      <xdr:rowOff>43296</xdr:rowOff>
    </xdr:from>
    <xdr:to>
      <xdr:col>1</xdr:col>
      <xdr:colOff>342553</xdr:colOff>
      <xdr:row>5</xdr:row>
      <xdr:rowOff>177976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1F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0" y="43296"/>
          <a:ext cx="971203" cy="104908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180457</xdr:rowOff>
    </xdr:from>
    <xdr:to>
      <xdr:col>4</xdr:col>
      <xdr:colOff>114473</xdr:colOff>
      <xdr:row>9</xdr:row>
      <xdr:rowOff>283845</xdr:rowOff>
    </xdr:to>
    <xdr:sp macro="" textlink="">
      <xdr:nvSpPr>
        <xdr:cNvPr id="23" name="Text Box 2">
          <a:extLst>
            <a:ext uri="{FF2B5EF4-FFF2-40B4-BE49-F238E27FC236}">
              <a16:creationId xmlns:a16="http://schemas.microsoft.com/office/drawing/2014/main" id="{00000000-0008-0000-1F00-000017000000}"/>
            </a:ext>
          </a:extLst>
        </xdr:cNvPr>
        <xdr:cNvSpPr txBox="1">
          <a:spLocks noChangeArrowheads="1"/>
        </xdr:cNvSpPr>
      </xdr:nvSpPr>
      <xdr:spPr bwMode="auto">
        <a:xfrm>
          <a:off x="0" y="1110097"/>
          <a:ext cx="3055793" cy="83490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rot="0" vert="horz" wrap="square" lIns="91440" tIns="45720" rIns="91440" bIns="45720" anchor="t" anchorCtr="0">
          <a:noAutofit/>
        </a:bodyPr>
        <a:lstStyle/>
        <a:p>
          <a:pPr algn="ctr">
            <a:spcAft>
              <a:spcPts val="0"/>
            </a:spcAft>
          </a:pPr>
          <a:r>
            <a:rPr lang="en-US" sz="1300" b="1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rPr>
            <a:t>5 Shaft Road</a:t>
          </a:r>
          <a:r>
            <a:rPr lang="en-ZA" sz="1300" b="1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rPr>
            <a:t>,</a:t>
          </a:r>
          <a:r>
            <a:rPr lang="en-ZA" sz="1300" b="1" baseline="0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rPr>
            <a:t> </a:t>
          </a:r>
          <a:r>
            <a:rPr lang="en-US" sz="1300" b="1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rPr>
            <a:t>Knights, Germiston</a:t>
          </a:r>
          <a:r>
            <a:rPr lang="en-ZA" sz="1300" b="1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rPr>
            <a:t>,</a:t>
          </a:r>
          <a:r>
            <a:rPr lang="en-ZA" sz="1300" b="1" baseline="0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rPr>
            <a:t> </a:t>
          </a:r>
          <a:r>
            <a:rPr lang="en-US" sz="1300" b="1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rPr>
            <a:t>1401 </a:t>
          </a:r>
          <a:endParaRPr lang="en-ZA" sz="1300" b="1">
            <a:effectLst/>
            <a:latin typeface="Calibri" panose="020F0502020204030204" pitchFamily="34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ctr">
            <a:spcAft>
              <a:spcPts val="0"/>
            </a:spcAft>
          </a:pPr>
          <a:r>
            <a:rPr lang="en-US" sz="1300" b="1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rPr>
            <a:t>Phone: +27 63 236 3034 </a:t>
          </a:r>
          <a:endParaRPr lang="en-ZA" sz="1300" b="1">
            <a:effectLst/>
            <a:latin typeface="Calibri" panose="020F0502020204030204" pitchFamily="34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ctr">
            <a:spcAft>
              <a:spcPts val="0"/>
            </a:spcAft>
          </a:pPr>
          <a:r>
            <a:rPr lang="en-US" sz="1300" b="1" i="0">
              <a:solidFill>
                <a:srgbClr val="000000"/>
              </a:solidFill>
              <a:effectLst/>
              <a:latin typeface="Calibri-Bold"/>
              <a:ea typeface="Calibri" panose="020F0502020204030204" pitchFamily="34" charset="0"/>
              <a:cs typeface="Times New Roman" panose="02020603050405020304" pitchFamily="18" charset="0"/>
            </a:rPr>
            <a:t>Tax Num : 9154951249</a:t>
          </a:r>
        </a:p>
        <a:p>
          <a:pPr algn="ctr">
            <a:spcAft>
              <a:spcPts val="0"/>
            </a:spcAft>
          </a:pPr>
          <a:r>
            <a:rPr lang="en-US" sz="1300" b="1" i="0">
              <a:solidFill>
                <a:srgbClr val="000000"/>
              </a:solidFill>
              <a:effectLst/>
              <a:latin typeface="Calibri-Bold"/>
              <a:ea typeface="Calibri" panose="020F0502020204030204" pitchFamily="34" charset="0"/>
              <a:cs typeface="Times New Roman" panose="02020603050405020304" pitchFamily="18" charset="0"/>
            </a:rPr>
            <a:t>Reg</a:t>
          </a:r>
          <a:r>
            <a:rPr lang="en-US" sz="1300" b="1" i="0" baseline="0">
              <a:solidFill>
                <a:srgbClr val="000000"/>
              </a:solidFill>
              <a:effectLst/>
              <a:latin typeface="Calibri-Bold"/>
              <a:ea typeface="Calibri" panose="020F0502020204030204" pitchFamily="34" charset="0"/>
              <a:cs typeface="Times New Roman" panose="02020603050405020304" pitchFamily="18" charset="0"/>
            </a:rPr>
            <a:t>istration : </a:t>
          </a:r>
          <a:r>
            <a:rPr lang="en-US" sz="1300" b="1">
              <a:effectLst/>
              <a:latin typeface="+mn-lt"/>
              <a:ea typeface="+mn-ea"/>
              <a:cs typeface="+mn-cs"/>
            </a:rPr>
            <a:t>2019/528743/07</a:t>
          </a:r>
          <a:endParaRPr lang="en-ZA" sz="1300" b="1">
            <a:effectLst/>
            <a:latin typeface="Calibri" panose="020F0502020204030204" pitchFamily="34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l">
            <a:spcAft>
              <a:spcPts val="0"/>
            </a:spcAft>
          </a:pPr>
          <a:r>
            <a:rPr lang="en-US" sz="1300" b="1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rPr>
            <a:t> </a:t>
          </a:r>
          <a:endParaRPr lang="en-ZA" sz="1300" b="1">
            <a:effectLst/>
            <a:latin typeface="Calibri" panose="020F0502020204030204" pitchFamily="34" charset="0"/>
            <a:ea typeface="Calibri" panose="020F0502020204030204" pitchFamily="34" charset="0"/>
            <a:cs typeface="Times New Roman" panose="02020603050405020304" pitchFamily="18" charset="0"/>
          </a:endParaRPr>
        </a:p>
      </xdr:txBody>
    </xdr:sp>
    <xdr:clientData/>
  </xdr:twoCellAnchor>
  <xdr:oneCellAnchor>
    <xdr:from>
      <xdr:col>1</xdr:col>
      <xdr:colOff>485775</xdr:colOff>
      <xdr:row>0</xdr:row>
      <xdr:rowOff>104428</xdr:rowOff>
    </xdr:from>
    <xdr:ext cx="1737359" cy="937757"/>
    <xdr:sp macro="" textlink="">
      <xdr:nvSpPr>
        <xdr:cNvPr id="24" name="TextBox 23">
          <a:extLst>
            <a:ext uri="{FF2B5EF4-FFF2-40B4-BE49-F238E27FC236}">
              <a16:creationId xmlns:a16="http://schemas.microsoft.com/office/drawing/2014/main" id="{00000000-0008-0000-1F00-000018000000}"/>
            </a:ext>
          </a:extLst>
        </xdr:cNvPr>
        <xdr:cNvSpPr txBox="1"/>
      </xdr:nvSpPr>
      <xdr:spPr>
        <a:xfrm>
          <a:off x="1209675" y="104428"/>
          <a:ext cx="1737359" cy="9377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ZA" sz="1800" b="1"/>
            <a:t>GREEN</a:t>
          </a:r>
          <a:r>
            <a:rPr lang="en-ZA" sz="1800" b="1" baseline="0"/>
            <a:t> ENVIRO </a:t>
          </a:r>
        </a:p>
        <a:p>
          <a:r>
            <a:rPr lang="en-ZA" sz="1800" b="1" baseline="0"/>
            <a:t>SA RECYCLING (PVT) LTD</a:t>
          </a:r>
          <a:endParaRPr lang="en-ZA" sz="1800" b="1"/>
        </a:p>
      </xdr:txBody>
    </xdr:sp>
    <xdr:clientData/>
  </xdr:oneCellAnchor>
  <xdr:twoCellAnchor editAs="oneCell">
    <xdr:from>
      <xdr:col>0</xdr:col>
      <xdr:colOff>95250</xdr:colOff>
      <xdr:row>0</xdr:row>
      <xdr:rowOff>43296</xdr:rowOff>
    </xdr:from>
    <xdr:to>
      <xdr:col>1</xdr:col>
      <xdr:colOff>342553</xdr:colOff>
      <xdr:row>5</xdr:row>
      <xdr:rowOff>177976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00000000-0008-0000-1F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0" y="43296"/>
          <a:ext cx="971203" cy="104908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180457</xdr:rowOff>
    </xdr:from>
    <xdr:to>
      <xdr:col>4</xdr:col>
      <xdr:colOff>114473</xdr:colOff>
      <xdr:row>9</xdr:row>
      <xdr:rowOff>283845</xdr:rowOff>
    </xdr:to>
    <xdr:sp macro="" textlink="">
      <xdr:nvSpPr>
        <xdr:cNvPr id="29" name="Text Box 2">
          <a:extLst>
            <a:ext uri="{FF2B5EF4-FFF2-40B4-BE49-F238E27FC236}">
              <a16:creationId xmlns:a16="http://schemas.microsoft.com/office/drawing/2014/main" id="{00000000-0008-0000-1F00-00001D000000}"/>
            </a:ext>
          </a:extLst>
        </xdr:cNvPr>
        <xdr:cNvSpPr txBox="1">
          <a:spLocks noChangeArrowheads="1"/>
        </xdr:cNvSpPr>
      </xdr:nvSpPr>
      <xdr:spPr bwMode="auto">
        <a:xfrm>
          <a:off x="0" y="1110097"/>
          <a:ext cx="3055793" cy="83490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rot="0" vert="horz" wrap="square" lIns="91440" tIns="45720" rIns="91440" bIns="45720" anchor="t" anchorCtr="0">
          <a:noAutofit/>
        </a:bodyPr>
        <a:lstStyle/>
        <a:p>
          <a:pPr algn="ctr">
            <a:spcAft>
              <a:spcPts val="0"/>
            </a:spcAft>
          </a:pPr>
          <a:r>
            <a:rPr lang="en-US" sz="1300" b="1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rPr>
            <a:t>5 Shaft Road</a:t>
          </a:r>
          <a:r>
            <a:rPr lang="en-ZA" sz="1300" b="1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rPr>
            <a:t>,</a:t>
          </a:r>
          <a:r>
            <a:rPr lang="en-ZA" sz="1300" b="1" baseline="0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rPr>
            <a:t> </a:t>
          </a:r>
          <a:r>
            <a:rPr lang="en-US" sz="1300" b="1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rPr>
            <a:t>Knights, Germiston</a:t>
          </a:r>
          <a:r>
            <a:rPr lang="en-ZA" sz="1300" b="1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rPr>
            <a:t>,</a:t>
          </a:r>
          <a:r>
            <a:rPr lang="en-ZA" sz="1300" b="1" baseline="0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rPr>
            <a:t> </a:t>
          </a:r>
          <a:r>
            <a:rPr lang="en-US" sz="1300" b="1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rPr>
            <a:t>1401 </a:t>
          </a:r>
          <a:endParaRPr lang="en-ZA" sz="1300" b="1">
            <a:effectLst/>
            <a:latin typeface="Calibri" panose="020F0502020204030204" pitchFamily="34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ctr">
            <a:spcAft>
              <a:spcPts val="0"/>
            </a:spcAft>
          </a:pPr>
          <a:r>
            <a:rPr lang="en-US" sz="1300" b="1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rPr>
            <a:t>Phone: +27 63 236 3034 </a:t>
          </a:r>
          <a:endParaRPr lang="en-ZA" sz="1300" b="1">
            <a:effectLst/>
            <a:latin typeface="Calibri" panose="020F0502020204030204" pitchFamily="34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ctr">
            <a:spcAft>
              <a:spcPts val="0"/>
            </a:spcAft>
          </a:pPr>
          <a:r>
            <a:rPr lang="en-US" sz="1300" b="1" i="0">
              <a:solidFill>
                <a:srgbClr val="000000"/>
              </a:solidFill>
              <a:effectLst/>
              <a:latin typeface="Calibri-Bold"/>
              <a:ea typeface="Calibri" panose="020F0502020204030204" pitchFamily="34" charset="0"/>
              <a:cs typeface="Times New Roman" panose="02020603050405020304" pitchFamily="18" charset="0"/>
            </a:rPr>
            <a:t>Tax Num : 9154951249</a:t>
          </a:r>
        </a:p>
        <a:p>
          <a:pPr algn="ctr">
            <a:spcAft>
              <a:spcPts val="0"/>
            </a:spcAft>
          </a:pPr>
          <a:r>
            <a:rPr lang="en-US" sz="1300" b="1" i="0">
              <a:solidFill>
                <a:srgbClr val="000000"/>
              </a:solidFill>
              <a:effectLst/>
              <a:latin typeface="Calibri-Bold"/>
              <a:ea typeface="Calibri" panose="020F0502020204030204" pitchFamily="34" charset="0"/>
              <a:cs typeface="Times New Roman" panose="02020603050405020304" pitchFamily="18" charset="0"/>
            </a:rPr>
            <a:t>Reg</a:t>
          </a:r>
          <a:r>
            <a:rPr lang="en-US" sz="1300" b="1" i="0" baseline="0">
              <a:solidFill>
                <a:srgbClr val="000000"/>
              </a:solidFill>
              <a:effectLst/>
              <a:latin typeface="Calibri-Bold"/>
              <a:ea typeface="Calibri" panose="020F0502020204030204" pitchFamily="34" charset="0"/>
              <a:cs typeface="Times New Roman" panose="02020603050405020304" pitchFamily="18" charset="0"/>
            </a:rPr>
            <a:t>istration : </a:t>
          </a:r>
          <a:r>
            <a:rPr lang="en-US" sz="1300" b="1">
              <a:effectLst/>
              <a:latin typeface="+mn-lt"/>
              <a:ea typeface="+mn-ea"/>
              <a:cs typeface="+mn-cs"/>
            </a:rPr>
            <a:t>2019/528743/07</a:t>
          </a:r>
          <a:endParaRPr lang="en-ZA" sz="1300" b="1">
            <a:effectLst/>
            <a:latin typeface="Calibri" panose="020F0502020204030204" pitchFamily="34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l">
            <a:spcAft>
              <a:spcPts val="0"/>
            </a:spcAft>
          </a:pPr>
          <a:r>
            <a:rPr lang="en-US" sz="1300" b="1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rPr>
            <a:t> </a:t>
          </a:r>
          <a:endParaRPr lang="en-ZA" sz="1300" b="1">
            <a:effectLst/>
            <a:latin typeface="Calibri" panose="020F0502020204030204" pitchFamily="34" charset="0"/>
            <a:ea typeface="Calibri" panose="020F0502020204030204" pitchFamily="34" charset="0"/>
            <a:cs typeface="Times New Roman" panose="02020603050405020304" pitchFamily="18" charset="0"/>
          </a:endParaRPr>
        </a:p>
      </xdr:txBody>
    </xdr:sp>
    <xdr:clientData/>
  </xdr:twoCellAnchor>
  <xdr:oneCellAnchor>
    <xdr:from>
      <xdr:col>1</xdr:col>
      <xdr:colOff>485775</xdr:colOff>
      <xdr:row>0</xdr:row>
      <xdr:rowOff>104428</xdr:rowOff>
    </xdr:from>
    <xdr:ext cx="1737359" cy="937757"/>
    <xdr:sp macro="" textlink="">
      <xdr:nvSpPr>
        <xdr:cNvPr id="30" name="TextBox 29">
          <a:extLst>
            <a:ext uri="{FF2B5EF4-FFF2-40B4-BE49-F238E27FC236}">
              <a16:creationId xmlns:a16="http://schemas.microsoft.com/office/drawing/2014/main" id="{00000000-0008-0000-1F00-00001E000000}"/>
            </a:ext>
          </a:extLst>
        </xdr:cNvPr>
        <xdr:cNvSpPr txBox="1"/>
      </xdr:nvSpPr>
      <xdr:spPr>
        <a:xfrm>
          <a:off x="1209675" y="104428"/>
          <a:ext cx="1737359" cy="9377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ZA" sz="1800" b="1"/>
            <a:t>GREEN</a:t>
          </a:r>
          <a:r>
            <a:rPr lang="en-ZA" sz="1800" b="1" baseline="0"/>
            <a:t> ENVIRO </a:t>
          </a:r>
        </a:p>
        <a:p>
          <a:r>
            <a:rPr lang="en-ZA" sz="1800" b="1" baseline="0"/>
            <a:t>SA RECYCLING (PVT) LTD</a:t>
          </a:r>
          <a:endParaRPr lang="en-ZA" sz="1800" b="1"/>
        </a:p>
      </xdr:txBody>
    </xdr:sp>
    <xdr:clientData/>
  </xdr:oneCellAnchor>
  <xdr:twoCellAnchor editAs="oneCell">
    <xdr:from>
      <xdr:col>0</xdr:col>
      <xdr:colOff>95250</xdr:colOff>
      <xdr:row>0</xdr:row>
      <xdr:rowOff>43296</xdr:rowOff>
    </xdr:from>
    <xdr:to>
      <xdr:col>1</xdr:col>
      <xdr:colOff>342553</xdr:colOff>
      <xdr:row>5</xdr:row>
      <xdr:rowOff>177976</xdr:rowOff>
    </xdr:to>
    <xdr:pic>
      <xdr:nvPicPr>
        <xdr:cNvPr id="31" name="Picture 30">
          <a:extLst>
            <a:ext uri="{FF2B5EF4-FFF2-40B4-BE49-F238E27FC236}">
              <a16:creationId xmlns:a16="http://schemas.microsoft.com/office/drawing/2014/main" id="{00000000-0008-0000-1F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0" y="43296"/>
          <a:ext cx="971203" cy="104908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trlProp" Target="../ctrlProps/ctrlProp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trlProp" Target="../ctrlProps/ctrlProp2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4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14D9F4-AE00-4FF8-B241-FA3F6F9C2E22}">
  <sheetPr codeName="Sheet58"/>
  <dimension ref="A1:Z130"/>
  <sheetViews>
    <sheetView zoomScale="80" zoomScaleNormal="80" workbookViewId="0">
      <selection activeCell="N140" sqref="N130:N140"/>
    </sheetView>
  </sheetViews>
  <sheetFormatPr defaultColWidth="9.109375" defaultRowHeight="14.4" x14ac:dyDescent="0.3"/>
  <cols>
    <col min="1" max="1" width="15.5546875" style="36" customWidth="1"/>
    <col min="2" max="2" width="15.88671875" style="36" customWidth="1"/>
    <col min="3" max="3" width="20" style="76" customWidth="1"/>
    <col min="4" max="4" width="20.33203125" style="36" customWidth="1"/>
    <col min="5" max="5" width="22.33203125" style="36" customWidth="1"/>
    <col min="6" max="6" width="14.6640625" style="36" customWidth="1"/>
    <col min="7" max="7" width="22" style="76" customWidth="1"/>
    <col min="8" max="8" width="18.88671875" style="36" customWidth="1"/>
    <col min="9" max="9" width="23" style="36" customWidth="1"/>
    <col min="10" max="11" width="9.109375" style="36"/>
    <col min="12" max="12" width="20.6640625" style="76" customWidth="1"/>
    <col min="13" max="13" width="15.44140625" style="76" customWidth="1"/>
    <col min="14" max="14" width="22.6640625" style="36" customWidth="1"/>
    <col min="15" max="15" width="20.5546875" style="76" customWidth="1"/>
    <col min="16" max="16" width="13.33203125" style="76" customWidth="1"/>
    <col min="17" max="17" width="21.5546875" style="76" customWidth="1"/>
    <col min="18" max="18" width="9.109375" style="36"/>
    <col min="19" max="19" width="22" style="76" customWidth="1"/>
    <col min="20" max="20" width="22.33203125" style="76" customWidth="1"/>
    <col min="21" max="21" width="9.109375" style="36"/>
    <col min="22" max="22" width="21.88671875" style="76" customWidth="1"/>
    <col min="23" max="23" width="23.109375" style="76" customWidth="1"/>
    <col min="24" max="24" width="9.109375" style="36"/>
    <col min="25" max="25" width="21.33203125" style="36" customWidth="1"/>
    <col min="26" max="26" width="21.88671875" style="36" customWidth="1"/>
    <col min="27" max="16384" width="9.109375" style="36"/>
  </cols>
  <sheetData>
    <row r="1" spans="2:26" ht="21" x14ac:dyDescent="0.4">
      <c r="E1" s="189">
        <v>44166</v>
      </c>
      <c r="F1" s="189"/>
      <c r="G1" s="189"/>
    </row>
    <row r="2" spans="2:26" ht="18" x14ac:dyDescent="0.35">
      <c r="B2" s="190" t="s">
        <v>0</v>
      </c>
      <c r="C2" s="190"/>
      <c r="D2" s="1">
        <v>12847</v>
      </c>
    </row>
    <row r="3" spans="2:26" ht="18" x14ac:dyDescent="0.35">
      <c r="B3" s="190" t="s">
        <v>1</v>
      </c>
      <c r="C3" s="190"/>
      <c r="D3" s="77">
        <f>(D2-E130-I130)</f>
        <v>6242.8999999999987</v>
      </c>
    </row>
    <row r="5" spans="2:26" ht="36.6" x14ac:dyDescent="0.7">
      <c r="B5" s="187" t="s">
        <v>2</v>
      </c>
      <c r="C5" s="187"/>
      <c r="D5" s="187"/>
      <c r="E5" s="187"/>
      <c r="F5" s="187"/>
      <c r="G5" s="187"/>
      <c r="H5" s="187"/>
      <c r="I5" s="187"/>
      <c r="L5" s="187" t="s">
        <v>3</v>
      </c>
      <c r="M5" s="187"/>
      <c r="N5" s="187"/>
      <c r="O5" s="187"/>
      <c r="P5" s="187"/>
      <c r="Q5" s="187"/>
      <c r="S5" s="191" t="s">
        <v>4</v>
      </c>
      <c r="T5" s="191"/>
      <c r="V5" s="187" t="s">
        <v>5</v>
      </c>
      <c r="W5" s="187"/>
      <c r="Y5" s="188" t="s">
        <v>105</v>
      </c>
      <c r="Z5" s="187"/>
    </row>
    <row r="7" spans="2:26" ht="15" thickBot="1" x14ac:dyDescent="0.35"/>
    <row r="8" spans="2:26" ht="18.600000000000001" thickBot="1" x14ac:dyDescent="0.4">
      <c r="B8" s="78" t="s">
        <v>6</v>
      </c>
      <c r="C8" s="79" t="s">
        <v>7</v>
      </c>
      <c r="D8" s="78" t="s">
        <v>8</v>
      </c>
      <c r="E8" s="80" t="s">
        <v>9</v>
      </c>
      <c r="F8" s="81" t="s">
        <v>6</v>
      </c>
      <c r="G8" s="81" t="s">
        <v>10</v>
      </c>
      <c r="H8" s="81" t="s">
        <v>8</v>
      </c>
      <c r="I8" s="82" t="s">
        <v>9</v>
      </c>
      <c r="J8" s="83"/>
      <c r="K8" s="83"/>
      <c r="L8" s="84" t="s">
        <v>11</v>
      </c>
      <c r="M8" s="84" t="s">
        <v>6</v>
      </c>
      <c r="N8" s="84" t="s">
        <v>9</v>
      </c>
      <c r="O8" s="82" t="s">
        <v>12</v>
      </c>
      <c r="P8" s="82" t="s">
        <v>6</v>
      </c>
      <c r="Q8" s="82" t="s">
        <v>9</v>
      </c>
      <c r="R8" s="83"/>
      <c r="S8" s="84" t="s">
        <v>13</v>
      </c>
      <c r="T8" s="85" t="s">
        <v>9</v>
      </c>
      <c r="U8" s="83"/>
      <c r="V8" s="82" t="s">
        <v>14</v>
      </c>
      <c r="W8" s="82" t="s">
        <v>9</v>
      </c>
      <c r="Y8" s="146" t="s">
        <v>106</v>
      </c>
      <c r="Z8" s="147" t="s">
        <v>107</v>
      </c>
    </row>
    <row r="9" spans="2:26" ht="18" x14ac:dyDescent="0.35">
      <c r="B9" s="163">
        <v>1</v>
      </c>
      <c r="C9" s="164" t="s">
        <v>76</v>
      </c>
      <c r="D9" s="165">
        <v>2.6</v>
      </c>
      <c r="E9" s="166">
        <v>2.6</v>
      </c>
      <c r="F9" s="167">
        <v>1</v>
      </c>
      <c r="G9" s="168" t="s">
        <v>47</v>
      </c>
      <c r="H9" s="169">
        <v>13</v>
      </c>
      <c r="I9" s="170">
        <v>13</v>
      </c>
      <c r="J9" s="83"/>
      <c r="K9" s="83"/>
      <c r="L9" s="3"/>
      <c r="M9" s="4"/>
      <c r="N9" s="5"/>
      <c r="O9" s="6"/>
      <c r="P9" s="7"/>
      <c r="Q9" s="8"/>
      <c r="R9" s="2"/>
      <c r="S9" s="3" t="s">
        <v>117</v>
      </c>
      <c r="T9" s="9">
        <v>5000</v>
      </c>
      <c r="U9" s="2"/>
      <c r="V9" s="10" t="s">
        <v>116</v>
      </c>
      <c r="W9" s="8">
        <v>120</v>
      </c>
      <c r="Y9" s="148" t="s">
        <v>88</v>
      </c>
      <c r="Z9" s="151">
        <f>SUMIF($C$9:$C$129, Y9, $B$9:$B$129)</f>
        <v>181</v>
      </c>
    </row>
    <row r="10" spans="2:26" ht="18" x14ac:dyDescent="0.35">
      <c r="B10" s="171">
        <v>4</v>
      </c>
      <c r="C10" s="172" t="s">
        <v>76</v>
      </c>
      <c r="D10" s="173">
        <v>2.6</v>
      </c>
      <c r="E10" s="174">
        <v>10.4</v>
      </c>
      <c r="F10" s="167">
        <v>4</v>
      </c>
      <c r="G10" s="168" t="s">
        <v>90</v>
      </c>
      <c r="H10" s="169">
        <v>90</v>
      </c>
      <c r="I10" s="170">
        <v>360</v>
      </c>
      <c r="J10" s="83"/>
      <c r="K10" s="83"/>
      <c r="L10" s="12"/>
      <c r="M10" s="13"/>
      <c r="N10" s="14"/>
      <c r="O10" s="11"/>
      <c r="P10" s="15"/>
      <c r="Q10" s="16"/>
      <c r="R10" s="2"/>
      <c r="S10" s="12" t="s">
        <v>118</v>
      </c>
      <c r="T10" s="17">
        <v>480</v>
      </c>
      <c r="U10" s="2"/>
      <c r="V10" s="18"/>
      <c r="W10" s="8"/>
      <c r="Y10" s="149" t="s">
        <v>76</v>
      </c>
      <c r="Z10" s="151">
        <f>SUMIF($C$9:$C$129, Y10, $B$9:$B$129)</f>
        <v>232</v>
      </c>
    </row>
    <row r="11" spans="2:26" ht="18" x14ac:dyDescent="0.35">
      <c r="B11" s="171">
        <v>14.5</v>
      </c>
      <c r="C11" s="172" t="s">
        <v>77</v>
      </c>
      <c r="D11" s="173">
        <v>2.4</v>
      </c>
      <c r="E11" s="174">
        <v>34.799999999999997</v>
      </c>
      <c r="F11" s="167">
        <v>2.5</v>
      </c>
      <c r="G11" s="168" t="s">
        <v>67</v>
      </c>
      <c r="H11" s="169">
        <v>92</v>
      </c>
      <c r="I11" s="170">
        <v>230</v>
      </c>
      <c r="J11" s="83"/>
      <c r="K11" s="83"/>
      <c r="L11" s="12"/>
      <c r="M11" s="13"/>
      <c r="N11" s="14"/>
      <c r="O11" s="11"/>
      <c r="P11" s="15"/>
      <c r="Q11" s="16"/>
      <c r="R11" s="2"/>
      <c r="S11" s="12"/>
      <c r="T11" s="17"/>
      <c r="U11" s="2"/>
      <c r="V11" s="18"/>
      <c r="W11" s="8"/>
      <c r="Y11" s="149" t="s">
        <v>77</v>
      </c>
      <c r="Z11" s="151">
        <f>SUMIF($C$9:$C$129, Y11, $B$9:$B$129)</f>
        <v>1192.5</v>
      </c>
    </row>
    <row r="12" spans="2:26" ht="18" x14ac:dyDescent="0.35">
      <c r="B12" s="171">
        <v>6</v>
      </c>
      <c r="C12" s="172" t="s">
        <v>77</v>
      </c>
      <c r="D12" s="173">
        <v>2.4</v>
      </c>
      <c r="E12" s="174">
        <v>14.399999999999999</v>
      </c>
      <c r="F12" s="167">
        <v>0.5</v>
      </c>
      <c r="G12" s="168" t="s">
        <v>18</v>
      </c>
      <c r="H12" s="169">
        <v>13</v>
      </c>
      <c r="I12" s="170">
        <v>6.5</v>
      </c>
      <c r="J12" s="83"/>
      <c r="K12" s="83"/>
      <c r="L12" s="12"/>
      <c r="M12" s="13"/>
      <c r="N12" s="14"/>
      <c r="O12" s="11"/>
      <c r="P12" s="15"/>
      <c r="Q12" s="16"/>
      <c r="R12" s="2"/>
      <c r="S12" s="12"/>
      <c r="T12" s="17"/>
      <c r="U12" s="2"/>
      <c r="V12" s="18"/>
      <c r="W12" s="8"/>
      <c r="Y12" s="149" t="s">
        <v>89</v>
      </c>
      <c r="Z12" s="152">
        <f>SUMIF($G$9:$G$129, Y12, $F$9:$F$129)</f>
        <v>0</v>
      </c>
    </row>
    <row r="13" spans="2:26" ht="18" x14ac:dyDescent="0.35">
      <c r="B13" s="171">
        <v>5</v>
      </c>
      <c r="C13" s="172" t="s">
        <v>77</v>
      </c>
      <c r="D13" s="173">
        <v>2.4</v>
      </c>
      <c r="E13" s="174">
        <v>12</v>
      </c>
      <c r="F13" s="167">
        <v>0.5</v>
      </c>
      <c r="G13" s="168" t="s">
        <v>94</v>
      </c>
      <c r="H13" s="169">
        <v>13</v>
      </c>
      <c r="I13" s="170">
        <v>6.5</v>
      </c>
      <c r="J13" s="83"/>
      <c r="K13" s="83"/>
      <c r="L13" s="12"/>
      <c r="M13" s="13"/>
      <c r="N13" s="14"/>
      <c r="O13" s="11"/>
      <c r="P13" s="15"/>
      <c r="Q13" s="16"/>
      <c r="R13" s="2"/>
      <c r="S13" s="12"/>
      <c r="T13" s="17"/>
      <c r="U13" s="2"/>
      <c r="V13" s="18"/>
      <c r="W13" s="8"/>
      <c r="Y13" s="149" t="s">
        <v>20</v>
      </c>
      <c r="Z13" s="152">
        <f t="shared" ref="Z13:Z76" si="0">SUMIF($G$9:$G$129, Y13, $F$9:$F$129)</f>
        <v>11</v>
      </c>
    </row>
    <row r="14" spans="2:26" ht="18" x14ac:dyDescent="0.35">
      <c r="B14" s="171">
        <v>753</v>
      </c>
      <c r="C14" s="172" t="s">
        <v>77</v>
      </c>
      <c r="D14" s="173">
        <v>2.4</v>
      </c>
      <c r="E14" s="174">
        <v>1807.2</v>
      </c>
      <c r="F14" s="167">
        <v>0.2</v>
      </c>
      <c r="G14" s="168" t="s">
        <v>90</v>
      </c>
      <c r="H14" s="169">
        <v>90</v>
      </c>
      <c r="I14" s="170">
        <v>18</v>
      </c>
      <c r="J14" s="83"/>
      <c r="K14" s="83"/>
      <c r="L14" s="12"/>
      <c r="M14" s="13"/>
      <c r="N14" s="14"/>
      <c r="O14" s="11"/>
      <c r="P14" s="15"/>
      <c r="Q14" s="16"/>
      <c r="R14" s="2"/>
      <c r="S14" s="12"/>
      <c r="T14" s="17"/>
      <c r="U14" s="2"/>
      <c r="V14" s="18"/>
      <c r="W14" s="8"/>
      <c r="Y14" s="149" t="s">
        <v>19</v>
      </c>
      <c r="Z14" s="152">
        <f t="shared" si="0"/>
        <v>15</v>
      </c>
    </row>
    <row r="15" spans="2:26" ht="18" x14ac:dyDescent="0.35">
      <c r="B15" s="171">
        <v>9.5</v>
      </c>
      <c r="C15" s="172" t="s">
        <v>77</v>
      </c>
      <c r="D15" s="173">
        <v>2.4</v>
      </c>
      <c r="E15" s="174">
        <v>22.8</v>
      </c>
      <c r="F15" s="167">
        <v>2</v>
      </c>
      <c r="G15" s="168" t="s">
        <v>18</v>
      </c>
      <c r="H15" s="169">
        <v>13</v>
      </c>
      <c r="I15" s="170">
        <v>26</v>
      </c>
      <c r="J15" s="83"/>
      <c r="K15" s="83"/>
      <c r="L15" s="12"/>
      <c r="M15" s="13"/>
      <c r="N15" s="14"/>
      <c r="O15" s="11"/>
      <c r="P15" s="15"/>
      <c r="Q15" s="16"/>
      <c r="R15" s="2"/>
      <c r="S15" s="12"/>
      <c r="T15" s="17"/>
      <c r="U15" s="2"/>
      <c r="V15" s="18"/>
      <c r="W15" s="8"/>
      <c r="Y15" s="149" t="s">
        <v>18</v>
      </c>
      <c r="Z15" s="152">
        <f t="shared" si="0"/>
        <v>22</v>
      </c>
    </row>
    <row r="16" spans="2:26" ht="18" x14ac:dyDescent="0.35">
      <c r="B16" s="171">
        <v>85</v>
      </c>
      <c r="C16" s="172" t="s">
        <v>88</v>
      </c>
      <c r="D16" s="173">
        <v>1.2</v>
      </c>
      <c r="E16" s="174">
        <v>102</v>
      </c>
      <c r="F16" s="167">
        <v>2</v>
      </c>
      <c r="G16" s="168" t="s">
        <v>47</v>
      </c>
      <c r="H16" s="169">
        <v>13</v>
      </c>
      <c r="I16" s="170">
        <v>26</v>
      </c>
      <c r="J16" s="83"/>
      <c r="K16" s="83"/>
      <c r="L16" s="12"/>
      <c r="M16" s="13"/>
      <c r="N16" s="14"/>
      <c r="O16" s="11"/>
      <c r="P16" s="15"/>
      <c r="Q16" s="16"/>
      <c r="R16" s="2"/>
      <c r="S16" s="12"/>
      <c r="T16" s="17"/>
      <c r="U16" s="2"/>
      <c r="V16" s="18"/>
      <c r="W16" s="8"/>
      <c r="Y16" s="149" t="s">
        <v>22</v>
      </c>
      <c r="Z16" s="152">
        <f t="shared" si="0"/>
        <v>0.5</v>
      </c>
    </row>
    <row r="17" spans="2:26" ht="18" x14ac:dyDescent="0.35">
      <c r="B17" s="171">
        <v>3</v>
      </c>
      <c r="C17" s="172" t="s">
        <v>88</v>
      </c>
      <c r="D17" s="173">
        <v>1.2</v>
      </c>
      <c r="E17" s="174">
        <v>3.5999999999999996</v>
      </c>
      <c r="F17" s="167">
        <v>0.2</v>
      </c>
      <c r="G17" s="168" t="s">
        <v>94</v>
      </c>
      <c r="H17" s="169">
        <v>13</v>
      </c>
      <c r="I17" s="170">
        <v>2.6</v>
      </c>
      <c r="J17" s="83"/>
      <c r="K17" s="83"/>
      <c r="L17" s="12"/>
      <c r="M17" s="13"/>
      <c r="N17" s="14"/>
      <c r="O17" s="11"/>
      <c r="P17" s="15"/>
      <c r="Q17" s="16"/>
      <c r="R17" s="2"/>
      <c r="S17" s="12"/>
      <c r="T17" s="17"/>
      <c r="U17" s="2"/>
      <c r="V17" s="18"/>
      <c r="W17" s="8"/>
      <c r="Y17" s="149" t="s">
        <v>67</v>
      </c>
      <c r="Z17" s="152">
        <f t="shared" si="0"/>
        <v>2.5</v>
      </c>
    </row>
    <row r="18" spans="2:26" ht="18" x14ac:dyDescent="0.35">
      <c r="B18" s="171">
        <v>5.5</v>
      </c>
      <c r="C18" s="172" t="s">
        <v>77</v>
      </c>
      <c r="D18" s="173">
        <v>2.4</v>
      </c>
      <c r="E18" s="174">
        <v>13.2</v>
      </c>
      <c r="F18" s="167">
        <v>0.5</v>
      </c>
      <c r="G18" s="168" t="s">
        <v>22</v>
      </c>
      <c r="H18" s="169">
        <v>94</v>
      </c>
      <c r="I18" s="170">
        <v>47</v>
      </c>
      <c r="J18" s="83"/>
      <c r="K18" s="83"/>
      <c r="L18" s="12"/>
      <c r="M18" s="13"/>
      <c r="N18" s="14"/>
      <c r="O18" s="11"/>
      <c r="P18" s="15"/>
      <c r="Q18" s="16"/>
      <c r="R18" s="2"/>
      <c r="S18" s="12"/>
      <c r="T18" s="17"/>
      <c r="U18" s="2"/>
      <c r="V18" s="18"/>
      <c r="W18" s="8"/>
      <c r="Y18" s="149" t="s">
        <v>90</v>
      </c>
      <c r="Z18" s="152">
        <f t="shared" si="0"/>
        <v>11.4</v>
      </c>
    </row>
    <row r="19" spans="2:26" ht="18" x14ac:dyDescent="0.35">
      <c r="B19" s="171">
        <v>2.5</v>
      </c>
      <c r="C19" s="172" t="s">
        <v>88</v>
      </c>
      <c r="D19" s="173">
        <v>1.2</v>
      </c>
      <c r="E19" s="174">
        <v>3</v>
      </c>
      <c r="F19" s="167">
        <v>0.5</v>
      </c>
      <c r="G19" s="168" t="s">
        <v>18</v>
      </c>
      <c r="H19" s="169">
        <v>13</v>
      </c>
      <c r="I19" s="170">
        <v>6.5</v>
      </c>
      <c r="J19" s="83"/>
      <c r="K19" s="83"/>
      <c r="L19" s="12"/>
      <c r="M19" s="13"/>
      <c r="N19" s="14"/>
      <c r="O19" s="11"/>
      <c r="P19" s="15"/>
      <c r="Q19" s="16"/>
      <c r="R19" s="2"/>
      <c r="S19" s="12"/>
      <c r="T19" s="17"/>
      <c r="U19" s="2"/>
      <c r="V19" s="18"/>
      <c r="W19" s="8"/>
      <c r="Y19" s="149" t="s">
        <v>91</v>
      </c>
      <c r="Z19" s="152">
        <f t="shared" si="0"/>
        <v>0</v>
      </c>
    </row>
    <row r="20" spans="2:26" ht="18" x14ac:dyDescent="0.35">
      <c r="B20" s="171">
        <v>3.5</v>
      </c>
      <c r="C20" s="172" t="s">
        <v>76</v>
      </c>
      <c r="D20" s="173">
        <v>2.6</v>
      </c>
      <c r="E20" s="174">
        <v>9.1</v>
      </c>
      <c r="F20" s="167">
        <v>0.5</v>
      </c>
      <c r="G20" s="168" t="s">
        <v>94</v>
      </c>
      <c r="H20" s="169">
        <v>13</v>
      </c>
      <c r="I20" s="170">
        <v>6.5</v>
      </c>
      <c r="J20" s="83"/>
      <c r="K20" s="83"/>
      <c r="L20" s="12"/>
      <c r="M20" s="13"/>
      <c r="N20" s="14"/>
      <c r="O20" s="11"/>
      <c r="P20" s="15"/>
      <c r="Q20" s="16"/>
      <c r="R20" s="2"/>
      <c r="S20" s="12"/>
      <c r="T20" s="17"/>
      <c r="U20" s="2"/>
      <c r="V20" s="18"/>
      <c r="W20" s="8"/>
      <c r="Y20" s="149" t="s">
        <v>92</v>
      </c>
      <c r="Z20" s="152">
        <f t="shared" si="0"/>
        <v>2.6000000000000005</v>
      </c>
    </row>
    <row r="21" spans="2:26" ht="18" x14ac:dyDescent="0.35">
      <c r="B21" s="171">
        <v>1.5</v>
      </c>
      <c r="C21" s="172" t="s">
        <v>77</v>
      </c>
      <c r="D21" s="173">
        <v>2.4</v>
      </c>
      <c r="E21" s="174">
        <v>3.5999999999999996</v>
      </c>
      <c r="F21" s="167">
        <v>0.5</v>
      </c>
      <c r="G21" s="168" t="s">
        <v>92</v>
      </c>
      <c r="H21" s="169">
        <v>75</v>
      </c>
      <c r="I21" s="170">
        <v>37.5</v>
      </c>
      <c r="J21" s="83"/>
      <c r="K21" s="83"/>
      <c r="L21" s="12"/>
      <c r="M21" s="13"/>
      <c r="N21" s="14"/>
      <c r="O21" s="11"/>
      <c r="P21" s="15"/>
      <c r="Q21" s="16"/>
      <c r="R21" s="2"/>
      <c r="S21" s="12"/>
      <c r="T21" s="17"/>
      <c r="U21" s="2"/>
      <c r="V21" s="18"/>
      <c r="W21" s="8"/>
      <c r="Y21" s="149" t="s">
        <v>68</v>
      </c>
      <c r="Z21" s="152">
        <f t="shared" si="0"/>
        <v>0</v>
      </c>
    </row>
    <row r="22" spans="2:26" ht="18" x14ac:dyDescent="0.35">
      <c r="B22" s="171">
        <v>9</v>
      </c>
      <c r="C22" s="172" t="s">
        <v>88</v>
      </c>
      <c r="D22" s="173">
        <v>1.2</v>
      </c>
      <c r="E22" s="174">
        <v>10.799999999999999</v>
      </c>
      <c r="F22" s="167">
        <v>0.5</v>
      </c>
      <c r="G22" s="168" t="s">
        <v>92</v>
      </c>
      <c r="H22" s="169">
        <v>75</v>
      </c>
      <c r="I22" s="170">
        <v>37.5</v>
      </c>
      <c r="J22" s="83"/>
      <c r="K22" s="83"/>
      <c r="L22" s="12"/>
      <c r="M22" s="13"/>
      <c r="N22" s="14"/>
      <c r="O22" s="11"/>
      <c r="P22" s="15"/>
      <c r="Q22" s="16"/>
      <c r="R22" s="2"/>
      <c r="S22" s="12"/>
      <c r="T22" s="17"/>
      <c r="U22" s="2"/>
      <c r="V22" s="18"/>
      <c r="W22" s="8"/>
      <c r="Y22" s="149" t="s">
        <v>93</v>
      </c>
      <c r="Z22" s="152">
        <f t="shared" si="0"/>
        <v>0</v>
      </c>
    </row>
    <row r="23" spans="2:26" ht="18" x14ac:dyDescent="0.35">
      <c r="B23" s="171">
        <v>15.5</v>
      </c>
      <c r="C23" s="172" t="s">
        <v>76</v>
      </c>
      <c r="D23" s="173">
        <v>2.6</v>
      </c>
      <c r="E23" s="174">
        <v>40.300000000000004</v>
      </c>
      <c r="F23" s="167">
        <v>0.2</v>
      </c>
      <c r="G23" s="168" t="s">
        <v>90</v>
      </c>
      <c r="H23" s="169">
        <v>90</v>
      </c>
      <c r="I23" s="170">
        <v>18</v>
      </c>
      <c r="J23" s="83"/>
      <c r="K23" s="83"/>
      <c r="L23" s="12"/>
      <c r="M23" s="13"/>
      <c r="N23" s="14"/>
      <c r="O23" s="11"/>
      <c r="P23" s="15"/>
      <c r="Q23" s="16"/>
      <c r="R23" s="2"/>
      <c r="S23" s="12"/>
      <c r="T23" s="17"/>
      <c r="U23" s="2"/>
      <c r="V23" s="18"/>
      <c r="W23" s="8"/>
      <c r="Y23" s="149" t="s">
        <v>23</v>
      </c>
      <c r="Z23" s="152">
        <f t="shared" si="0"/>
        <v>10.199999999999999</v>
      </c>
    </row>
    <row r="24" spans="2:26" ht="18" x14ac:dyDescent="0.35">
      <c r="B24" s="171">
        <v>4.5</v>
      </c>
      <c r="C24" s="172" t="s">
        <v>88</v>
      </c>
      <c r="D24" s="173">
        <v>1.2</v>
      </c>
      <c r="E24" s="174">
        <v>5.3999999999999995</v>
      </c>
      <c r="F24" s="167">
        <v>4</v>
      </c>
      <c r="G24" s="168" t="s">
        <v>18</v>
      </c>
      <c r="H24" s="169">
        <v>13</v>
      </c>
      <c r="I24" s="170">
        <v>52</v>
      </c>
      <c r="J24" s="83"/>
      <c r="K24" s="83"/>
      <c r="L24" s="12"/>
      <c r="M24" s="13"/>
      <c r="N24" s="14"/>
      <c r="O24" s="11"/>
      <c r="P24" s="15"/>
      <c r="Q24" s="16"/>
      <c r="R24" s="2"/>
      <c r="S24" s="12"/>
      <c r="T24" s="17"/>
      <c r="U24" s="2"/>
      <c r="V24" s="18"/>
      <c r="W24" s="8"/>
      <c r="Y24" s="149" t="s">
        <v>24</v>
      </c>
      <c r="Z24" s="152">
        <f t="shared" si="0"/>
        <v>0</v>
      </c>
    </row>
    <row r="25" spans="2:26" ht="18" x14ac:dyDescent="0.35">
      <c r="B25" s="171">
        <v>1.5</v>
      </c>
      <c r="C25" s="172" t="s">
        <v>77</v>
      </c>
      <c r="D25" s="173">
        <v>2.4</v>
      </c>
      <c r="E25" s="174">
        <v>3.5999999999999996</v>
      </c>
      <c r="F25" s="167">
        <v>0.5</v>
      </c>
      <c r="G25" s="168" t="s">
        <v>94</v>
      </c>
      <c r="H25" s="169">
        <v>13</v>
      </c>
      <c r="I25" s="170">
        <v>6.5</v>
      </c>
      <c r="J25" s="83"/>
      <c r="K25" s="83"/>
      <c r="L25" s="12"/>
      <c r="M25" s="13"/>
      <c r="N25" s="14"/>
      <c r="O25" s="11"/>
      <c r="P25" s="15"/>
      <c r="Q25" s="16"/>
      <c r="R25" s="2"/>
      <c r="S25" s="12"/>
      <c r="T25" s="17"/>
      <c r="U25" s="2"/>
      <c r="V25" s="18"/>
      <c r="W25" s="8"/>
      <c r="Y25" s="149" t="s">
        <v>25</v>
      </c>
      <c r="Z25" s="152">
        <f t="shared" si="0"/>
        <v>0</v>
      </c>
    </row>
    <row r="26" spans="2:26" ht="18" x14ac:dyDescent="0.35">
      <c r="B26" s="171">
        <v>14.5</v>
      </c>
      <c r="C26" s="172" t="s">
        <v>77</v>
      </c>
      <c r="D26" s="173">
        <v>2.4</v>
      </c>
      <c r="E26" s="174">
        <v>34.799999999999997</v>
      </c>
      <c r="F26" s="167">
        <v>2</v>
      </c>
      <c r="G26" s="168" t="s">
        <v>18</v>
      </c>
      <c r="H26" s="169">
        <v>13</v>
      </c>
      <c r="I26" s="170">
        <v>26</v>
      </c>
      <c r="J26" s="83"/>
      <c r="K26" s="83"/>
      <c r="L26" s="12"/>
      <c r="M26" s="13"/>
      <c r="N26" s="14"/>
      <c r="O26" s="11"/>
      <c r="P26" s="15"/>
      <c r="Q26" s="16"/>
      <c r="R26" s="2"/>
      <c r="S26" s="12"/>
      <c r="T26" s="17"/>
      <c r="U26" s="2"/>
      <c r="V26" s="18"/>
      <c r="W26" s="8"/>
      <c r="Y26" s="149" t="s">
        <v>98</v>
      </c>
      <c r="Z26" s="152">
        <f t="shared" si="0"/>
        <v>0</v>
      </c>
    </row>
    <row r="27" spans="2:26" ht="18" x14ac:dyDescent="0.35">
      <c r="B27" s="171">
        <v>8</v>
      </c>
      <c r="C27" s="172" t="s">
        <v>88</v>
      </c>
      <c r="D27" s="173">
        <v>1.2</v>
      </c>
      <c r="E27" s="174">
        <v>9.6</v>
      </c>
      <c r="F27" s="167">
        <v>0.5</v>
      </c>
      <c r="G27" s="168" t="s">
        <v>90</v>
      </c>
      <c r="H27" s="169">
        <v>90</v>
      </c>
      <c r="I27" s="170">
        <v>45</v>
      </c>
      <c r="J27" s="83"/>
      <c r="K27" s="83"/>
      <c r="L27" s="12"/>
      <c r="M27" s="13"/>
      <c r="N27" s="14"/>
      <c r="O27" s="11"/>
      <c r="P27" s="15"/>
      <c r="Q27" s="16"/>
      <c r="R27" s="2"/>
      <c r="S27" s="12"/>
      <c r="T27" s="17"/>
      <c r="U27" s="2"/>
      <c r="V27" s="18"/>
      <c r="W27" s="8"/>
      <c r="Y27" s="149" t="s">
        <v>94</v>
      </c>
      <c r="Z27" s="152">
        <f t="shared" si="0"/>
        <v>12.7</v>
      </c>
    </row>
    <row r="28" spans="2:26" ht="18" x14ac:dyDescent="0.35">
      <c r="B28" s="171">
        <v>67</v>
      </c>
      <c r="C28" s="172" t="s">
        <v>88</v>
      </c>
      <c r="D28" s="173">
        <v>1.2</v>
      </c>
      <c r="E28" s="174">
        <v>80.399999999999991</v>
      </c>
      <c r="F28" s="167">
        <v>0.5</v>
      </c>
      <c r="G28" s="168" t="s">
        <v>84</v>
      </c>
      <c r="H28" s="169">
        <v>5</v>
      </c>
      <c r="I28" s="170">
        <v>2.5</v>
      </c>
      <c r="J28" s="83"/>
      <c r="K28" s="83"/>
      <c r="L28" s="12"/>
      <c r="M28" s="13"/>
      <c r="N28" s="14"/>
      <c r="O28" s="11"/>
      <c r="P28" s="15"/>
      <c r="Q28" s="16"/>
      <c r="R28" s="2"/>
      <c r="S28" s="12"/>
      <c r="T28" s="17"/>
      <c r="U28" s="2"/>
      <c r="V28" s="18"/>
      <c r="W28" s="8"/>
      <c r="Y28" s="149" t="s">
        <v>42</v>
      </c>
      <c r="Z28" s="152">
        <f t="shared" si="0"/>
        <v>0</v>
      </c>
    </row>
    <row r="29" spans="2:26" ht="18" x14ac:dyDescent="0.35">
      <c r="B29" s="171">
        <v>11.5</v>
      </c>
      <c r="C29" s="172" t="s">
        <v>77</v>
      </c>
      <c r="D29" s="173">
        <v>2.4</v>
      </c>
      <c r="E29" s="174">
        <v>27.599999999999998</v>
      </c>
      <c r="F29" s="167">
        <v>2.5</v>
      </c>
      <c r="G29" s="168" t="s">
        <v>18</v>
      </c>
      <c r="H29" s="169">
        <v>13</v>
      </c>
      <c r="I29" s="170">
        <v>32.5</v>
      </c>
      <c r="J29" s="83"/>
      <c r="K29" s="83"/>
      <c r="L29" s="12"/>
      <c r="M29" s="13"/>
      <c r="N29" s="14"/>
      <c r="O29" s="11"/>
      <c r="P29" s="15"/>
      <c r="Q29" s="16"/>
      <c r="R29" s="2"/>
      <c r="S29" s="12"/>
      <c r="T29" s="17"/>
      <c r="U29" s="2"/>
      <c r="V29" s="18"/>
      <c r="W29" s="8"/>
      <c r="Y29" s="149" t="s">
        <v>39</v>
      </c>
      <c r="Z29" s="152">
        <f t="shared" si="0"/>
        <v>0</v>
      </c>
    </row>
    <row r="30" spans="2:26" ht="18" x14ac:dyDescent="0.35">
      <c r="B30" s="171">
        <v>36.5</v>
      </c>
      <c r="C30" s="172" t="s">
        <v>76</v>
      </c>
      <c r="D30" s="173">
        <v>2.6</v>
      </c>
      <c r="E30" s="174">
        <v>94.9</v>
      </c>
      <c r="F30" s="167">
        <v>0.5</v>
      </c>
      <c r="G30" s="168" t="s">
        <v>23</v>
      </c>
      <c r="H30" s="169">
        <v>55</v>
      </c>
      <c r="I30" s="170">
        <v>27.5</v>
      </c>
      <c r="J30" s="83"/>
      <c r="K30" s="83"/>
      <c r="L30" s="12"/>
      <c r="M30" s="13"/>
      <c r="N30" s="14"/>
      <c r="O30" s="11"/>
      <c r="P30" s="15"/>
      <c r="Q30" s="16"/>
      <c r="R30" s="2"/>
      <c r="S30" s="12"/>
      <c r="T30" s="17"/>
      <c r="U30" s="2"/>
      <c r="V30" s="18"/>
      <c r="W30" s="8"/>
      <c r="Y30" s="149" t="s">
        <v>99</v>
      </c>
      <c r="Z30" s="152">
        <f t="shared" si="0"/>
        <v>0</v>
      </c>
    </row>
    <row r="31" spans="2:26" ht="18" x14ac:dyDescent="0.35">
      <c r="B31" s="171">
        <v>2.5</v>
      </c>
      <c r="C31" s="172" t="s">
        <v>76</v>
      </c>
      <c r="D31" s="173">
        <v>2.6</v>
      </c>
      <c r="E31" s="174">
        <v>6.5</v>
      </c>
      <c r="F31" s="167">
        <v>1</v>
      </c>
      <c r="G31" s="168" t="s">
        <v>94</v>
      </c>
      <c r="H31" s="169">
        <v>13</v>
      </c>
      <c r="I31" s="170">
        <v>13</v>
      </c>
      <c r="J31" s="83"/>
      <c r="K31" s="83"/>
      <c r="L31" s="12"/>
      <c r="M31" s="13"/>
      <c r="N31" s="14"/>
      <c r="O31" s="11"/>
      <c r="P31" s="15"/>
      <c r="Q31" s="16"/>
      <c r="R31" s="2"/>
      <c r="S31" s="12"/>
      <c r="T31" s="17"/>
      <c r="U31" s="2"/>
      <c r="V31" s="18"/>
      <c r="W31" s="8"/>
      <c r="Y31" s="149" t="s">
        <v>95</v>
      </c>
      <c r="Z31" s="152">
        <f t="shared" si="0"/>
        <v>0</v>
      </c>
    </row>
    <row r="32" spans="2:26" ht="18" x14ac:dyDescent="0.35">
      <c r="B32" s="171">
        <v>5</v>
      </c>
      <c r="C32" s="172" t="s">
        <v>77</v>
      </c>
      <c r="D32" s="173">
        <v>2.4</v>
      </c>
      <c r="E32" s="174">
        <v>12</v>
      </c>
      <c r="F32" s="167">
        <v>0.5</v>
      </c>
      <c r="G32" s="168" t="s">
        <v>90</v>
      </c>
      <c r="H32" s="169">
        <v>90</v>
      </c>
      <c r="I32" s="170">
        <v>45</v>
      </c>
      <c r="J32" s="83"/>
      <c r="K32" s="83"/>
      <c r="L32" s="12"/>
      <c r="M32" s="13"/>
      <c r="N32" s="14"/>
      <c r="O32" s="11"/>
      <c r="P32" s="15"/>
      <c r="Q32" s="16"/>
      <c r="R32" s="2"/>
      <c r="S32" s="12"/>
      <c r="T32" s="17"/>
      <c r="U32" s="2"/>
      <c r="V32" s="18"/>
      <c r="W32" s="8"/>
      <c r="Y32" s="149" t="s">
        <v>97</v>
      </c>
      <c r="Z32" s="152">
        <f t="shared" si="0"/>
        <v>0</v>
      </c>
    </row>
    <row r="33" spans="2:26" ht="18" x14ac:dyDescent="0.35">
      <c r="B33" s="171">
        <v>7.5</v>
      </c>
      <c r="C33" s="172" t="s">
        <v>76</v>
      </c>
      <c r="D33" s="173">
        <v>2.6</v>
      </c>
      <c r="E33" s="174">
        <v>19.5</v>
      </c>
      <c r="F33" s="167">
        <v>3</v>
      </c>
      <c r="G33" s="168" t="s">
        <v>18</v>
      </c>
      <c r="H33" s="169">
        <v>13</v>
      </c>
      <c r="I33" s="170">
        <v>39</v>
      </c>
      <c r="J33" s="83"/>
      <c r="K33" s="83"/>
      <c r="L33" s="12"/>
      <c r="M33" s="13"/>
      <c r="N33" s="14"/>
      <c r="O33" s="11"/>
      <c r="P33" s="15"/>
      <c r="Q33" s="16"/>
      <c r="R33" s="2"/>
      <c r="S33" s="12"/>
      <c r="T33" s="17"/>
      <c r="U33" s="2"/>
      <c r="V33" s="18"/>
      <c r="W33" s="8"/>
      <c r="Y33" s="149" t="s">
        <v>43</v>
      </c>
      <c r="Z33" s="152">
        <f t="shared" si="0"/>
        <v>0</v>
      </c>
    </row>
    <row r="34" spans="2:26" ht="18" x14ac:dyDescent="0.35">
      <c r="B34" s="171">
        <v>15.5</v>
      </c>
      <c r="C34" s="172" t="s">
        <v>76</v>
      </c>
      <c r="D34" s="173">
        <v>2.6</v>
      </c>
      <c r="E34" s="174">
        <v>40.300000000000004</v>
      </c>
      <c r="F34" s="167">
        <v>11</v>
      </c>
      <c r="G34" s="168" t="s">
        <v>20</v>
      </c>
      <c r="H34" s="169">
        <v>1</v>
      </c>
      <c r="I34" s="170">
        <v>11</v>
      </c>
      <c r="J34" s="83"/>
      <c r="K34" s="83"/>
      <c r="L34" s="12"/>
      <c r="M34" s="13"/>
      <c r="N34" s="14"/>
      <c r="O34" s="11"/>
      <c r="P34" s="15"/>
      <c r="Q34" s="16"/>
      <c r="R34" s="2"/>
      <c r="S34" s="12"/>
      <c r="T34" s="17"/>
      <c r="U34" s="2"/>
      <c r="V34" s="18"/>
      <c r="W34" s="8"/>
      <c r="Y34" s="149" t="s">
        <v>32</v>
      </c>
      <c r="Z34" s="152">
        <f t="shared" si="0"/>
        <v>0</v>
      </c>
    </row>
    <row r="35" spans="2:26" ht="18" x14ac:dyDescent="0.35">
      <c r="B35" s="171">
        <v>25</v>
      </c>
      <c r="C35" s="172" t="s">
        <v>77</v>
      </c>
      <c r="D35" s="173">
        <v>2.4</v>
      </c>
      <c r="E35" s="174">
        <v>60</v>
      </c>
      <c r="F35" s="167">
        <v>10</v>
      </c>
      <c r="G35" s="168" t="s">
        <v>19</v>
      </c>
      <c r="H35" s="169">
        <v>2</v>
      </c>
      <c r="I35" s="170">
        <v>20</v>
      </c>
      <c r="J35" s="83"/>
      <c r="K35" s="83"/>
      <c r="L35" s="12"/>
      <c r="M35" s="13"/>
      <c r="N35" s="14"/>
      <c r="O35" s="11"/>
      <c r="P35" s="15"/>
      <c r="Q35" s="16"/>
      <c r="R35" s="2"/>
      <c r="S35" s="12"/>
      <c r="T35" s="17"/>
      <c r="U35" s="2"/>
      <c r="V35" s="18"/>
      <c r="W35" s="8"/>
      <c r="Y35" s="149" t="s">
        <v>33</v>
      </c>
      <c r="Z35" s="152">
        <f t="shared" si="0"/>
        <v>0</v>
      </c>
    </row>
    <row r="36" spans="2:26" ht="18" x14ac:dyDescent="0.35">
      <c r="B36" s="171">
        <v>2.5</v>
      </c>
      <c r="C36" s="172" t="s">
        <v>77</v>
      </c>
      <c r="D36" s="173">
        <v>2.4</v>
      </c>
      <c r="E36" s="174">
        <v>6</v>
      </c>
      <c r="F36" s="167">
        <v>1</v>
      </c>
      <c r="G36" s="168" t="s">
        <v>94</v>
      </c>
      <c r="H36" s="169">
        <v>13</v>
      </c>
      <c r="I36" s="170">
        <v>13</v>
      </c>
      <c r="J36" s="83"/>
      <c r="K36" s="83"/>
      <c r="L36" s="12"/>
      <c r="M36" s="13"/>
      <c r="N36" s="14"/>
      <c r="O36" s="11"/>
      <c r="P36" s="15"/>
      <c r="Q36" s="16"/>
      <c r="R36" s="2"/>
      <c r="S36" s="12"/>
      <c r="T36" s="17"/>
      <c r="U36" s="2"/>
      <c r="V36" s="18"/>
      <c r="W36" s="8"/>
      <c r="Y36" s="149" t="s">
        <v>30</v>
      </c>
      <c r="Z36" s="152">
        <f t="shared" si="0"/>
        <v>0</v>
      </c>
    </row>
    <row r="37" spans="2:26" ht="18" x14ac:dyDescent="0.35">
      <c r="B37" s="171">
        <v>11</v>
      </c>
      <c r="C37" s="172" t="s">
        <v>76</v>
      </c>
      <c r="D37" s="173">
        <v>2.6</v>
      </c>
      <c r="E37" s="174">
        <v>28.6</v>
      </c>
      <c r="F37" s="167">
        <v>1</v>
      </c>
      <c r="G37" s="168" t="s">
        <v>96</v>
      </c>
      <c r="H37" s="169">
        <v>12</v>
      </c>
      <c r="I37" s="170">
        <v>12</v>
      </c>
      <c r="J37" s="83"/>
      <c r="K37" s="83"/>
      <c r="L37" s="12"/>
      <c r="M37" s="13"/>
      <c r="N37" s="14"/>
      <c r="O37" s="11"/>
      <c r="P37" s="15"/>
      <c r="Q37" s="16"/>
      <c r="R37" s="2"/>
      <c r="S37" s="12"/>
      <c r="T37" s="17"/>
      <c r="U37" s="2"/>
      <c r="V37" s="18"/>
      <c r="W37" s="8"/>
      <c r="Y37" s="149" t="s">
        <v>31</v>
      </c>
      <c r="Z37" s="152">
        <f t="shared" si="0"/>
        <v>0</v>
      </c>
    </row>
    <row r="38" spans="2:26" ht="18" x14ac:dyDescent="0.35">
      <c r="B38" s="171">
        <v>2.5</v>
      </c>
      <c r="C38" s="172" t="s">
        <v>77</v>
      </c>
      <c r="D38" s="173">
        <v>2.4</v>
      </c>
      <c r="E38" s="174">
        <v>6</v>
      </c>
      <c r="F38" s="167">
        <v>1</v>
      </c>
      <c r="G38" s="168" t="s">
        <v>92</v>
      </c>
      <c r="H38" s="169">
        <v>75</v>
      </c>
      <c r="I38" s="170">
        <v>75</v>
      </c>
      <c r="J38" s="83"/>
      <c r="K38" s="83"/>
      <c r="L38" s="12"/>
      <c r="M38" s="13"/>
      <c r="N38" s="14"/>
      <c r="O38" s="11"/>
      <c r="P38" s="15"/>
      <c r="Q38" s="16"/>
      <c r="R38" s="2"/>
      <c r="S38" s="12"/>
      <c r="T38" s="17"/>
      <c r="U38" s="2"/>
      <c r="V38" s="18"/>
      <c r="W38" s="8"/>
      <c r="Y38" s="149" t="s">
        <v>84</v>
      </c>
      <c r="Z38" s="152">
        <f t="shared" si="0"/>
        <v>0.7</v>
      </c>
    </row>
    <row r="39" spans="2:26" ht="18" x14ac:dyDescent="0.35">
      <c r="B39" s="171">
        <v>117</v>
      </c>
      <c r="C39" s="172" t="s">
        <v>77</v>
      </c>
      <c r="D39" s="173">
        <v>2.4</v>
      </c>
      <c r="E39" s="174">
        <v>280.8</v>
      </c>
      <c r="F39" s="167">
        <v>2</v>
      </c>
      <c r="G39" s="168" t="s">
        <v>94</v>
      </c>
      <c r="H39" s="169">
        <v>13</v>
      </c>
      <c r="I39" s="170">
        <v>26</v>
      </c>
      <c r="J39" s="83"/>
      <c r="K39" s="83"/>
      <c r="L39" s="12"/>
      <c r="M39" s="13"/>
      <c r="N39" s="14"/>
      <c r="O39" s="11"/>
      <c r="P39" s="15"/>
      <c r="Q39" s="16"/>
      <c r="R39" s="2"/>
      <c r="S39" s="12"/>
      <c r="T39" s="17"/>
      <c r="U39" s="2"/>
      <c r="V39" s="18"/>
      <c r="W39" s="8"/>
      <c r="Y39" s="149" t="s">
        <v>85</v>
      </c>
      <c r="Z39" s="152">
        <f t="shared" si="0"/>
        <v>0</v>
      </c>
    </row>
    <row r="40" spans="2:26" ht="18" x14ac:dyDescent="0.35">
      <c r="B40" s="171">
        <v>15.5</v>
      </c>
      <c r="C40" s="172" t="s">
        <v>77</v>
      </c>
      <c r="D40" s="173">
        <v>2.4</v>
      </c>
      <c r="E40" s="174">
        <v>37.199999999999996</v>
      </c>
      <c r="F40" s="167">
        <v>1</v>
      </c>
      <c r="G40" s="168" t="s">
        <v>18</v>
      </c>
      <c r="H40" s="169">
        <v>13</v>
      </c>
      <c r="I40" s="170">
        <v>13</v>
      </c>
      <c r="J40" s="83"/>
      <c r="K40" s="83"/>
      <c r="L40" s="12"/>
      <c r="M40" s="13"/>
      <c r="N40" s="14"/>
      <c r="O40" s="11"/>
      <c r="P40" s="15"/>
      <c r="Q40" s="16"/>
      <c r="R40" s="2"/>
      <c r="S40" s="12"/>
      <c r="T40" s="17"/>
      <c r="U40" s="2"/>
      <c r="V40" s="18"/>
      <c r="W40" s="8"/>
      <c r="Y40" s="149" t="s">
        <v>86</v>
      </c>
      <c r="Z40" s="152">
        <f t="shared" si="0"/>
        <v>0</v>
      </c>
    </row>
    <row r="41" spans="2:26" ht="18" x14ac:dyDescent="0.35">
      <c r="B41" s="171">
        <v>1.5</v>
      </c>
      <c r="C41" s="172" t="s">
        <v>76</v>
      </c>
      <c r="D41" s="173">
        <v>2.6</v>
      </c>
      <c r="E41" s="174">
        <v>3.9000000000000004</v>
      </c>
      <c r="F41" s="167">
        <v>1</v>
      </c>
      <c r="G41" s="168" t="s">
        <v>18</v>
      </c>
      <c r="H41" s="169">
        <v>13</v>
      </c>
      <c r="I41" s="170">
        <v>13</v>
      </c>
      <c r="J41" s="83"/>
      <c r="K41" s="83"/>
      <c r="L41" s="12"/>
      <c r="M41" s="13"/>
      <c r="N41" s="14"/>
      <c r="O41" s="11"/>
      <c r="P41" s="15"/>
      <c r="Q41" s="16"/>
      <c r="R41" s="2"/>
      <c r="S41" s="12"/>
      <c r="T41" s="17"/>
      <c r="U41" s="2"/>
      <c r="V41" s="18"/>
      <c r="W41" s="8"/>
      <c r="Y41" s="149" t="s">
        <v>87</v>
      </c>
      <c r="Z41" s="152">
        <f t="shared" si="0"/>
        <v>0</v>
      </c>
    </row>
    <row r="42" spans="2:26" ht="18" x14ac:dyDescent="0.35">
      <c r="B42" s="171">
        <v>160</v>
      </c>
      <c r="C42" s="172" t="s">
        <v>77</v>
      </c>
      <c r="D42" s="173">
        <v>2.4</v>
      </c>
      <c r="E42" s="174">
        <v>384</v>
      </c>
      <c r="F42" s="167">
        <v>0.2</v>
      </c>
      <c r="G42" s="168" t="s">
        <v>92</v>
      </c>
      <c r="H42" s="169">
        <v>75</v>
      </c>
      <c r="I42" s="170">
        <v>15</v>
      </c>
      <c r="J42" s="83"/>
      <c r="K42" s="83"/>
      <c r="L42" s="12"/>
      <c r="M42" s="13"/>
      <c r="N42" s="14"/>
      <c r="O42" s="11"/>
      <c r="P42" s="15"/>
      <c r="Q42" s="16"/>
      <c r="R42" s="2"/>
      <c r="S42" s="12"/>
      <c r="T42" s="17"/>
      <c r="U42" s="2"/>
      <c r="V42" s="18"/>
      <c r="W42" s="8"/>
      <c r="Y42" s="149" t="s">
        <v>46</v>
      </c>
      <c r="Z42" s="152">
        <f t="shared" si="0"/>
        <v>0</v>
      </c>
    </row>
    <row r="43" spans="2:26" ht="18" x14ac:dyDescent="0.35">
      <c r="B43" s="171">
        <v>40.5</v>
      </c>
      <c r="C43" s="172" t="s">
        <v>76</v>
      </c>
      <c r="D43" s="173">
        <v>2.6</v>
      </c>
      <c r="E43" s="174">
        <v>105.3</v>
      </c>
      <c r="F43" s="167">
        <v>1</v>
      </c>
      <c r="G43" s="168" t="s">
        <v>18</v>
      </c>
      <c r="H43" s="169">
        <v>13</v>
      </c>
      <c r="I43" s="170">
        <v>13</v>
      </c>
      <c r="J43" s="83"/>
      <c r="K43" s="83"/>
      <c r="L43" s="12"/>
      <c r="M43" s="13"/>
      <c r="N43" s="14"/>
      <c r="O43" s="11"/>
      <c r="P43" s="15"/>
      <c r="Q43" s="16"/>
      <c r="R43" s="2"/>
      <c r="S43" s="12"/>
      <c r="T43" s="17"/>
      <c r="U43" s="2"/>
      <c r="V43" s="18"/>
      <c r="W43" s="8"/>
      <c r="Y43" s="149" t="s">
        <v>47</v>
      </c>
      <c r="Z43" s="152">
        <f t="shared" si="0"/>
        <v>3.5</v>
      </c>
    </row>
    <row r="44" spans="2:26" ht="18" x14ac:dyDescent="0.35">
      <c r="B44" s="171">
        <v>2</v>
      </c>
      <c r="C44" s="172" t="s">
        <v>88</v>
      </c>
      <c r="D44" s="173">
        <v>1.2</v>
      </c>
      <c r="E44" s="174">
        <v>2.4</v>
      </c>
      <c r="F44" s="167">
        <v>0.5</v>
      </c>
      <c r="G44" s="168" t="s">
        <v>94</v>
      </c>
      <c r="H44" s="169">
        <v>13</v>
      </c>
      <c r="I44" s="170">
        <v>6.5</v>
      </c>
      <c r="J44" s="83"/>
      <c r="K44" s="83"/>
      <c r="L44" s="12"/>
      <c r="M44" s="13"/>
      <c r="N44" s="14"/>
      <c r="O44" s="11"/>
      <c r="P44" s="15"/>
      <c r="Q44" s="16"/>
      <c r="R44" s="2"/>
      <c r="S44" s="12"/>
      <c r="T44" s="17"/>
      <c r="U44" s="2"/>
      <c r="V44" s="18"/>
      <c r="W44" s="8"/>
      <c r="Y44" s="149" t="s">
        <v>48</v>
      </c>
      <c r="Z44" s="152">
        <f t="shared" si="0"/>
        <v>0</v>
      </c>
    </row>
    <row r="45" spans="2:26" ht="18" x14ac:dyDescent="0.35">
      <c r="B45" s="171">
        <v>1</v>
      </c>
      <c r="C45" s="172" t="s">
        <v>77</v>
      </c>
      <c r="D45" s="173">
        <v>2.4</v>
      </c>
      <c r="E45" s="174">
        <v>2.4</v>
      </c>
      <c r="F45" s="167">
        <v>0.5</v>
      </c>
      <c r="G45" s="168" t="s">
        <v>90</v>
      </c>
      <c r="H45" s="169">
        <v>90</v>
      </c>
      <c r="I45" s="170">
        <v>45</v>
      </c>
      <c r="J45" s="83"/>
      <c r="K45" s="83"/>
      <c r="L45" s="12"/>
      <c r="M45" s="13"/>
      <c r="N45" s="14"/>
      <c r="O45" s="11"/>
      <c r="P45" s="15"/>
      <c r="Q45" s="16"/>
      <c r="R45" s="2"/>
      <c r="S45" s="12"/>
      <c r="T45" s="17"/>
      <c r="U45" s="2"/>
      <c r="V45" s="18"/>
      <c r="W45" s="8"/>
      <c r="Y45" s="149" t="s">
        <v>83</v>
      </c>
      <c r="Z45" s="152">
        <f t="shared" si="0"/>
        <v>0</v>
      </c>
    </row>
    <row r="46" spans="2:26" ht="18" x14ac:dyDescent="0.35">
      <c r="B46" s="171">
        <v>37.5</v>
      </c>
      <c r="C46" s="172" t="s">
        <v>77</v>
      </c>
      <c r="D46" s="173">
        <v>2.4</v>
      </c>
      <c r="E46" s="174">
        <v>90</v>
      </c>
      <c r="F46" s="167">
        <v>1</v>
      </c>
      <c r="G46" s="168" t="s">
        <v>23</v>
      </c>
      <c r="H46" s="169">
        <v>55</v>
      </c>
      <c r="I46" s="170">
        <v>55</v>
      </c>
      <c r="J46" s="83"/>
      <c r="K46" s="83"/>
      <c r="L46" s="12"/>
      <c r="M46" s="13"/>
      <c r="N46" s="14"/>
      <c r="O46" s="11"/>
      <c r="P46" s="15"/>
      <c r="Q46" s="16"/>
      <c r="R46" s="2"/>
      <c r="S46" s="12"/>
      <c r="T46" s="17"/>
      <c r="U46" s="2"/>
      <c r="V46" s="18"/>
      <c r="W46" s="8"/>
      <c r="Y46" s="149" t="s">
        <v>96</v>
      </c>
      <c r="Z46" s="152">
        <f t="shared" si="0"/>
        <v>26.5</v>
      </c>
    </row>
    <row r="47" spans="2:26" ht="18" x14ac:dyDescent="0.35">
      <c r="B47" s="171">
        <v>89.5</v>
      </c>
      <c r="C47" s="172" t="s">
        <v>76</v>
      </c>
      <c r="D47" s="173">
        <v>2.6</v>
      </c>
      <c r="E47" s="174">
        <v>232.70000000000002</v>
      </c>
      <c r="F47" s="167">
        <v>3.5</v>
      </c>
      <c r="G47" s="168" t="s">
        <v>23</v>
      </c>
      <c r="H47" s="169">
        <v>55</v>
      </c>
      <c r="I47" s="170">
        <v>192.5</v>
      </c>
      <c r="J47" s="83"/>
      <c r="K47" s="83"/>
      <c r="L47" s="12"/>
      <c r="M47" s="13"/>
      <c r="N47" s="14"/>
      <c r="O47" s="11"/>
      <c r="P47" s="15"/>
      <c r="Q47" s="16"/>
      <c r="R47" s="2"/>
      <c r="S47" s="12"/>
      <c r="T47" s="17"/>
      <c r="U47" s="2"/>
      <c r="V47" s="18"/>
      <c r="W47" s="8"/>
      <c r="Y47" s="149" t="s">
        <v>73</v>
      </c>
      <c r="Z47" s="152">
        <f t="shared" si="0"/>
        <v>0</v>
      </c>
    </row>
    <row r="48" spans="2:26" ht="18" x14ac:dyDescent="0.35">
      <c r="B48" s="171">
        <v>3.5</v>
      </c>
      <c r="C48" s="172" t="s">
        <v>76</v>
      </c>
      <c r="D48" s="173">
        <v>2.6</v>
      </c>
      <c r="E48" s="174">
        <v>9.1</v>
      </c>
      <c r="F48" s="167">
        <v>0.5</v>
      </c>
      <c r="G48" s="168" t="s">
        <v>47</v>
      </c>
      <c r="H48" s="169">
        <v>13</v>
      </c>
      <c r="I48" s="170">
        <v>6.5</v>
      </c>
      <c r="J48" s="83"/>
      <c r="K48" s="83"/>
      <c r="L48" s="12"/>
      <c r="M48" s="13"/>
      <c r="N48" s="14"/>
      <c r="O48" s="11"/>
      <c r="P48" s="15"/>
      <c r="Q48" s="16"/>
      <c r="R48" s="2"/>
      <c r="S48" s="12"/>
      <c r="T48" s="17"/>
      <c r="U48" s="2"/>
      <c r="V48" s="18"/>
      <c r="W48" s="8"/>
      <c r="Y48" s="149" t="s">
        <v>74</v>
      </c>
      <c r="Z48" s="152">
        <f t="shared" si="0"/>
        <v>0</v>
      </c>
    </row>
    <row r="49" spans="2:26" ht="18" x14ac:dyDescent="0.35">
      <c r="B49" s="171">
        <v>4</v>
      </c>
      <c r="C49" s="172" t="s">
        <v>77</v>
      </c>
      <c r="D49" s="173">
        <v>2.4</v>
      </c>
      <c r="E49" s="174">
        <v>9.6</v>
      </c>
      <c r="F49" s="167">
        <v>0.2</v>
      </c>
      <c r="G49" s="168" t="s">
        <v>92</v>
      </c>
      <c r="H49" s="169">
        <v>75</v>
      </c>
      <c r="I49" s="170">
        <v>15</v>
      </c>
      <c r="J49" s="83"/>
      <c r="K49" s="83"/>
      <c r="L49" s="12"/>
      <c r="M49" s="13"/>
      <c r="N49" s="14"/>
      <c r="O49" s="11"/>
      <c r="P49" s="15"/>
      <c r="Q49" s="16"/>
      <c r="R49" s="2"/>
      <c r="S49" s="12"/>
      <c r="T49" s="17"/>
      <c r="U49" s="2"/>
      <c r="V49" s="18"/>
      <c r="W49" s="8"/>
      <c r="Y49" s="149" t="s">
        <v>70</v>
      </c>
      <c r="Z49" s="152">
        <f t="shared" si="0"/>
        <v>0</v>
      </c>
    </row>
    <row r="50" spans="2:26" ht="18" x14ac:dyDescent="0.35">
      <c r="B50" s="171"/>
      <c r="C50" s="172"/>
      <c r="D50" s="173"/>
      <c r="E50" s="174"/>
      <c r="F50" s="167">
        <v>0.2</v>
      </c>
      <c r="G50" s="168" t="s">
        <v>92</v>
      </c>
      <c r="H50" s="169">
        <v>75</v>
      </c>
      <c r="I50" s="170">
        <v>15</v>
      </c>
      <c r="J50" s="83"/>
      <c r="K50" s="83"/>
      <c r="L50" s="12"/>
      <c r="M50" s="13"/>
      <c r="N50" s="14"/>
      <c r="O50" s="11"/>
      <c r="P50" s="15"/>
      <c r="Q50" s="16"/>
      <c r="R50" s="2"/>
      <c r="S50" s="12"/>
      <c r="T50" s="17"/>
      <c r="U50" s="2"/>
      <c r="V50" s="18"/>
      <c r="W50" s="8"/>
      <c r="Y50" s="149" t="s">
        <v>64</v>
      </c>
      <c r="Z50" s="152">
        <f t="shared" si="0"/>
        <v>0</v>
      </c>
    </row>
    <row r="51" spans="2:26" ht="18" x14ac:dyDescent="0.35">
      <c r="B51" s="171"/>
      <c r="C51" s="172"/>
      <c r="D51" s="173"/>
      <c r="E51" s="174"/>
      <c r="F51" s="167">
        <v>5</v>
      </c>
      <c r="G51" s="168" t="s">
        <v>19</v>
      </c>
      <c r="H51" s="169">
        <v>2</v>
      </c>
      <c r="I51" s="170">
        <v>10</v>
      </c>
      <c r="J51" s="83"/>
      <c r="K51" s="83"/>
      <c r="L51" s="12"/>
      <c r="M51" s="13"/>
      <c r="N51" s="14"/>
      <c r="O51" s="11"/>
      <c r="P51" s="15"/>
      <c r="Q51" s="16"/>
      <c r="R51" s="2"/>
      <c r="S51" s="12"/>
      <c r="T51" s="17"/>
      <c r="U51" s="2"/>
      <c r="V51" s="18"/>
      <c r="W51" s="8"/>
      <c r="Y51" s="149" t="s">
        <v>65</v>
      </c>
      <c r="Z51" s="152">
        <f t="shared" si="0"/>
        <v>0</v>
      </c>
    </row>
    <row r="52" spans="2:26" ht="18" x14ac:dyDescent="0.35">
      <c r="B52" s="171"/>
      <c r="C52" s="172"/>
      <c r="D52" s="173"/>
      <c r="E52" s="174"/>
      <c r="F52" s="167">
        <v>0.2</v>
      </c>
      <c r="G52" s="168" t="s">
        <v>84</v>
      </c>
      <c r="H52" s="169">
        <v>5</v>
      </c>
      <c r="I52" s="170">
        <v>1</v>
      </c>
      <c r="J52" s="83"/>
      <c r="K52" s="83"/>
      <c r="L52" s="12"/>
      <c r="M52" s="13"/>
      <c r="N52" s="14"/>
      <c r="O52" s="11"/>
      <c r="P52" s="15"/>
      <c r="Q52" s="16"/>
      <c r="R52" s="2"/>
      <c r="S52" s="12"/>
      <c r="T52" s="17"/>
      <c r="U52" s="2"/>
      <c r="V52" s="18"/>
      <c r="W52" s="8"/>
      <c r="Y52" s="149" t="s">
        <v>66</v>
      </c>
      <c r="Z52" s="152">
        <f t="shared" si="0"/>
        <v>0</v>
      </c>
    </row>
    <row r="53" spans="2:26" ht="18" x14ac:dyDescent="0.35">
      <c r="B53" s="171"/>
      <c r="C53" s="172"/>
      <c r="D53" s="173"/>
      <c r="E53" s="174"/>
      <c r="F53" s="167">
        <v>1</v>
      </c>
      <c r="G53" s="168" t="s">
        <v>18</v>
      </c>
      <c r="H53" s="169">
        <v>13</v>
      </c>
      <c r="I53" s="170">
        <v>13</v>
      </c>
      <c r="J53" s="83"/>
      <c r="K53" s="83"/>
      <c r="L53" s="12"/>
      <c r="M53" s="13"/>
      <c r="N53" s="14"/>
      <c r="O53" s="11"/>
      <c r="P53" s="15"/>
      <c r="Q53" s="16"/>
      <c r="R53" s="2"/>
      <c r="S53" s="12"/>
      <c r="T53" s="17"/>
      <c r="U53" s="2"/>
      <c r="V53" s="18"/>
      <c r="W53" s="8"/>
      <c r="Y53" s="149" t="s">
        <v>100</v>
      </c>
      <c r="Z53" s="152">
        <f t="shared" si="0"/>
        <v>0</v>
      </c>
    </row>
    <row r="54" spans="2:26" ht="18" x14ac:dyDescent="0.35">
      <c r="B54" s="171"/>
      <c r="C54" s="172"/>
      <c r="D54" s="173"/>
      <c r="E54" s="174"/>
      <c r="F54" s="167">
        <v>0.5</v>
      </c>
      <c r="G54" s="168" t="s">
        <v>96</v>
      </c>
      <c r="H54" s="169">
        <v>12</v>
      </c>
      <c r="I54" s="170">
        <v>6</v>
      </c>
      <c r="J54" s="83"/>
      <c r="K54" s="83"/>
      <c r="L54" s="12"/>
      <c r="M54" s="13"/>
      <c r="N54" s="14"/>
      <c r="O54" s="11"/>
      <c r="P54" s="15"/>
      <c r="Q54" s="16"/>
      <c r="R54" s="2"/>
      <c r="S54" s="12"/>
      <c r="T54" s="17"/>
      <c r="U54" s="2"/>
      <c r="V54" s="18"/>
      <c r="W54" s="8"/>
      <c r="Y54" s="149" t="s">
        <v>101</v>
      </c>
      <c r="Z54" s="152">
        <f t="shared" si="0"/>
        <v>0</v>
      </c>
    </row>
    <row r="55" spans="2:26" ht="18" x14ac:dyDescent="0.35">
      <c r="B55" s="171"/>
      <c r="C55" s="172"/>
      <c r="D55" s="173"/>
      <c r="E55" s="174"/>
      <c r="F55" s="167">
        <v>0.5</v>
      </c>
      <c r="G55" s="168" t="s">
        <v>94</v>
      </c>
      <c r="H55" s="169">
        <v>13</v>
      </c>
      <c r="I55" s="170">
        <v>6.5</v>
      </c>
      <c r="J55" s="83"/>
      <c r="K55" s="83"/>
      <c r="L55" s="12"/>
      <c r="M55" s="13"/>
      <c r="N55" s="14"/>
      <c r="O55" s="11"/>
      <c r="P55" s="15"/>
      <c r="Q55" s="16"/>
      <c r="R55" s="2"/>
      <c r="S55" s="12"/>
      <c r="T55" s="17"/>
      <c r="U55" s="2"/>
      <c r="V55" s="18"/>
      <c r="W55" s="8"/>
      <c r="Y55" s="149" t="s">
        <v>102</v>
      </c>
      <c r="Z55" s="152">
        <f t="shared" si="0"/>
        <v>0</v>
      </c>
    </row>
    <row r="56" spans="2:26" ht="18" x14ac:dyDescent="0.35">
      <c r="B56" s="171"/>
      <c r="C56" s="172"/>
      <c r="D56" s="173"/>
      <c r="E56" s="174"/>
      <c r="F56" s="167">
        <v>1</v>
      </c>
      <c r="G56" s="168" t="s">
        <v>23</v>
      </c>
      <c r="H56" s="169">
        <v>55</v>
      </c>
      <c r="I56" s="170">
        <v>55</v>
      </c>
      <c r="J56" s="83"/>
      <c r="K56" s="83"/>
      <c r="L56" s="12"/>
      <c r="M56" s="13"/>
      <c r="N56" s="14"/>
      <c r="O56" s="11"/>
      <c r="P56" s="15"/>
      <c r="Q56" s="16"/>
      <c r="R56" s="2"/>
      <c r="S56" s="12"/>
      <c r="T56" s="17"/>
      <c r="U56" s="2"/>
      <c r="V56" s="18"/>
      <c r="W56" s="8"/>
      <c r="Y56" s="149" t="s">
        <v>26</v>
      </c>
      <c r="Z56" s="152">
        <f t="shared" si="0"/>
        <v>0</v>
      </c>
    </row>
    <row r="57" spans="2:26" ht="18" x14ac:dyDescent="0.35">
      <c r="B57" s="171"/>
      <c r="C57" s="172"/>
      <c r="D57" s="173"/>
      <c r="E57" s="174"/>
      <c r="F57" s="167">
        <v>2</v>
      </c>
      <c r="G57" s="168" t="s">
        <v>94</v>
      </c>
      <c r="H57" s="169">
        <v>13</v>
      </c>
      <c r="I57" s="170">
        <v>26</v>
      </c>
      <c r="J57" s="83"/>
      <c r="K57" s="83"/>
      <c r="L57" s="12"/>
      <c r="M57" s="13"/>
      <c r="N57" s="14"/>
      <c r="O57" s="11"/>
      <c r="P57" s="15"/>
      <c r="Q57" s="16"/>
      <c r="R57" s="2"/>
      <c r="S57" s="12"/>
      <c r="T57" s="17"/>
      <c r="U57" s="2"/>
      <c r="V57" s="18"/>
      <c r="W57" s="8"/>
      <c r="Y57" s="149" t="s">
        <v>27</v>
      </c>
      <c r="Z57" s="152">
        <f t="shared" si="0"/>
        <v>0</v>
      </c>
    </row>
    <row r="58" spans="2:26" ht="18" x14ac:dyDescent="0.35">
      <c r="B58" s="171"/>
      <c r="C58" s="172"/>
      <c r="D58" s="173"/>
      <c r="E58" s="174"/>
      <c r="F58" s="167">
        <v>2</v>
      </c>
      <c r="G58" s="168" t="s">
        <v>90</v>
      </c>
      <c r="H58" s="169">
        <v>90</v>
      </c>
      <c r="I58" s="170">
        <v>180</v>
      </c>
      <c r="J58" s="83"/>
      <c r="K58" s="83"/>
      <c r="L58" s="12"/>
      <c r="M58" s="13"/>
      <c r="N58" s="14"/>
      <c r="O58" s="11"/>
      <c r="P58" s="15"/>
      <c r="Q58" s="16"/>
      <c r="R58" s="2"/>
      <c r="S58" s="12"/>
      <c r="T58" s="17"/>
      <c r="U58" s="2"/>
      <c r="V58" s="18"/>
      <c r="W58" s="8"/>
      <c r="Y58" s="149" t="s">
        <v>28</v>
      </c>
      <c r="Z58" s="152">
        <f t="shared" si="0"/>
        <v>0</v>
      </c>
    </row>
    <row r="59" spans="2:26" ht="18" x14ac:dyDescent="0.35">
      <c r="B59" s="171"/>
      <c r="C59" s="172"/>
      <c r="D59" s="173"/>
      <c r="E59" s="174"/>
      <c r="F59" s="167">
        <v>2.2000000000000002</v>
      </c>
      <c r="G59" s="168" t="s">
        <v>23</v>
      </c>
      <c r="H59" s="169">
        <v>55</v>
      </c>
      <c r="I59" s="170">
        <v>121.00000000000001</v>
      </c>
      <c r="J59" s="83"/>
      <c r="K59" s="83"/>
      <c r="L59" s="12"/>
      <c r="M59" s="13"/>
      <c r="N59" s="14"/>
      <c r="O59" s="11"/>
      <c r="P59" s="15"/>
      <c r="Q59" s="16"/>
      <c r="R59" s="2"/>
      <c r="S59" s="12"/>
      <c r="T59" s="17"/>
      <c r="U59" s="2"/>
      <c r="V59" s="18"/>
      <c r="W59" s="8"/>
      <c r="Y59" s="149" t="s">
        <v>29</v>
      </c>
      <c r="Z59" s="152">
        <f t="shared" si="0"/>
        <v>0</v>
      </c>
    </row>
    <row r="60" spans="2:26" ht="18" x14ac:dyDescent="0.35">
      <c r="B60" s="171"/>
      <c r="C60" s="172"/>
      <c r="D60" s="173"/>
      <c r="E60" s="174"/>
      <c r="F60" s="167">
        <v>1</v>
      </c>
      <c r="G60" s="168" t="s">
        <v>90</v>
      </c>
      <c r="H60" s="169">
        <v>90</v>
      </c>
      <c r="I60" s="170">
        <v>90</v>
      </c>
      <c r="J60" s="83"/>
      <c r="K60" s="83"/>
      <c r="L60" s="12"/>
      <c r="M60" s="13"/>
      <c r="N60" s="14"/>
      <c r="O60" s="11"/>
      <c r="P60" s="15"/>
      <c r="Q60" s="16"/>
      <c r="R60" s="2"/>
      <c r="S60" s="12"/>
      <c r="T60" s="17"/>
      <c r="U60" s="2"/>
      <c r="V60" s="18"/>
      <c r="W60" s="8"/>
      <c r="Y60" s="149" t="s">
        <v>34</v>
      </c>
      <c r="Z60" s="152">
        <f t="shared" si="0"/>
        <v>0</v>
      </c>
    </row>
    <row r="61" spans="2:26" ht="18" x14ac:dyDescent="0.35">
      <c r="B61" s="171"/>
      <c r="C61" s="172"/>
      <c r="D61" s="173"/>
      <c r="E61" s="174"/>
      <c r="F61" s="167">
        <v>1.5</v>
      </c>
      <c r="G61" s="168" t="s">
        <v>90</v>
      </c>
      <c r="H61" s="169">
        <v>90</v>
      </c>
      <c r="I61" s="170">
        <v>135</v>
      </c>
      <c r="J61" s="83"/>
      <c r="K61" s="83"/>
      <c r="L61" s="12"/>
      <c r="M61" s="13"/>
      <c r="N61" s="14"/>
      <c r="O61" s="11"/>
      <c r="P61" s="15"/>
      <c r="Q61" s="16"/>
      <c r="R61" s="2"/>
      <c r="S61" s="12"/>
      <c r="T61" s="17"/>
      <c r="U61" s="2"/>
      <c r="V61" s="18"/>
      <c r="W61" s="8"/>
      <c r="Y61" s="149" t="s">
        <v>35</v>
      </c>
      <c r="Z61" s="152">
        <f t="shared" si="0"/>
        <v>0</v>
      </c>
    </row>
    <row r="62" spans="2:26" ht="18" x14ac:dyDescent="0.35">
      <c r="B62" s="171"/>
      <c r="C62" s="172"/>
      <c r="D62" s="173"/>
      <c r="E62" s="174"/>
      <c r="F62" s="167">
        <v>1</v>
      </c>
      <c r="G62" s="168" t="s">
        <v>18</v>
      </c>
      <c r="H62" s="169">
        <v>13</v>
      </c>
      <c r="I62" s="170">
        <v>13</v>
      </c>
      <c r="J62" s="83"/>
      <c r="K62" s="83"/>
      <c r="L62" s="12"/>
      <c r="M62" s="13"/>
      <c r="N62" s="14"/>
      <c r="O62" s="11"/>
      <c r="P62" s="15"/>
      <c r="Q62" s="16"/>
      <c r="R62" s="2"/>
      <c r="S62" s="12"/>
      <c r="T62" s="17"/>
      <c r="U62" s="2"/>
      <c r="V62" s="18"/>
      <c r="W62" s="8"/>
      <c r="Y62" s="149" t="s">
        <v>36</v>
      </c>
      <c r="Z62" s="152">
        <f t="shared" si="0"/>
        <v>0</v>
      </c>
    </row>
    <row r="63" spans="2:26" ht="18" x14ac:dyDescent="0.35">
      <c r="B63" s="171"/>
      <c r="C63" s="172"/>
      <c r="D63" s="173"/>
      <c r="E63" s="174"/>
      <c r="F63" s="167">
        <v>2</v>
      </c>
      <c r="G63" s="168" t="s">
        <v>23</v>
      </c>
      <c r="H63" s="169">
        <v>55</v>
      </c>
      <c r="I63" s="170">
        <v>110</v>
      </c>
      <c r="J63" s="83"/>
      <c r="K63" s="83"/>
      <c r="L63" s="12"/>
      <c r="M63" s="13"/>
      <c r="N63" s="14"/>
      <c r="O63" s="11"/>
      <c r="P63" s="15"/>
      <c r="Q63" s="16"/>
      <c r="R63" s="2"/>
      <c r="S63" s="12"/>
      <c r="T63" s="17"/>
      <c r="U63" s="2"/>
      <c r="V63" s="18"/>
      <c r="W63" s="8"/>
      <c r="Y63" s="149" t="s">
        <v>37</v>
      </c>
      <c r="Z63" s="152">
        <f t="shared" si="0"/>
        <v>0</v>
      </c>
    </row>
    <row r="64" spans="2:26" ht="18" x14ac:dyDescent="0.35">
      <c r="B64" s="171"/>
      <c r="C64" s="172"/>
      <c r="D64" s="173"/>
      <c r="E64" s="174"/>
      <c r="F64" s="167">
        <v>2</v>
      </c>
      <c r="G64" s="168" t="s">
        <v>94</v>
      </c>
      <c r="H64" s="169">
        <v>13</v>
      </c>
      <c r="I64" s="170">
        <v>26</v>
      </c>
      <c r="J64" s="83"/>
      <c r="K64" s="83"/>
      <c r="L64" s="12"/>
      <c r="M64" s="13"/>
      <c r="N64" s="14"/>
      <c r="O64" s="11"/>
      <c r="P64" s="15"/>
      <c r="Q64" s="16"/>
      <c r="R64" s="2"/>
      <c r="S64" s="12"/>
      <c r="T64" s="17"/>
      <c r="U64" s="2"/>
      <c r="V64" s="18"/>
      <c r="W64" s="8"/>
      <c r="Y64" s="149" t="s">
        <v>38</v>
      </c>
      <c r="Z64" s="152">
        <f t="shared" si="0"/>
        <v>0</v>
      </c>
    </row>
    <row r="65" spans="2:26" ht="18" x14ac:dyDescent="0.35">
      <c r="B65" s="171"/>
      <c r="C65" s="172"/>
      <c r="D65" s="173"/>
      <c r="E65" s="174"/>
      <c r="F65" s="175">
        <v>1</v>
      </c>
      <c r="G65" s="176" t="s">
        <v>90</v>
      </c>
      <c r="H65" s="177">
        <v>90</v>
      </c>
      <c r="I65" s="178">
        <v>90</v>
      </c>
      <c r="J65" s="83"/>
      <c r="K65" s="83"/>
      <c r="L65" s="12"/>
      <c r="M65" s="13"/>
      <c r="N65" s="14"/>
      <c r="O65" s="11"/>
      <c r="P65" s="15"/>
      <c r="Q65" s="16"/>
      <c r="R65" s="2"/>
      <c r="S65" s="12"/>
      <c r="T65" s="17"/>
      <c r="U65" s="2"/>
      <c r="V65" s="18"/>
      <c r="W65" s="8"/>
      <c r="Y65" s="149" t="s">
        <v>40</v>
      </c>
      <c r="Z65" s="152">
        <f t="shared" si="0"/>
        <v>0</v>
      </c>
    </row>
    <row r="66" spans="2:26" ht="18" x14ac:dyDescent="0.35">
      <c r="B66" s="171"/>
      <c r="C66" s="172"/>
      <c r="D66" s="173"/>
      <c r="E66" s="174"/>
      <c r="F66" s="167">
        <v>2.5</v>
      </c>
      <c r="G66" s="168" t="s">
        <v>18</v>
      </c>
      <c r="H66" s="169">
        <v>13</v>
      </c>
      <c r="I66" s="170">
        <v>32.5</v>
      </c>
      <c r="J66" s="83"/>
      <c r="K66" s="83"/>
      <c r="L66" s="12"/>
      <c r="M66" s="13"/>
      <c r="N66" s="14"/>
      <c r="O66" s="11"/>
      <c r="P66" s="15"/>
      <c r="Q66" s="16"/>
      <c r="R66" s="2"/>
      <c r="S66" s="12"/>
      <c r="T66" s="17"/>
      <c r="U66" s="2"/>
      <c r="V66" s="18"/>
      <c r="W66" s="8"/>
      <c r="Y66" s="149" t="s">
        <v>41</v>
      </c>
      <c r="Z66" s="152">
        <f t="shared" si="0"/>
        <v>0</v>
      </c>
    </row>
    <row r="67" spans="2:26" ht="18" x14ac:dyDescent="0.35">
      <c r="B67" s="171"/>
      <c r="C67" s="172"/>
      <c r="D67" s="173"/>
      <c r="E67" s="174"/>
      <c r="F67" s="179">
        <v>2</v>
      </c>
      <c r="G67" s="180" t="s">
        <v>94</v>
      </c>
      <c r="H67" s="181">
        <v>13</v>
      </c>
      <c r="I67" s="182">
        <v>26</v>
      </c>
      <c r="J67" s="83"/>
      <c r="K67" s="83"/>
      <c r="L67" s="12"/>
      <c r="M67" s="13"/>
      <c r="N67" s="14"/>
      <c r="O67" s="11"/>
      <c r="P67" s="15"/>
      <c r="Q67" s="16"/>
      <c r="R67" s="2"/>
      <c r="S67" s="12"/>
      <c r="T67" s="17"/>
      <c r="U67" s="2"/>
      <c r="V67" s="18"/>
      <c r="W67" s="8"/>
      <c r="Y67" s="149" t="s">
        <v>69</v>
      </c>
      <c r="Z67" s="152">
        <f t="shared" si="0"/>
        <v>0</v>
      </c>
    </row>
    <row r="68" spans="2:26" ht="18" x14ac:dyDescent="0.35">
      <c r="B68" s="171"/>
      <c r="C68" s="172"/>
      <c r="D68" s="173"/>
      <c r="E68" s="174"/>
      <c r="F68" s="167">
        <v>3</v>
      </c>
      <c r="G68" s="168" t="s">
        <v>51</v>
      </c>
      <c r="H68" s="169">
        <v>1.2</v>
      </c>
      <c r="I68" s="182">
        <v>3.5999999999999996</v>
      </c>
      <c r="J68" s="83"/>
      <c r="K68" s="83"/>
      <c r="L68" s="12"/>
      <c r="M68" s="13"/>
      <c r="N68" s="14"/>
      <c r="O68" s="11"/>
      <c r="P68" s="15"/>
      <c r="Q68" s="16"/>
      <c r="R68" s="2"/>
      <c r="S68" s="12"/>
      <c r="T68" s="17"/>
      <c r="U68" s="2"/>
      <c r="V68" s="18"/>
      <c r="W68" s="8"/>
      <c r="Y68" s="149" t="s">
        <v>108</v>
      </c>
      <c r="Z68" s="152">
        <f t="shared" si="0"/>
        <v>0</v>
      </c>
    </row>
    <row r="69" spans="2:26" ht="18" x14ac:dyDescent="0.35">
      <c r="B69" s="171"/>
      <c r="C69" s="172"/>
      <c r="D69" s="173"/>
      <c r="E69" s="174"/>
      <c r="F69" s="167">
        <v>25</v>
      </c>
      <c r="G69" s="168" t="s">
        <v>96</v>
      </c>
      <c r="H69" s="169">
        <v>12</v>
      </c>
      <c r="I69" s="182">
        <v>300</v>
      </c>
      <c r="J69" s="83"/>
      <c r="K69" s="83"/>
      <c r="L69" s="12"/>
      <c r="M69" s="13"/>
      <c r="N69" s="14"/>
      <c r="O69" s="11"/>
      <c r="P69" s="15"/>
      <c r="Q69" s="16"/>
      <c r="R69" s="2"/>
      <c r="S69" s="12"/>
      <c r="T69" s="17"/>
      <c r="U69" s="2"/>
      <c r="V69" s="18"/>
      <c r="W69" s="8"/>
      <c r="Y69" s="149" t="s">
        <v>44</v>
      </c>
      <c r="Z69" s="152">
        <f t="shared" si="0"/>
        <v>0</v>
      </c>
    </row>
    <row r="70" spans="2:26" ht="18" x14ac:dyDescent="0.35">
      <c r="B70" s="171"/>
      <c r="C70" s="172"/>
      <c r="D70" s="173"/>
      <c r="E70" s="174"/>
      <c r="F70" s="167"/>
      <c r="G70" s="168"/>
      <c r="H70" s="169"/>
      <c r="I70" s="182"/>
      <c r="J70" s="83"/>
      <c r="K70" s="83"/>
      <c r="L70" s="12"/>
      <c r="M70" s="13"/>
      <c r="N70" s="14"/>
      <c r="O70" s="11"/>
      <c r="P70" s="15"/>
      <c r="Q70" s="16"/>
      <c r="R70" s="2"/>
      <c r="S70" s="12"/>
      <c r="T70" s="17"/>
      <c r="U70" s="2"/>
      <c r="V70" s="18"/>
      <c r="W70" s="8"/>
      <c r="Y70" s="149" t="s">
        <v>45</v>
      </c>
      <c r="Z70" s="152">
        <f t="shared" si="0"/>
        <v>0</v>
      </c>
    </row>
    <row r="71" spans="2:26" ht="18" x14ac:dyDescent="0.35">
      <c r="B71" s="183"/>
      <c r="C71" s="184"/>
      <c r="D71" s="185"/>
      <c r="E71" s="186"/>
      <c r="F71" s="167"/>
      <c r="G71" s="168"/>
      <c r="H71" s="169"/>
      <c r="I71" s="182"/>
      <c r="J71" s="83"/>
      <c r="K71" s="83"/>
      <c r="L71" s="12"/>
      <c r="M71" s="13"/>
      <c r="N71" s="14"/>
      <c r="O71" s="11"/>
      <c r="P71" s="15"/>
      <c r="Q71" s="16"/>
      <c r="R71" s="2"/>
      <c r="S71" s="12"/>
      <c r="T71" s="17"/>
      <c r="U71" s="2"/>
      <c r="V71" s="18"/>
      <c r="W71" s="8"/>
      <c r="Y71" s="149" t="s">
        <v>49</v>
      </c>
      <c r="Z71" s="152">
        <f t="shared" si="0"/>
        <v>0</v>
      </c>
    </row>
    <row r="72" spans="2:26" ht="18" x14ac:dyDescent="0.35">
      <c r="B72" s="171"/>
      <c r="C72" s="172"/>
      <c r="D72" s="173"/>
      <c r="E72" s="174"/>
      <c r="F72" s="167"/>
      <c r="G72" s="168"/>
      <c r="H72" s="169"/>
      <c r="I72" s="182"/>
      <c r="J72" s="83"/>
      <c r="K72" s="83"/>
      <c r="L72" s="12"/>
      <c r="M72" s="13"/>
      <c r="N72" s="14"/>
      <c r="O72" s="11"/>
      <c r="P72" s="15"/>
      <c r="Q72" s="16"/>
      <c r="R72" s="2"/>
      <c r="S72" s="12"/>
      <c r="T72" s="17"/>
      <c r="U72" s="2"/>
      <c r="V72" s="18"/>
      <c r="W72" s="8"/>
      <c r="Y72" s="149" t="s">
        <v>50</v>
      </c>
      <c r="Z72" s="152">
        <f t="shared" si="0"/>
        <v>0</v>
      </c>
    </row>
    <row r="73" spans="2:26" ht="18" x14ac:dyDescent="0.35">
      <c r="B73" s="110"/>
      <c r="C73" s="111"/>
      <c r="D73" s="112"/>
      <c r="E73" s="113"/>
      <c r="F73" s="167"/>
      <c r="G73" s="168"/>
      <c r="H73" s="169"/>
      <c r="I73" s="182"/>
      <c r="J73" s="83"/>
      <c r="K73" s="83"/>
      <c r="L73" s="20"/>
      <c r="M73" s="21"/>
      <c r="N73" s="22"/>
      <c r="O73" s="19"/>
      <c r="P73" s="23"/>
      <c r="Q73" s="24"/>
      <c r="R73" s="2"/>
      <c r="S73" s="20"/>
      <c r="T73" s="25"/>
      <c r="U73" s="2"/>
      <c r="V73" s="26"/>
      <c r="W73" s="27"/>
      <c r="Y73" s="149" t="s">
        <v>51</v>
      </c>
      <c r="Z73" s="152">
        <f t="shared" si="0"/>
        <v>3</v>
      </c>
    </row>
    <row r="74" spans="2:26" ht="18" x14ac:dyDescent="0.35">
      <c r="B74" s="95"/>
      <c r="C74" s="96"/>
      <c r="D74" s="97"/>
      <c r="E74" s="113"/>
      <c r="F74" s="90"/>
      <c r="G74" s="91"/>
      <c r="H74" s="92"/>
      <c r="I74" s="105"/>
      <c r="J74" s="83"/>
      <c r="K74" s="83"/>
      <c r="L74" s="12"/>
      <c r="M74" s="28"/>
      <c r="N74" s="14"/>
      <c r="O74" s="11"/>
      <c r="P74" s="11"/>
      <c r="Q74" s="16"/>
      <c r="R74" s="2"/>
      <c r="S74" s="12"/>
      <c r="T74" s="17"/>
      <c r="U74" s="2"/>
      <c r="V74" s="18"/>
      <c r="W74" s="16"/>
      <c r="Y74" s="149" t="s">
        <v>52</v>
      </c>
      <c r="Z74" s="152">
        <f t="shared" si="0"/>
        <v>0</v>
      </c>
    </row>
    <row r="75" spans="2:26" ht="18" x14ac:dyDescent="0.35">
      <c r="B75" s="95"/>
      <c r="C75" s="96"/>
      <c r="D75" s="97"/>
      <c r="E75" s="113"/>
      <c r="F75" s="90"/>
      <c r="G75" s="91"/>
      <c r="H75" s="92"/>
      <c r="I75" s="105"/>
      <c r="J75" s="83"/>
      <c r="K75" s="83"/>
      <c r="L75" s="12"/>
      <c r="M75" s="28"/>
      <c r="N75" s="14"/>
      <c r="O75" s="11"/>
      <c r="P75" s="11"/>
      <c r="Q75" s="16"/>
      <c r="R75" s="2"/>
      <c r="S75" s="12"/>
      <c r="T75" s="17"/>
      <c r="U75" s="2"/>
      <c r="V75" s="18"/>
      <c r="W75" s="16"/>
      <c r="Y75" s="149" t="s">
        <v>72</v>
      </c>
      <c r="Z75" s="152">
        <f t="shared" si="0"/>
        <v>0</v>
      </c>
    </row>
    <row r="76" spans="2:26" ht="18" x14ac:dyDescent="0.35">
      <c r="B76" s="95"/>
      <c r="C76" s="96"/>
      <c r="D76" s="97"/>
      <c r="E76" s="113"/>
      <c r="F76" s="90"/>
      <c r="G76" s="91"/>
      <c r="H76" s="92"/>
      <c r="I76" s="105"/>
      <c r="J76" s="83"/>
      <c r="K76" s="83"/>
      <c r="L76" s="12"/>
      <c r="M76" s="28"/>
      <c r="N76" s="14"/>
      <c r="O76" s="11"/>
      <c r="P76" s="11"/>
      <c r="Q76" s="16"/>
      <c r="R76" s="2"/>
      <c r="S76" s="12"/>
      <c r="T76" s="17"/>
      <c r="U76" s="2"/>
      <c r="V76" s="18"/>
      <c r="W76" s="16"/>
      <c r="Y76" s="149" t="s">
        <v>71</v>
      </c>
      <c r="Z76" s="152">
        <f t="shared" si="0"/>
        <v>0</v>
      </c>
    </row>
    <row r="77" spans="2:26" ht="18" x14ac:dyDescent="0.35">
      <c r="B77" s="95"/>
      <c r="C77" s="96"/>
      <c r="D77" s="97"/>
      <c r="E77" s="113"/>
      <c r="F77" s="90"/>
      <c r="G77" s="91"/>
      <c r="H77" s="92"/>
      <c r="I77" s="105"/>
      <c r="J77" s="83"/>
      <c r="K77" s="83"/>
      <c r="L77" s="12"/>
      <c r="M77" s="28"/>
      <c r="N77" s="14"/>
      <c r="O77" s="11"/>
      <c r="P77" s="11"/>
      <c r="Q77" s="16"/>
      <c r="R77" s="2"/>
      <c r="S77" s="12"/>
      <c r="T77" s="17"/>
      <c r="U77" s="2"/>
      <c r="V77" s="18"/>
      <c r="W77" s="16"/>
      <c r="Y77" s="149" t="s">
        <v>53</v>
      </c>
      <c r="Z77" s="152">
        <f t="shared" ref="Z77:Z79" si="1">SUMIF($G$9:$G$129, Y77, $F$9:$F$129)</f>
        <v>0</v>
      </c>
    </row>
    <row r="78" spans="2:26" ht="18" x14ac:dyDescent="0.35">
      <c r="B78" s="95"/>
      <c r="C78" s="96"/>
      <c r="D78" s="97"/>
      <c r="E78" s="113"/>
      <c r="F78" s="90"/>
      <c r="G78" s="91"/>
      <c r="H78" s="92"/>
      <c r="I78" s="105"/>
      <c r="J78" s="83"/>
      <c r="K78" s="83"/>
      <c r="L78" s="12"/>
      <c r="M78" s="28"/>
      <c r="N78" s="14"/>
      <c r="O78" s="11"/>
      <c r="P78" s="11"/>
      <c r="Q78" s="16"/>
      <c r="R78" s="2"/>
      <c r="S78" s="12"/>
      <c r="T78" s="17"/>
      <c r="U78" s="2"/>
      <c r="V78" s="18"/>
      <c r="W78" s="16"/>
      <c r="Y78" s="149" t="s">
        <v>54</v>
      </c>
      <c r="Z78" s="152">
        <f t="shared" si="1"/>
        <v>0</v>
      </c>
    </row>
    <row r="79" spans="2:26" ht="18.600000000000001" thickBot="1" x14ac:dyDescent="0.4">
      <c r="B79" s="95"/>
      <c r="C79" s="96"/>
      <c r="D79" s="97"/>
      <c r="E79" s="113"/>
      <c r="F79" s="90"/>
      <c r="G79" s="91"/>
      <c r="H79" s="92"/>
      <c r="I79" s="105"/>
      <c r="J79" s="83"/>
      <c r="K79" s="83"/>
      <c r="L79" s="12"/>
      <c r="M79" s="28"/>
      <c r="N79" s="14"/>
      <c r="O79" s="11"/>
      <c r="P79" s="11"/>
      <c r="Q79" s="16"/>
      <c r="R79" s="2"/>
      <c r="S79" s="12"/>
      <c r="T79" s="17"/>
      <c r="U79" s="2"/>
      <c r="V79" s="18"/>
      <c r="W79" s="16"/>
      <c r="Y79" s="150" t="s">
        <v>55</v>
      </c>
      <c r="Z79" s="153">
        <f t="shared" si="1"/>
        <v>0</v>
      </c>
    </row>
    <row r="80" spans="2:26" ht="18" x14ac:dyDescent="0.35">
      <c r="B80" s="95"/>
      <c r="C80" s="96"/>
      <c r="D80" s="97"/>
      <c r="E80" s="113"/>
      <c r="F80" s="90"/>
      <c r="G80" s="91"/>
      <c r="H80" s="92"/>
      <c r="I80" s="105"/>
      <c r="J80" s="83"/>
      <c r="K80" s="83"/>
      <c r="L80" s="12"/>
      <c r="M80" s="28"/>
      <c r="N80" s="14"/>
      <c r="O80" s="11"/>
      <c r="P80" s="11"/>
      <c r="Q80" s="16"/>
      <c r="R80" s="2"/>
      <c r="S80" s="12"/>
      <c r="T80" s="17"/>
      <c r="U80" s="2"/>
      <c r="V80" s="18"/>
      <c r="W80" s="16"/>
    </row>
    <row r="81" spans="2:23" ht="18" x14ac:dyDescent="0.35">
      <c r="B81" s="95"/>
      <c r="C81" s="96"/>
      <c r="D81" s="97"/>
      <c r="E81" s="113"/>
      <c r="F81" s="90"/>
      <c r="G81" s="91"/>
      <c r="H81" s="92"/>
      <c r="I81" s="105"/>
      <c r="J81" s="83"/>
      <c r="K81" s="83"/>
      <c r="L81" s="12"/>
      <c r="M81" s="28"/>
      <c r="N81" s="14"/>
      <c r="O81" s="11"/>
      <c r="P81" s="11"/>
      <c r="Q81" s="16"/>
      <c r="R81" s="2"/>
      <c r="S81" s="12"/>
      <c r="T81" s="17"/>
      <c r="U81" s="2"/>
      <c r="V81" s="18"/>
      <c r="W81" s="16"/>
    </row>
    <row r="82" spans="2:23" ht="18" x14ac:dyDescent="0.35">
      <c r="B82" s="95"/>
      <c r="C82" s="96"/>
      <c r="D82" s="97"/>
      <c r="E82" s="113"/>
      <c r="F82" s="90"/>
      <c r="G82" s="91"/>
      <c r="H82" s="92"/>
      <c r="I82" s="105"/>
      <c r="J82" s="83"/>
      <c r="K82" s="83"/>
      <c r="L82" s="12"/>
      <c r="M82" s="28"/>
      <c r="N82" s="14"/>
      <c r="O82" s="11"/>
      <c r="P82" s="11"/>
      <c r="Q82" s="16"/>
      <c r="R82" s="2"/>
      <c r="S82" s="12"/>
      <c r="T82" s="17"/>
      <c r="U82" s="2"/>
      <c r="V82" s="18"/>
      <c r="W82" s="16"/>
    </row>
    <row r="83" spans="2:23" ht="18" x14ac:dyDescent="0.35">
      <c r="B83" s="95"/>
      <c r="C83" s="96"/>
      <c r="D83" s="97"/>
      <c r="E83" s="113"/>
      <c r="F83" s="90"/>
      <c r="G83" s="91"/>
      <c r="H83" s="92"/>
      <c r="I83" s="105"/>
      <c r="J83" s="83"/>
      <c r="K83" s="83"/>
      <c r="L83" s="12"/>
      <c r="M83" s="28"/>
      <c r="N83" s="14"/>
      <c r="O83" s="11"/>
      <c r="P83" s="11"/>
      <c r="Q83" s="16"/>
      <c r="R83" s="2"/>
      <c r="S83" s="12"/>
      <c r="T83" s="17"/>
      <c r="U83" s="2"/>
      <c r="V83" s="18"/>
      <c r="W83" s="16"/>
    </row>
    <row r="84" spans="2:23" ht="18" x14ac:dyDescent="0.35">
      <c r="B84" s="95"/>
      <c r="C84" s="96"/>
      <c r="D84" s="97"/>
      <c r="E84" s="113"/>
      <c r="F84" s="90"/>
      <c r="G84" s="91"/>
      <c r="H84" s="92"/>
      <c r="I84" s="105"/>
      <c r="J84" s="83"/>
      <c r="K84" s="83"/>
      <c r="L84" s="12"/>
      <c r="M84" s="28"/>
      <c r="N84" s="14"/>
      <c r="O84" s="11"/>
      <c r="P84" s="11"/>
      <c r="Q84" s="16"/>
      <c r="R84" s="2"/>
      <c r="S84" s="12"/>
      <c r="T84" s="17"/>
      <c r="U84" s="2"/>
      <c r="V84" s="18"/>
      <c r="W84" s="16"/>
    </row>
    <row r="85" spans="2:23" ht="18" x14ac:dyDescent="0.35">
      <c r="B85" s="95"/>
      <c r="C85" s="96"/>
      <c r="D85" s="97"/>
      <c r="E85" s="113"/>
      <c r="F85" s="90"/>
      <c r="G85" s="91"/>
      <c r="H85" s="92"/>
      <c r="I85" s="105"/>
      <c r="J85" s="83"/>
      <c r="K85" s="83"/>
      <c r="L85" s="12"/>
      <c r="M85" s="28"/>
      <c r="N85" s="14"/>
      <c r="O85" s="11"/>
      <c r="P85" s="11"/>
      <c r="Q85" s="16"/>
      <c r="R85" s="2"/>
      <c r="S85" s="12"/>
      <c r="T85" s="17"/>
      <c r="U85" s="2"/>
      <c r="V85" s="18"/>
      <c r="W85" s="16"/>
    </row>
    <row r="86" spans="2:23" ht="18" x14ac:dyDescent="0.35">
      <c r="B86" s="95"/>
      <c r="C86" s="96"/>
      <c r="D86" s="97"/>
      <c r="E86" s="113"/>
      <c r="F86" s="90"/>
      <c r="G86" s="91"/>
      <c r="H86" s="92"/>
      <c r="I86" s="105"/>
      <c r="J86" s="83"/>
      <c r="K86" s="83"/>
      <c r="L86" s="12"/>
      <c r="M86" s="28"/>
      <c r="N86" s="14"/>
      <c r="O86" s="11"/>
      <c r="P86" s="11"/>
      <c r="Q86" s="16"/>
      <c r="R86" s="2"/>
      <c r="S86" s="12"/>
      <c r="T86" s="17"/>
      <c r="U86" s="2"/>
      <c r="V86" s="18"/>
      <c r="W86" s="16"/>
    </row>
    <row r="87" spans="2:23" ht="18" x14ac:dyDescent="0.35">
      <c r="B87" s="95"/>
      <c r="C87" s="96"/>
      <c r="D87" s="97"/>
      <c r="E87" s="113"/>
      <c r="F87" s="90"/>
      <c r="G87" s="91"/>
      <c r="H87" s="92"/>
      <c r="I87" s="105"/>
      <c r="J87" s="83"/>
      <c r="K87" s="83"/>
      <c r="L87" s="12"/>
      <c r="M87" s="28"/>
      <c r="N87" s="14"/>
      <c r="O87" s="11"/>
      <c r="P87" s="11"/>
      <c r="Q87" s="16"/>
      <c r="R87" s="2"/>
      <c r="S87" s="12"/>
      <c r="T87" s="17"/>
      <c r="U87" s="2"/>
      <c r="V87" s="18"/>
      <c r="W87" s="16"/>
    </row>
    <row r="88" spans="2:23" ht="18" x14ac:dyDescent="0.35">
      <c r="B88" s="95"/>
      <c r="C88" s="96"/>
      <c r="D88" s="97"/>
      <c r="E88" s="113"/>
      <c r="F88" s="90"/>
      <c r="G88" s="91"/>
      <c r="H88" s="92"/>
      <c r="I88" s="105"/>
      <c r="J88" s="83"/>
      <c r="K88" s="83"/>
      <c r="L88" s="12"/>
      <c r="M88" s="28"/>
      <c r="N88" s="14"/>
      <c r="O88" s="11"/>
      <c r="P88" s="11"/>
      <c r="Q88" s="16"/>
      <c r="R88" s="2"/>
      <c r="S88" s="12"/>
      <c r="T88" s="17"/>
      <c r="U88" s="2"/>
      <c r="V88" s="18"/>
      <c r="W88" s="16"/>
    </row>
    <row r="89" spans="2:23" ht="18" x14ac:dyDescent="0.35">
      <c r="B89" s="95"/>
      <c r="C89" s="96"/>
      <c r="D89" s="97"/>
      <c r="E89" s="113"/>
      <c r="F89" s="90"/>
      <c r="G89" s="91"/>
      <c r="H89" s="92"/>
      <c r="I89" s="105"/>
      <c r="J89" s="83"/>
      <c r="K89" s="83"/>
      <c r="L89" s="12"/>
      <c r="M89" s="28"/>
      <c r="N89" s="14"/>
      <c r="O89" s="11"/>
      <c r="P89" s="11"/>
      <c r="Q89" s="16"/>
      <c r="R89" s="2"/>
      <c r="S89" s="12"/>
      <c r="T89" s="17"/>
      <c r="U89" s="2"/>
      <c r="V89" s="18"/>
      <c r="W89" s="16"/>
    </row>
    <row r="90" spans="2:23" ht="18" x14ac:dyDescent="0.35">
      <c r="B90" s="95"/>
      <c r="C90" s="96"/>
      <c r="D90" s="97"/>
      <c r="E90" s="113"/>
      <c r="F90" s="90"/>
      <c r="G90" s="91"/>
      <c r="H90" s="92"/>
      <c r="I90" s="105"/>
      <c r="J90" s="83"/>
      <c r="K90" s="83"/>
      <c r="L90" s="12"/>
      <c r="M90" s="28"/>
      <c r="N90" s="14"/>
      <c r="O90" s="11"/>
      <c r="P90" s="11"/>
      <c r="Q90" s="16"/>
      <c r="R90" s="2"/>
      <c r="S90" s="12"/>
      <c r="T90" s="17"/>
      <c r="U90" s="2"/>
      <c r="V90" s="18"/>
      <c r="W90" s="16"/>
    </row>
    <row r="91" spans="2:23" ht="18" x14ac:dyDescent="0.35">
      <c r="B91" s="95"/>
      <c r="C91" s="96"/>
      <c r="D91" s="97"/>
      <c r="E91" s="113"/>
      <c r="F91" s="90"/>
      <c r="G91" s="91"/>
      <c r="H91" s="92"/>
      <c r="I91" s="105"/>
      <c r="J91" s="83"/>
      <c r="K91" s="83"/>
      <c r="L91" s="12"/>
      <c r="M91" s="28"/>
      <c r="N91" s="14"/>
      <c r="O91" s="11"/>
      <c r="P91" s="11"/>
      <c r="Q91" s="16"/>
      <c r="R91" s="2"/>
      <c r="S91" s="12"/>
      <c r="T91" s="17"/>
      <c r="U91" s="2"/>
      <c r="V91" s="18"/>
      <c r="W91" s="16"/>
    </row>
    <row r="92" spans="2:23" ht="18" x14ac:dyDescent="0.35">
      <c r="B92" s="95"/>
      <c r="C92" s="96"/>
      <c r="D92" s="97"/>
      <c r="E92" s="113"/>
      <c r="F92" s="90"/>
      <c r="G92" s="91"/>
      <c r="H92" s="92"/>
      <c r="I92" s="105"/>
      <c r="J92" s="83"/>
      <c r="K92" s="83"/>
      <c r="L92" s="12"/>
      <c r="M92" s="28"/>
      <c r="N92" s="14"/>
      <c r="O92" s="11"/>
      <c r="P92" s="11"/>
      <c r="Q92" s="16"/>
      <c r="R92" s="2"/>
      <c r="S92" s="12"/>
      <c r="T92" s="17"/>
      <c r="U92" s="2"/>
      <c r="V92" s="18"/>
      <c r="W92" s="16"/>
    </row>
    <row r="93" spans="2:23" ht="18" x14ac:dyDescent="0.35">
      <c r="B93" s="95"/>
      <c r="C93" s="96"/>
      <c r="D93" s="97"/>
      <c r="E93" s="113"/>
      <c r="F93" s="90"/>
      <c r="G93" s="91"/>
      <c r="H93" s="92"/>
      <c r="I93" s="105"/>
      <c r="J93" s="83"/>
      <c r="K93" s="83"/>
      <c r="L93" s="12"/>
      <c r="M93" s="28"/>
      <c r="N93" s="14"/>
      <c r="O93" s="11"/>
      <c r="P93" s="11"/>
      <c r="Q93" s="16"/>
      <c r="R93" s="2"/>
      <c r="S93" s="12"/>
      <c r="T93" s="17"/>
      <c r="U93" s="2"/>
      <c r="V93" s="18"/>
      <c r="W93" s="16"/>
    </row>
    <row r="94" spans="2:23" ht="18" x14ac:dyDescent="0.35">
      <c r="B94" s="95"/>
      <c r="C94" s="96"/>
      <c r="D94" s="97"/>
      <c r="E94" s="113"/>
      <c r="F94" s="90"/>
      <c r="G94" s="91"/>
      <c r="H94" s="92"/>
      <c r="I94" s="105"/>
      <c r="J94" s="83"/>
      <c r="K94" s="83"/>
      <c r="L94" s="12"/>
      <c r="M94" s="28"/>
      <c r="N94" s="14"/>
      <c r="O94" s="11"/>
      <c r="P94" s="11"/>
      <c r="Q94" s="16"/>
      <c r="R94" s="2"/>
      <c r="S94" s="12"/>
      <c r="T94" s="17"/>
      <c r="U94" s="2"/>
      <c r="V94" s="18"/>
      <c r="W94" s="16"/>
    </row>
    <row r="95" spans="2:23" ht="18" x14ac:dyDescent="0.35">
      <c r="B95" s="95"/>
      <c r="C95" s="96"/>
      <c r="D95" s="97"/>
      <c r="E95" s="113"/>
      <c r="F95" s="90"/>
      <c r="G95" s="91"/>
      <c r="H95" s="92"/>
      <c r="I95" s="105"/>
      <c r="J95" s="83"/>
      <c r="K95" s="83"/>
      <c r="L95" s="12"/>
      <c r="M95" s="28"/>
      <c r="N95" s="14"/>
      <c r="O95" s="11"/>
      <c r="P95" s="11"/>
      <c r="Q95" s="16"/>
      <c r="R95" s="2"/>
      <c r="S95" s="12"/>
      <c r="T95" s="17"/>
      <c r="U95" s="2"/>
      <c r="V95" s="18"/>
      <c r="W95" s="16"/>
    </row>
    <row r="96" spans="2:23" ht="18" x14ac:dyDescent="0.35">
      <c r="B96" s="95"/>
      <c r="C96" s="96"/>
      <c r="D96" s="97"/>
      <c r="E96" s="113"/>
      <c r="F96" s="90"/>
      <c r="G96" s="91"/>
      <c r="H96" s="92"/>
      <c r="I96" s="105"/>
      <c r="J96" s="83"/>
      <c r="K96" s="83"/>
      <c r="L96" s="12"/>
      <c r="M96" s="28"/>
      <c r="N96" s="14"/>
      <c r="O96" s="11"/>
      <c r="P96" s="11"/>
      <c r="Q96" s="16"/>
      <c r="R96" s="2"/>
      <c r="S96" s="12"/>
      <c r="T96" s="17"/>
      <c r="U96" s="2"/>
      <c r="V96" s="18"/>
      <c r="W96" s="16"/>
    </row>
    <row r="97" spans="2:23" ht="18" x14ac:dyDescent="0.35">
      <c r="B97" s="95"/>
      <c r="C97" s="96"/>
      <c r="D97" s="97"/>
      <c r="E97" s="113"/>
      <c r="F97" s="90"/>
      <c r="G97" s="91"/>
      <c r="H97" s="92"/>
      <c r="I97" s="105"/>
      <c r="J97" s="83"/>
      <c r="K97" s="83"/>
      <c r="L97" s="12"/>
      <c r="M97" s="28"/>
      <c r="N97" s="14"/>
      <c r="O97" s="11"/>
      <c r="P97" s="11"/>
      <c r="Q97" s="16"/>
      <c r="R97" s="2"/>
      <c r="S97" s="12"/>
      <c r="T97" s="17"/>
      <c r="U97" s="2"/>
      <c r="V97" s="18"/>
      <c r="W97" s="16"/>
    </row>
    <row r="98" spans="2:23" ht="18" x14ac:dyDescent="0.35">
      <c r="B98" s="95"/>
      <c r="C98" s="96"/>
      <c r="D98" s="97"/>
      <c r="E98" s="113"/>
      <c r="F98" s="90"/>
      <c r="G98" s="91"/>
      <c r="H98" s="92"/>
      <c r="I98" s="105"/>
      <c r="J98" s="83"/>
      <c r="K98" s="83"/>
      <c r="L98" s="12"/>
      <c r="M98" s="28"/>
      <c r="N98" s="14"/>
      <c r="O98" s="11"/>
      <c r="P98" s="11"/>
      <c r="Q98" s="16"/>
      <c r="R98" s="2"/>
      <c r="S98" s="12"/>
      <c r="T98" s="17"/>
      <c r="U98" s="2"/>
      <c r="V98" s="18"/>
      <c r="W98" s="16"/>
    </row>
    <row r="99" spans="2:23" ht="18" x14ac:dyDescent="0.35">
      <c r="B99" s="95"/>
      <c r="C99" s="96"/>
      <c r="D99" s="97"/>
      <c r="E99" s="113"/>
      <c r="F99" s="90"/>
      <c r="G99" s="91"/>
      <c r="H99" s="92"/>
      <c r="I99" s="105"/>
      <c r="J99" s="83"/>
      <c r="K99" s="83"/>
      <c r="L99" s="12"/>
      <c r="M99" s="28"/>
      <c r="N99" s="14"/>
      <c r="O99" s="11"/>
      <c r="P99" s="11"/>
      <c r="Q99" s="16"/>
      <c r="R99" s="2"/>
      <c r="S99" s="12"/>
      <c r="T99" s="17"/>
      <c r="U99" s="2"/>
      <c r="V99" s="18"/>
      <c r="W99" s="16"/>
    </row>
    <row r="100" spans="2:23" ht="18" x14ac:dyDescent="0.35">
      <c r="B100" s="95"/>
      <c r="C100" s="96"/>
      <c r="D100" s="97"/>
      <c r="E100" s="113"/>
      <c r="F100" s="90"/>
      <c r="G100" s="91"/>
      <c r="H100" s="92"/>
      <c r="I100" s="105"/>
      <c r="J100" s="83"/>
      <c r="K100" s="83"/>
      <c r="L100" s="12"/>
      <c r="M100" s="28"/>
      <c r="N100" s="14"/>
      <c r="O100" s="11"/>
      <c r="P100" s="11"/>
      <c r="Q100" s="16"/>
      <c r="R100" s="2"/>
      <c r="S100" s="12"/>
      <c r="T100" s="17"/>
      <c r="U100" s="2"/>
      <c r="V100" s="18"/>
      <c r="W100" s="16"/>
    </row>
    <row r="101" spans="2:23" ht="18" x14ac:dyDescent="0.35">
      <c r="B101" s="95"/>
      <c r="C101" s="96"/>
      <c r="D101" s="97"/>
      <c r="E101" s="113"/>
      <c r="F101" s="90"/>
      <c r="G101" s="91"/>
      <c r="H101" s="92"/>
      <c r="I101" s="105"/>
      <c r="J101" s="83"/>
      <c r="K101" s="83"/>
      <c r="L101" s="12"/>
      <c r="M101" s="28"/>
      <c r="N101" s="14"/>
      <c r="O101" s="11"/>
      <c r="P101" s="11"/>
      <c r="Q101" s="16"/>
      <c r="R101" s="2"/>
      <c r="S101" s="12"/>
      <c r="T101" s="17"/>
      <c r="U101" s="2"/>
      <c r="V101" s="18"/>
      <c r="W101" s="16"/>
    </row>
    <row r="102" spans="2:23" ht="18" x14ac:dyDescent="0.35">
      <c r="B102" s="95"/>
      <c r="C102" s="96"/>
      <c r="D102" s="97"/>
      <c r="E102" s="113"/>
      <c r="F102" s="90"/>
      <c r="G102" s="91"/>
      <c r="H102" s="92"/>
      <c r="I102" s="105"/>
      <c r="J102" s="83"/>
      <c r="K102" s="83"/>
      <c r="L102" s="12"/>
      <c r="M102" s="28"/>
      <c r="N102" s="14"/>
      <c r="O102" s="11"/>
      <c r="P102" s="11"/>
      <c r="Q102" s="16"/>
      <c r="R102" s="2"/>
      <c r="S102" s="12"/>
      <c r="T102" s="17"/>
      <c r="U102" s="2"/>
      <c r="V102" s="18"/>
      <c r="W102" s="16"/>
    </row>
    <row r="103" spans="2:23" ht="18" x14ac:dyDescent="0.35">
      <c r="B103" s="95"/>
      <c r="C103" s="96"/>
      <c r="D103" s="97"/>
      <c r="E103" s="113"/>
      <c r="F103" s="90"/>
      <c r="G103" s="91"/>
      <c r="H103" s="92"/>
      <c r="I103" s="105"/>
      <c r="J103" s="83"/>
      <c r="K103" s="83"/>
      <c r="L103" s="12"/>
      <c r="M103" s="28"/>
      <c r="N103" s="14"/>
      <c r="O103" s="11"/>
      <c r="P103" s="11"/>
      <c r="Q103" s="16"/>
      <c r="R103" s="2"/>
      <c r="S103" s="12"/>
      <c r="T103" s="17"/>
      <c r="U103" s="2"/>
      <c r="V103" s="18"/>
      <c r="W103" s="16"/>
    </row>
    <row r="104" spans="2:23" ht="18" x14ac:dyDescent="0.35">
      <c r="B104" s="95"/>
      <c r="C104" s="96"/>
      <c r="D104" s="97"/>
      <c r="E104" s="113"/>
      <c r="F104" s="90"/>
      <c r="G104" s="91"/>
      <c r="H104" s="92"/>
      <c r="I104" s="105"/>
      <c r="J104" s="83"/>
      <c r="K104" s="83"/>
      <c r="L104" s="12"/>
      <c r="M104" s="28"/>
      <c r="N104" s="14"/>
      <c r="O104" s="11"/>
      <c r="P104" s="11"/>
      <c r="Q104" s="16"/>
      <c r="R104" s="2"/>
      <c r="S104" s="12"/>
      <c r="T104" s="17"/>
      <c r="U104" s="2"/>
      <c r="V104" s="18"/>
      <c r="W104" s="16"/>
    </row>
    <row r="105" spans="2:23" ht="18" x14ac:dyDescent="0.35">
      <c r="B105" s="95"/>
      <c r="C105" s="96"/>
      <c r="D105" s="97"/>
      <c r="E105" s="113"/>
      <c r="F105" s="90"/>
      <c r="G105" s="91"/>
      <c r="H105" s="92"/>
      <c r="I105" s="105"/>
      <c r="J105" s="83"/>
      <c r="K105" s="83"/>
      <c r="L105" s="12"/>
      <c r="M105" s="28"/>
      <c r="N105" s="14"/>
      <c r="O105" s="11"/>
      <c r="P105" s="11"/>
      <c r="Q105" s="16"/>
      <c r="R105" s="2"/>
      <c r="S105" s="12"/>
      <c r="T105" s="17"/>
      <c r="U105" s="2"/>
      <c r="V105" s="18"/>
      <c r="W105" s="16"/>
    </row>
    <row r="106" spans="2:23" ht="18" x14ac:dyDescent="0.35">
      <c r="B106" s="95"/>
      <c r="C106" s="96"/>
      <c r="D106" s="97"/>
      <c r="E106" s="113"/>
      <c r="F106" s="90"/>
      <c r="G106" s="91"/>
      <c r="H106" s="92"/>
      <c r="I106" s="105"/>
      <c r="J106" s="83"/>
      <c r="K106" s="83"/>
      <c r="L106" s="12"/>
      <c r="M106" s="28"/>
      <c r="N106" s="14"/>
      <c r="O106" s="11"/>
      <c r="P106" s="11"/>
      <c r="Q106" s="16"/>
      <c r="R106" s="2"/>
      <c r="S106" s="12"/>
      <c r="T106" s="17"/>
      <c r="U106" s="2"/>
      <c r="V106" s="18"/>
      <c r="W106" s="16"/>
    </row>
    <row r="107" spans="2:23" ht="18" x14ac:dyDescent="0.35">
      <c r="B107" s="95"/>
      <c r="C107" s="96"/>
      <c r="D107" s="97"/>
      <c r="E107" s="113"/>
      <c r="F107" s="90"/>
      <c r="G107" s="91"/>
      <c r="H107" s="92"/>
      <c r="I107" s="105"/>
      <c r="J107" s="83"/>
      <c r="K107" s="83"/>
      <c r="L107" s="12"/>
      <c r="M107" s="28"/>
      <c r="N107" s="14"/>
      <c r="O107" s="11"/>
      <c r="P107" s="11"/>
      <c r="Q107" s="16"/>
      <c r="R107" s="2"/>
      <c r="S107" s="12"/>
      <c r="T107" s="17"/>
      <c r="U107" s="2"/>
      <c r="V107" s="18"/>
      <c r="W107" s="16"/>
    </row>
    <row r="108" spans="2:23" ht="18" x14ac:dyDescent="0.35">
      <c r="B108" s="95"/>
      <c r="C108" s="96"/>
      <c r="D108" s="97"/>
      <c r="E108" s="113"/>
      <c r="F108" s="90"/>
      <c r="G108" s="91"/>
      <c r="H108" s="92"/>
      <c r="I108" s="105"/>
      <c r="J108" s="83"/>
      <c r="K108" s="83"/>
      <c r="L108" s="12"/>
      <c r="M108" s="28"/>
      <c r="N108" s="14"/>
      <c r="O108" s="11"/>
      <c r="P108" s="11"/>
      <c r="Q108" s="16"/>
      <c r="R108" s="2"/>
      <c r="S108" s="12"/>
      <c r="T108" s="17"/>
      <c r="U108" s="2"/>
      <c r="V108" s="18"/>
      <c r="W108" s="16"/>
    </row>
    <row r="109" spans="2:23" ht="18" x14ac:dyDescent="0.35">
      <c r="B109" s="95"/>
      <c r="C109" s="96"/>
      <c r="D109" s="97"/>
      <c r="E109" s="113"/>
      <c r="F109" s="90"/>
      <c r="G109" s="91"/>
      <c r="H109" s="92"/>
      <c r="I109" s="105"/>
      <c r="J109" s="83"/>
      <c r="K109" s="83"/>
      <c r="L109" s="12"/>
      <c r="M109" s="28"/>
      <c r="N109" s="14"/>
      <c r="O109" s="11"/>
      <c r="P109" s="11"/>
      <c r="Q109" s="16"/>
      <c r="R109" s="2"/>
      <c r="S109" s="12"/>
      <c r="T109" s="17"/>
      <c r="U109" s="2"/>
      <c r="V109" s="18"/>
      <c r="W109" s="16"/>
    </row>
    <row r="110" spans="2:23" ht="18" x14ac:dyDescent="0.35">
      <c r="B110" s="95"/>
      <c r="C110" s="96"/>
      <c r="D110" s="97"/>
      <c r="E110" s="113"/>
      <c r="F110" s="90"/>
      <c r="G110" s="91"/>
      <c r="H110" s="92"/>
      <c r="I110" s="105"/>
      <c r="J110" s="83"/>
      <c r="K110" s="83"/>
      <c r="L110" s="12"/>
      <c r="M110" s="28"/>
      <c r="N110" s="14"/>
      <c r="O110" s="11"/>
      <c r="P110" s="11"/>
      <c r="Q110" s="16"/>
      <c r="R110" s="2"/>
      <c r="S110" s="12"/>
      <c r="T110" s="17"/>
      <c r="U110" s="2"/>
      <c r="V110" s="18"/>
      <c r="W110" s="16"/>
    </row>
    <row r="111" spans="2:23" ht="18" x14ac:dyDescent="0.35">
      <c r="B111" s="95"/>
      <c r="C111" s="96"/>
      <c r="D111" s="97"/>
      <c r="E111" s="113"/>
      <c r="F111" s="90"/>
      <c r="G111" s="91"/>
      <c r="H111" s="92"/>
      <c r="I111" s="105"/>
      <c r="J111" s="83"/>
      <c r="K111" s="83"/>
      <c r="L111" s="12"/>
      <c r="M111" s="28"/>
      <c r="N111" s="14"/>
      <c r="O111" s="11"/>
      <c r="P111" s="11"/>
      <c r="Q111" s="16"/>
      <c r="R111" s="2"/>
      <c r="S111" s="12"/>
      <c r="T111" s="17"/>
      <c r="U111" s="2"/>
      <c r="V111" s="18"/>
      <c r="W111" s="16"/>
    </row>
    <row r="112" spans="2:23" ht="18" x14ac:dyDescent="0.35">
      <c r="B112" s="95"/>
      <c r="C112" s="96"/>
      <c r="D112" s="97"/>
      <c r="E112" s="113"/>
      <c r="F112" s="90"/>
      <c r="G112" s="91"/>
      <c r="H112" s="92"/>
      <c r="I112" s="105"/>
      <c r="J112" s="83"/>
      <c r="K112" s="83"/>
      <c r="L112" s="12"/>
      <c r="M112" s="28"/>
      <c r="N112" s="14"/>
      <c r="O112" s="11"/>
      <c r="P112" s="11"/>
      <c r="Q112" s="16"/>
      <c r="R112" s="2"/>
      <c r="S112" s="12"/>
      <c r="T112" s="17"/>
      <c r="U112" s="2"/>
      <c r="V112" s="18"/>
      <c r="W112" s="16"/>
    </row>
    <row r="113" spans="2:23" ht="18" x14ac:dyDescent="0.35">
      <c r="B113" s="95"/>
      <c r="C113" s="96"/>
      <c r="D113" s="97"/>
      <c r="E113" s="113"/>
      <c r="F113" s="90"/>
      <c r="G113" s="91"/>
      <c r="H113" s="92"/>
      <c r="I113" s="105"/>
      <c r="J113" s="83"/>
      <c r="K113" s="83"/>
      <c r="L113" s="12"/>
      <c r="M113" s="28"/>
      <c r="N113" s="14"/>
      <c r="O113" s="11"/>
      <c r="P113" s="11"/>
      <c r="Q113" s="16"/>
      <c r="R113" s="2"/>
      <c r="S113" s="12"/>
      <c r="T113" s="17"/>
      <c r="U113" s="2"/>
      <c r="V113" s="18"/>
      <c r="W113" s="16"/>
    </row>
    <row r="114" spans="2:23" ht="18" x14ac:dyDescent="0.35">
      <c r="B114" s="95"/>
      <c r="C114" s="96"/>
      <c r="D114" s="97"/>
      <c r="E114" s="113"/>
      <c r="F114" s="90"/>
      <c r="G114" s="91"/>
      <c r="H114" s="92"/>
      <c r="I114" s="105"/>
      <c r="J114" s="83"/>
      <c r="K114" s="83"/>
      <c r="L114" s="12"/>
      <c r="M114" s="28"/>
      <c r="N114" s="14"/>
      <c r="O114" s="11"/>
      <c r="P114" s="11"/>
      <c r="Q114" s="16"/>
      <c r="R114" s="2"/>
      <c r="S114" s="12"/>
      <c r="T114" s="17"/>
      <c r="U114" s="2"/>
      <c r="V114" s="18"/>
      <c r="W114" s="16"/>
    </row>
    <row r="115" spans="2:23" ht="18" x14ac:dyDescent="0.35">
      <c r="B115" s="95"/>
      <c r="C115" s="96"/>
      <c r="D115" s="97"/>
      <c r="E115" s="113"/>
      <c r="F115" s="90"/>
      <c r="G115" s="91"/>
      <c r="H115" s="92"/>
      <c r="I115" s="105"/>
      <c r="J115" s="83"/>
      <c r="K115" s="83"/>
      <c r="L115" s="12"/>
      <c r="M115" s="28"/>
      <c r="N115" s="14"/>
      <c r="O115" s="11"/>
      <c r="P115" s="11"/>
      <c r="Q115" s="16"/>
      <c r="R115" s="2"/>
      <c r="S115" s="12"/>
      <c r="T115" s="17"/>
      <c r="U115" s="2"/>
      <c r="V115" s="18"/>
      <c r="W115" s="16"/>
    </row>
    <row r="116" spans="2:23" ht="18" x14ac:dyDescent="0.35">
      <c r="B116" s="95"/>
      <c r="C116" s="96"/>
      <c r="D116" s="97"/>
      <c r="E116" s="113"/>
      <c r="F116" s="90"/>
      <c r="G116" s="91"/>
      <c r="H116" s="92"/>
      <c r="I116" s="105"/>
      <c r="J116" s="83"/>
      <c r="K116" s="83"/>
      <c r="L116" s="12"/>
      <c r="M116" s="28"/>
      <c r="N116" s="14"/>
      <c r="O116" s="11"/>
      <c r="P116" s="11"/>
      <c r="Q116" s="16"/>
      <c r="R116" s="2"/>
      <c r="S116" s="12"/>
      <c r="T116" s="17"/>
      <c r="U116" s="2"/>
      <c r="V116" s="18"/>
      <c r="W116" s="16"/>
    </row>
    <row r="117" spans="2:23" ht="18" x14ac:dyDescent="0.35">
      <c r="B117" s="95"/>
      <c r="C117" s="96"/>
      <c r="D117" s="97"/>
      <c r="E117" s="113"/>
      <c r="F117" s="90"/>
      <c r="G117" s="91"/>
      <c r="H117" s="92"/>
      <c r="I117" s="105"/>
      <c r="J117" s="83"/>
      <c r="K117" s="83"/>
      <c r="L117" s="12"/>
      <c r="M117" s="28"/>
      <c r="N117" s="14"/>
      <c r="O117" s="11"/>
      <c r="P117" s="11"/>
      <c r="Q117" s="16"/>
      <c r="R117" s="2"/>
      <c r="S117" s="12"/>
      <c r="T117" s="17"/>
      <c r="U117" s="2"/>
      <c r="V117" s="18"/>
      <c r="W117" s="16"/>
    </row>
    <row r="118" spans="2:23" ht="18" x14ac:dyDescent="0.35">
      <c r="B118" s="95"/>
      <c r="C118" s="96"/>
      <c r="D118" s="97"/>
      <c r="E118" s="113"/>
      <c r="F118" s="90"/>
      <c r="G118" s="91"/>
      <c r="H118" s="92"/>
      <c r="I118" s="105"/>
      <c r="J118" s="83"/>
      <c r="K118" s="83"/>
      <c r="L118" s="12"/>
      <c r="M118" s="28"/>
      <c r="N118" s="14"/>
      <c r="O118" s="11"/>
      <c r="P118" s="11"/>
      <c r="Q118" s="16"/>
      <c r="R118" s="2"/>
      <c r="S118" s="12"/>
      <c r="T118" s="17"/>
      <c r="U118" s="2"/>
      <c r="V118" s="18"/>
      <c r="W118" s="16"/>
    </row>
    <row r="119" spans="2:23" ht="18" x14ac:dyDescent="0.35">
      <c r="B119" s="95"/>
      <c r="C119" s="96"/>
      <c r="D119" s="97"/>
      <c r="E119" s="113"/>
      <c r="F119" s="90"/>
      <c r="G119" s="91"/>
      <c r="H119" s="92"/>
      <c r="I119" s="105"/>
      <c r="J119" s="83"/>
      <c r="K119" s="83"/>
      <c r="L119" s="12"/>
      <c r="M119" s="28"/>
      <c r="N119" s="14"/>
      <c r="O119" s="11"/>
      <c r="P119" s="11"/>
      <c r="Q119" s="16"/>
      <c r="R119" s="2"/>
      <c r="S119" s="12"/>
      <c r="T119" s="17"/>
      <c r="U119" s="2"/>
      <c r="V119" s="18"/>
      <c r="W119" s="16"/>
    </row>
    <row r="120" spans="2:23" ht="18" x14ac:dyDescent="0.35">
      <c r="B120" s="95"/>
      <c r="C120" s="96"/>
      <c r="D120" s="97"/>
      <c r="E120" s="113"/>
      <c r="F120" s="90"/>
      <c r="G120" s="91"/>
      <c r="H120" s="92"/>
      <c r="I120" s="105"/>
      <c r="J120" s="83"/>
      <c r="K120" s="83"/>
      <c r="L120" s="12"/>
      <c r="M120" s="28"/>
      <c r="N120" s="14"/>
      <c r="O120" s="11"/>
      <c r="P120" s="11"/>
      <c r="Q120" s="16"/>
      <c r="R120" s="2"/>
      <c r="S120" s="12"/>
      <c r="T120" s="17"/>
      <c r="U120" s="2"/>
      <c r="V120" s="18"/>
      <c r="W120" s="16"/>
    </row>
    <row r="121" spans="2:23" ht="18" x14ac:dyDescent="0.35">
      <c r="B121" s="95"/>
      <c r="C121" s="96"/>
      <c r="D121" s="97"/>
      <c r="E121" s="113"/>
      <c r="F121" s="90"/>
      <c r="G121" s="91"/>
      <c r="H121" s="92"/>
      <c r="I121" s="105"/>
      <c r="J121" s="83"/>
      <c r="K121" s="83"/>
      <c r="L121" s="12"/>
      <c r="M121" s="28"/>
      <c r="N121" s="14"/>
      <c r="O121" s="11"/>
      <c r="P121" s="11"/>
      <c r="Q121" s="16"/>
      <c r="R121" s="2"/>
      <c r="S121" s="12"/>
      <c r="T121" s="17"/>
      <c r="U121" s="2"/>
      <c r="V121" s="18"/>
      <c r="W121" s="16"/>
    </row>
    <row r="122" spans="2:23" ht="18" x14ac:dyDescent="0.35">
      <c r="B122" s="95"/>
      <c r="C122" s="96"/>
      <c r="D122" s="97"/>
      <c r="E122" s="113"/>
      <c r="F122" s="99"/>
      <c r="G122" s="100"/>
      <c r="H122" s="101"/>
      <c r="I122" s="105"/>
      <c r="J122" s="83"/>
      <c r="K122" s="83"/>
      <c r="L122" s="12"/>
      <c r="M122" s="28"/>
      <c r="N122" s="14"/>
      <c r="O122" s="11"/>
      <c r="P122" s="11"/>
      <c r="Q122" s="16"/>
      <c r="R122" s="2"/>
      <c r="S122" s="12"/>
      <c r="T122" s="17"/>
      <c r="U122" s="2"/>
      <c r="V122" s="18"/>
      <c r="W122" s="16"/>
    </row>
    <row r="123" spans="2:23" ht="18" x14ac:dyDescent="0.35">
      <c r="B123" s="95"/>
      <c r="C123" s="96"/>
      <c r="D123" s="97"/>
      <c r="E123" s="113"/>
      <c r="F123" s="99"/>
      <c r="G123" s="100"/>
      <c r="H123" s="101"/>
      <c r="I123" s="105"/>
      <c r="J123" s="83"/>
      <c r="K123" s="83"/>
      <c r="L123" s="12"/>
      <c r="M123" s="28"/>
      <c r="N123" s="14"/>
      <c r="O123" s="11"/>
      <c r="P123" s="11"/>
      <c r="Q123" s="16"/>
      <c r="R123" s="2"/>
      <c r="S123" s="12"/>
      <c r="T123" s="17"/>
      <c r="U123" s="2"/>
      <c r="V123" s="18"/>
      <c r="W123" s="16"/>
    </row>
    <row r="124" spans="2:23" ht="18" x14ac:dyDescent="0.35">
      <c r="B124" s="95"/>
      <c r="C124" s="96"/>
      <c r="D124" s="97"/>
      <c r="E124" s="113"/>
      <c r="F124" s="99"/>
      <c r="G124" s="100"/>
      <c r="H124" s="101"/>
      <c r="I124" s="105"/>
      <c r="J124" s="83"/>
      <c r="K124" s="83"/>
      <c r="L124" s="12"/>
      <c r="M124" s="28"/>
      <c r="N124" s="14"/>
      <c r="O124" s="11"/>
      <c r="P124" s="11"/>
      <c r="Q124" s="16"/>
      <c r="R124" s="2"/>
      <c r="S124" s="12"/>
      <c r="T124" s="17"/>
      <c r="U124" s="2"/>
      <c r="V124" s="18"/>
      <c r="W124" s="16"/>
    </row>
    <row r="125" spans="2:23" ht="18" x14ac:dyDescent="0.35">
      <c r="B125" s="95"/>
      <c r="C125" s="96"/>
      <c r="D125" s="97"/>
      <c r="E125" s="113"/>
      <c r="F125" s="99"/>
      <c r="G125" s="100"/>
      <c r="H125" s="101"/>
      <c r="I125" s="105"/>
      <c r="J125" s="83"/>
      <c r="K125" s="83"/>
      <c r="L125" s="12"/>
      <c r="M125" s="28"/>
      <c r="N125" s="14"/>
      <c r="O125" s="11"/>
      <c r="P125" s="11"/>
      <c r="Q125" s="16"/>
      <c r="R125" s="2"/>
      <c r="S125" s="12"/>
      <c r="T125" s="17"/>
      <c r="U125" s="2"/>
      <c r="V125" s="18"/>
      <c r="W125" s="16"/>
    </row>
    <row r="126" spans="2:23" ht="18" x14ac:dyDescent="0.35">
      <c r="B126" s="95"/>
      <c r="C126" s="96"/>
      <c r="D126" s="97"/>
      <c r="E126" s="113"/>
      <c r="F126" s="99"/>
      <c r="G126" s="100"/>
      <c r="H126" s="101"/>
      <c r="I126" s="105"/>
      <c r="J126" s="83"/>
      <c r="K126" s="83"/>
      <c r="L126" s="12"/>
      <c r="M126" s="28"/>
      <c r="N126" s="14"/>
      <c r="O126" s="11"/>
      <c r="P126" s="11"/>
      <c r="Q126" s="16"/>
      <c r="R126" s="2"/>
      <c r="S126" s="12"/>
      <c r="T126" s="17"/>
      <c r="U126" s="2"/>
      <c r="V126" s="18"/>
      <c r="W126" s="16"/>
    </row>
    <row r="127" spans="2:23" ht="18" x14ac:dyDescent="0.35">
      <c r="B127" s="95"/>
      <c r="C127" s="96"/>
      <c r="D127" s="97"/>
      <c r="E127" s="113"/>
      <c r="F127" s="99"/>
      <c r="G127" s="100"/>
      <c r="H127" s="101"/>
      <c r="I127" s="105"/>
      <c r="J127" s="83"/>
      <c r="K127" s="83"/>
      <c r="L127" s="12"/>
      <c r="M127" s="28"/>
      <c r="N127" s="14"/>
      <c r="O127" s="11"/>
      <c r="P127" s="11"/>
      <c r="Q127" s="16"/>
      <c r="R127" s="2"/>
      <c r="S127" s="12"/>
      <c r="T127" s="17"/>
      <c r="U127" s="2"/>
      <c r="V127" s="18"/>
      <c r="W127" s="16"/>
    </row>
    <row r="128" spans="2:23" ht="18" x14ac:dyDescent="0.35">
      <c r="B128" s="106"/>
      <c r="C128" s="107"/>
      <c r="D128" s="108"/>
      <c r="E128" s="113"/>
      <c r="F128" s="99"/>
      <c r="G128" s="100"/>
      <c r="H128" s="101"/>
      <c r="I128" s="105"/>
      <c r="J128" s="83"/>
      <c r="K128" s="83"/>
      <c r="L128" s="12"/>
      <c r="M128" s="28"/>
      <c r="N128" s="14"/>
      <c r="O128" s="11"/>
      <c r="P128" s="11"/>
      <c r="Q128" s="16"/>
      <c r="R128" s="2"/>
      <c r="S128" s="12"/>
      <c r="T128" s="17"/>
      <c r="U128" s="2"/>
      <c r="V128" s="18"/>
      <c r="W128" s="16"/>
    </row>
    <row r="129" spans="1:23" ht="18.600000000000001" thickBot="1" x14ac:dyDescent="0.4">
      <c r="B129" s="114"/>
      <c r="C129" s="115"/>
      <c r="D129" s="116"/>
      <c r="E129" s="113"/>
      <c r="F129" s="117"/>
      <c r="G129" s="118"/>
      <c r="H129" s="119"/>
      <c r="I129" s="105"/>
      <c r="J129" s="83"/>
      <c r="K129" s="83"/>
      <c r="L129" s="30"/>
      <c r="M129" s="31"/>
      <c r="N129" s="32"/>
      <c r="O129" s="29"/>
      <c r="P129" s="29"/>
      <c r="Q129" s="33"/>
      <c r="R129" s="2"/>
      <c r="S129" s="30"/>
      <c r="T129" s="34"/>
      <c r="U129" s="2"/>
      <c r="V129" s="35"/>
      <c r="W129" s="33"/>
    </row>
    <row r="130" spans="1:23" ht="18.600000000000001" thickBot="1" x14ac:dyDescent="0.4">
      <c r="A130" s="120" t="s">
        <v>15</v>
      </c>
      <c r="B130" s="121">
        <f>SUM(B9:B129)</f>
        <v>1605.5</v>
      </c>
      <c r="C130" s="122"/>
      <c r="D130" s="121"/>
      <c r="E130" s="123">
        <f>SUM(E9:E129)</f>
        <v>3682.4000000000005</v>
      </c>
      <c r="F130" s="124">
        <f>SUM(F9:F129)</f>
        <v>121.60000000000001</v>
      </c>
      <c r="G130" s="82"/>
      <c r="H130" s="125"/>
      <c r="I130" s="125">
        <f>SUM(I9:I129)</f>
        <v>2921.7</v>
      </c>
      <c r="J130" s="83"/>
      <c r="K130" s="83"/>
      <c r="L130" s="126"/>
      <c r="M130" s="126">
        <f>SUM(M9:M129)</f>
        <v>0</v>
      </c>
      <c r="N130" s="127">
        <f>SUM(N9:N129)</f>
        <v>0</v>
      </c>
      <c r="O130" s="82"/>
      <c r="P130" s="82">
        <f>SUM(P9:P129)</f>
        <v>0</v>
      </c>
      <c r="Q130" s="128">
        <f>SUM(Q9:Q129)</f>
        <v>0</v>
      </c>
      <c r="R130" s="83"/>
      <c r="S130" s="84"/>
      <c r="T130" s="129">
        <f>SUM(T9:T129)</f>
        <v>5480</v>
      </c>
      <c r="U130" s="83"/>
      <c r="V130" s="82"/>
      <c r="W130" s="130">
        <f>SUM(W9:W129)</f>
        <v>120</v>
      </c>
    </row>
  </sheetData>
  <mergeCells count="8">
    <mergeCell ref="V5:W5"/>
    <mergeCell ref="Y5:Z5"/>
    <mergeCell ref="E1:G1"/>
    <mergeCell ref="B2:C2"/>
    <mergeCell ref="B3:C3"/>
    <mergeCell ref="B5:I5"/>
    <mergeCell ref="L5:Q5"/>
    <mergeCell ref="S5:T5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EE7602-60D2-454C-9C16-E93B15CB8CEC}">
  <sheetPr codeName="Sheet57"/>
  <dimension ref="A1:Z130"/>
  <sheetViews>
    <sheetView zoomScale="80" zoomScaleNormal="80" workbookViewId="0">
      <selection activeCell="E48" sqref="E48"/>
    </sheetView>
  </sheetViews>
  <sheetFormatPr defaultColWidth="9.109375" defaultRowHeight="14.4" x14ac:dyDescent="0.3"/>
  <cols>
    <col min="1" max="1" width="15.5546875" style="36" customWidth="1"/>
    <col min="2" max="2" width="15.88671875" style="36" customWidth="1"/>
    <col min="3" max="3" width="20" style="76" customWidth="1"/>
    <col min="4" max="4" width="20.33203125" style="36" customWidth="1"/>
    <col min="5" max="5" width="22.33203125" style="36" customWidth="1"/>
    <col min="6" max="6" width="14.6640625" style="36" customWidth="1"/>
    <col min="7" max="7" width="22" style="76" customWidth="1"/>
    <col min="8" max="8" width="18.88671875" style="36" customWidth="1"/>
    <col min="9" max="9" width="23" style="36" customWidth="1"/>
    <col min="10" max="11" width="9.109375" style="36"/>
    <col min="12" max="12" width="20.6640625" style="76" customWidth="1"/>
    <col min="13" max="13" width="15.44140625" style="76" customWidth="1"/>
    <col min="14" max="14" width="22.6640625" style="36" customWidth="1"/>
    <col min="15" max="15" width="20.5546875" style="76" customWidth="1"/>
    <col min="16" max="16" width="13.33203125" style="76" customWidth="1"/>
    <col min="17" max="17" width="21.5546875" style="76" customWidth="1"/>
    <col min="18" max="18" width="9.109375" style="36"/>
    <col min="19" max="19" width="22" style="76" customWidth="1"/>
    <col min="20" max="20" width="22.33203125" style="76" customWidth="1"/>
    <col min="21" max="21" width="9.109375" style="36"/>
    <col min="22" max="22" width="21.88671875" style="76" customWidth="1"/>
    <col min="23" max="23" width="23.109375" style="76" customWidth="1"/>
    <col min="24" max="24" width="9.109375" style="36"/>
    <col min="25" max="25" width="21.33203125" style="36" customWidth="1"/>
    <col min="26" max="26" width="21.88671875" style="36" customWidth="1"/>
    <col min="27" max="16384" width="9.109375" style="36"/>
  </cols>
  <sheetData>
    <row r="1" spans="2:26" ht="21" x14ac:dyDescent="0.4">
      <c r="E1" s="189">
        <v>44167</v>
      </c>
      <c r="F1" s="189"/>
      <c r="G1" s="189"/>
    </row>
    <row r="2" spans="2:26" ht="18" x14ac:dyDescent="0.35">
      <c r="B2" s="190" t="s">
        <v>0</v>
      </c>
      <c r="C2" s="190"/>
      <c r="D2" s="1">
        <v>10800</v>
      </c>
    </row>
    <row r="3" spans="2:26" ht="18" x14ac:dyDescent="0.35">
      <c r="B3" s="190" t="s">
        <v>1</v>
      </c>
      <c r="C3" s="190"/>
      <c r="D3" s="77">
        <f>(D2-E130-I130)</f>
        <v>8614.2160000000003</v>
      </c>
    </row>
    <row r="5" spans="2:26" ht="36.6" x14ac:dyDescent="0.7">
      <c r="B5" s="187" t="s">
        <v>2</v>
      </c>
      <c r="C5" s="187"/>
      <c r="D5" s="187"/>
      <c r="E5" s="187"/>
      <c r="F5" s="187"/>
      <c r="G5" s="187"/>
      <c r="H5" s="187"/>
      <c r="I5" s="187"/>
      <c r="L5" s="187" t="s">
        <v>3</v>
      </c>
      <c r="M5" s="187"/>
      <c r="N5" s="187"/>
      <c r="O5" s="187"/>
      <c r="P5" s="187"/>
      <c r="Q5" s="187"/>
      <c r="S5" s="191" t="s">
        <v>4</v>
      </c>
      <c r="T5" s="191"/>
      <c r="V5" s="187" t="s">
        <v>5</v>
      </c>
      <c r="W5" s="187"/>
      <c r="Y5" s="188" t="s">
        <v>105</v>
      </c>
      <c r="Z5" s="187"/>
    </row>
    <row r="7" spans="2:26" ht="15" thickBot="1" x14ac:dyDescent="0.35"/>
    <row r="8" spans="2:26" ht="18.600000000000001" thickBot="1" x14ac:dyDescent="0.4">
      <c r="B8" s="78" t="s">
        <v>6</v>
      </c>
      <c r="C8" s="79" t="s">
        <v>7</v>
      </c>
      <c r="D8" s="78" t="s">
        <v>8</v>
      </c>
      <c r="E8" s="80" t="s">
        <v>9</v>
      </c>
      <c r="F8" s="81" t="s">
        <v>6</v>
      </c>
      <c r="G8" s="81" t="s">
        <v>10</v>
      </c>
      <c r="H8" s="81" t="s">
        <v>8</v>
      </c>
      <c r="I8" s="82" t="s">
        <v>9</v>
      </c>
      <c r="J8" s="83"/>
      <c r="K8" s="83"/>
      <c r="L8" s="84" t="s">
        <v>11</v>
      </c>
      <c r="M8" s="84" t="s">
        <v>6</v>
      </c>
      <c r="N8" s="84" t="s">
        <v>9</v>
      </c>
      <c r="O8" s="82" t="s">
        <v>12</v>
      </c>
      <c r="P8" s="82" t="s">
        <v>6</v>
      </c>
      <c r="Q8" s="82" t="s">
        <v>9</v>
      </c>
      <c r="R8" s="83"/>
      <c r="S8" s="84" t="s">
        <v>13</v>
      </c>
      <c r="T8" s="85" t="s">
        <v>9</v>
      </c>
      <c r="U8" s="83"/>
      <c r="V8" s="82" t="s">
        <v>14</v>
      </c>
      <c r="W8" s="82" t="s">
        <v>9</v>
      </c>
      <c r="Y8" s="146" t="s">
        <v>106</v>
      </c>
      <c r="Z8" s="147" t="s">
        <v>107</v>
      </c>
    </row>
    <row r="9" spans="2:26" ht="18" x14ac:dyDescent="0.35">
      <c r="B9" s="86">
        <v>1</v>
      </c>
      <c r="C9" s="87" t="s">
        <v>76</v>
      </c>
      <c r="D9" s="88">
        <v>2.6</v>
      </c>
      <c r="E9" s="89">
        <v>2.6</v>
      </c>
      <c r="F9" s="90">
        <v>1</v>
      </c>
      <c r="G9" s="91" t="s">
        <v>20</v>
      </c>
      <c r="H9" s="92">
        <v>1</v>
      </c>
      <c r="I9" s="93">
        <v>1</v>
      </c>
      <c r="J9" s="83"/>
      <c r="K9" s="83"/>
      <c r="L9" s="3"/>
      <c r="M9" s="4"/>
      <c r="N9" s="5"/>
      <c r="O9" s="6"/>
      <c r="P9" s="7"/>
      <c r="Q9" s="8"/>
      <c r="R9" s="2"/>
      <c r="S9" s="3"/>
      <c r="T9" s="9"/>
      <c r="U9" s="2"/>
      <c r="V9" s="10"/>
      <c r="W9" s="8"/>
      <c r="Y9" s="148" t="s">
        <v>88</v>
      </c>
      <c r="Z9" s="151">
        <f>SUMIF($C$9:$C$129, Y9, $B$9:$B$129)</f>
        <v>73.210000000000008</v>
      </c>
    </row>
    <row r="10" spans="2:26" ht="18" x14ac:dyDescent="0.35">
      <c r="B10" s="95">
        <v>0.01</v>
      </c>
      <c r="C10" s="96" t="s">
        <v>88</v>
      </c>
      <c r="D10" s="97">
        <v>1.2</v>
      </c>
      <c r="E10" s="98">
        <v>1.2E-2</v>
      </c>
      <c r="F10" s="90">
        <v>1E-3</v>
      </c>
      <c r="G10" s="91" t="s">
        <v>67</v>
      </c>
      <c r="H10" s="92">
        <v>92</v>
      </c>
      <c r="I10" s="93">
        <v>9.1999999999999998E-2</v>
      </c>
      <c r="J10" s="83"/>
      <c r="K10" s="83"/>
      <c r="L10" s="12"/>
      <c r="M10" s="13"/>
      <c r="N10" s="14"/>
      <c r="O10" s="11"/>
      <c r="P10" s="15"/>
      <c r="Q10" s="16"/>
      <c r="R10" s="2"/>
      <c r="S10" s="12"/>
      <c r="T10" s="17"/>
      <c r="U10" s="2"/>
      <c r="V10" s="18"/>
      <c r="W10" s="8"/>
      <c r="Y10" s="149" t="s">
        <v>76</v>
      </c>
      <c r="Z10" s="151">
        <f t="shared" ref="Z10:Z11" si="0">SUMIF($C$9:$C$129, Y10, $B$9:$B$129)</f>
        <v>166</v>
      </c>
    </row>
    <row r="11" spans="2:26" ht="18" x14ac:dyDescent="0.35">
      <c r="B11" s="95">
        <v>62.5</v>
      </c>
      <c r="C11" s="96" t="s">
        <v>76</v>
      </c>
      <c r="D11" s="97">
        <v>2.4</v>
      </c>
      <c r="E11" s="98">
        <v>150</v>
      </c>
      <c r="F11" s="90">
        <v>4</v>
      </c>
      <c r="G11" s="91" t="s">
        <v>18</v>
      </c>
      <c r="H11" s="92">
        <v>10</v>
      </c>
      <c r="I11" s="93">
        <v>40</v>
      </c>
      <c r="J11" s="83"/>
      <c r="K11" s="83"/>
      <c r="L11" s="12"/>
      <c r="M11" s="13"/>
      <c r="N11" s="14"/>
      <c r="O11" s="11"/>
      <c r="P11" s="15"/>
      <c r="Q11" s="16"/>
      <c r="R11" s="2"/>
      <c r="S11" s="12"/>
      <c r="T11" s="17"/>
      <c r="U11" s="2"/>
      <c r="V11" s="18"/>
      <c r="W11" s="8"/>
      <c r="Y11" s="149" t="s">
        <v>77</v>
      </c>
      <c r="Z11" s="151">
        <f t="shared" si="0"/>
        <v>202.5</v>
      </c>
    </row>
    <row r="12" spans="2:26" ht="18" x14ac:dyDescent="0.35">
      <c r="B12" s="95">
        <v>11.5</v>
      </c>
      <c r="C12" s="96" t="s">
        <v>77</v>
      </c>
      <c r="D12" s="97">
        <v>2.1</v>
      </c>
      <c r="E12" s="98">
        <v>24.150000000000002</v>
      </c>
      <c r="F12" s="90">
        <v>1.5</v>
      </c>
      <c r="G12" s="91" t="s">
        <v>18</v>
      </c>
      <c r="H12" s="92">
        <v>10</v>
      </c>
      <c r="I12" s="93">
        <v>15</v>
      </c>
      <c r="J12" s="83"/>
      <c r="K12" s="83"/>
      <c r="L12" s="12"/>
      <c r="M12" s="13"/>
      <c r="N12" s="14"/>
      <c r="O12" s="11"/>
      <c r="P12" s="15"/>
      <c r="Q12" s="16"/>
      <c r="R12" s="2"/>
      <c r="S12" s="12"/>
      <c r="T12" s="17"/>
      <c r="U12" s="2"/>
      <c r="V12" s="18"/>
      <c r="W12" s="8"/>
      <c r="Y12" s="149" t="s">
        <v>89</v>
      </c>
      <c r="Z12" s="152">
        <f>SUMIF($G$9:$G$129, Y12, $F$9:$F$129)</f>
        <v>11.5</v>
      </c>
    </row>
    <row r="13" spans="2:26" ht="18" x14ac:dyDescent="0.35">
      <c r="B13" s="95">
        <v>10</v>
      </c>
      <c r="C13" s="96" t="s">
        <v>76</v>
      </c>
      <c r="D13" s="97">
        <v>2.4</v>
      </c>
      <c r="E13" s="98">
        <v>24</v>
      </c>
      <c r="F13" s="90">
        <v>0.5</v>
      </c>
      <c r="G13" s="91" t="s">
        <v>94</v>
      </c>
      <c r="H13" s="92">
        <v>10</v>
      </c>
      <c r="I13" s="93">
        <v>5</v>
      </c>
      <c r="J13" s="83"/>
      <c r="K13" s="83"/>
      <c r="L13" s="12"/>
      <c r="M13" s="13"/>
      <c r="N13" s="14"/>
      <c r="O13" s="11"/>
      <c r="P13" s="15"/>
      <c r="Q13" s="16"/>
      <c r="R13" s="2"/>
      <c r="S13" s="12"/>
      <c r="T13" s="17"/>
      <c r="U13" s="2"/>
      <c r="V13" s="18"/>
      <c r="W13" s="8"/>
      <c r="Y13" s="149" t="s">
        <v>20</v>
      </c>
      <c r="Z13" s="152">
        <f t="shared" ref="Z13:Z76" si="1">SUMIF($G$9:$G$129, Y13, $F$9:$F$129)</f>
        <v>3</v>
      </c>
    </row>
    <row r="14" spans="2:26" ht="18" x14ac:dyDescent="0.35">
      <c r="B14" s="95">
        <v>9</v>
      </c>
      <c r="C14" s="96" t="s">
        <v>77</v>
      </c>
      <c r="D14" s="97">
        <v>2.1</v>
      </c>
      <c r="E14" s="98">
        <v>18.900000000000002</v>
      </c>
      <c r="F14" s="90">
        <v>1</v>
      </c>
      <c r="G14" s="91" t="s">
        <v>92</v>
      </c>
      <c r="H14" s="92">
        <v>75</v>
      </c>
      <c r="I14" s="93">
        <v>75</v>
      </c>
      <c r="J14" s="83"/>
      <c r="K14" s="83"/>
      <c r="L14" s="12"/>
      <c r="M14" s="13"/>
      <c r="N14" s="14"/>
      <c r="O14" s="11"/>
      <c r="P14" s="15"/>
      <c r="Q14" s="16"/>
      <c r="R14" s="2"/>
      <c r="S14" s="12"/>
      <c r="T14" s="17"/>
      <c r="U14" s="2"/>
      <c r="V14" s="18"/>
      <c r="W14" s="8"/>
      <c r="Y14" s="149" t="s">
        <v>19</v>
      </c>
      <c r="Z14" s="152">
        <f t="shared" si="1"/>
        <v>3</v>
      </c>
    </row>
    <row r="15" spans="2:26" ht="18" x14ac:dyDescent="0.35">
      <c r="B15" s="95">
        <v>4.5</v>
      </c>
      <c r="C15" s="96" t="s">
        <v>77</v>
      </c>
      <c r="D15" s="97">
        <v>2.1</v>
      </c>
      <c r="E15" s="98">
        <v>9.4500000000000011</v>
      </c>
      <c r="F15" s="90">
        <v>0.5</v>
      </c>
      <c r="G15" s="91" t="s">
        <v>23</v>
      </c>
      <c r="H15" s="92">
        <v>55</v>
      </c>
      <c r="I15" s="93">
        <v>27.5</v>
      </c>
      <c r="J15" s="83"/>
      <c r="K15" s="83"/>
      <c r="L15" s="12"/>
      <c r="M15" s="13"/>
      <c r="N15" s="14"/>
      <c r="O15" s="11"/>
      <c r="P15" s="15"/>
      <c r="Q15" s="16"/>
      <c r="R15" s="2"/>
      <c r="S15" s="12"/>
      <c r="T15" s="17"/>
      <c r="U15" s="2"/>
      <c r="V15" s="18"/>
      <c r="W15" s="8"/>
      <c r="Y15" s="149" t="s">
        <v>18</v>
      </c>
      <c r="Z15" s="152">
        <f t="shared" si="1"/>
        <v>28</v>
      </c>
    </row>
    <row r="16" spans="2:26" ht="18" x14ac:dyDescent="0.35">
      <c r="B16" s="95">
        <v>6</v>
      </c>
      <c r="C16" s="96" t="s">
        <v>88</v>
      </c>
      <c r="D16" s="97">
        <v>0.9</v>
      </c>
      <c r="E16" s="98">
        <v>5.4</v>
      </c>
      <c r="F16" s="90">
        <v>1</v>
      </c>
      <c r="G16" s="91" t="s">
        <v>90</v>
      </c>
      <c r="H16" s="92">
        <v>90</v>
      </c>
      <c r="I16" s="93">
        <v>90</v>
      </c>
      <c r="J16" s="83"/>
      <c r="K16" s="83"/>
      <c r="L16" s="12"/>
      <c r="M16" s="13"/>
      <c r="N16" s="14"/>
      <c r="O16" s="11"/>
      <c r="P16" s="15"/>
      <c r="Q16" s="16"/>
      <c r="R16" s="2"/>
      <c r="S16" s="12"/>
      <c r="T16" s="17"/>
      <c r="U16" s="2"/>
      <c r="V16" s="18"/>
      <c r="W16" s="8"/>
      <c r="Y16" s="149" t="s">
        <v>22</v>
      </c>
      <c r="Z16" s="152">
        <f t="shared" si="1"/>
        <v>0</v>
      </c>
    </row>
    <row r="17" spans="2:26" ht="18" x14ac:dyDescent="0.35">
      <c r="B17" s="95">
        <v>3.5</v>
      </c>
      <c r="C17" s="96" t="s">
        <v>77</v>
      </c>
      <c r="D17" s="97">
        <v>2.1</v>
      </c>
      <c r="E17" s="98">
        <v>7.3500000000000005</v>
      </c>
      <c r="F17" s="90">
        <v>0.2</v>
      </c>
      <c r="G17" s="91" t="s">
        <v>94</v>
      </c>
      <c r="H17" s="92">
        <v>10</v>
      </c>
      <c r="I17" s="93">
        <v>2</v>
      </c>
      <c r="J17" s="83"/>
      <c r="K17" s="83"/>
      <c r="L17" s="12"/>
      <c r="M17" s="13"/>
      <c r="N17" s="14"/>
      <c r="O17" s="11"/>
      <c r="P17" s="15"/>
      <c r="Q17" s="16"/>
      <c r="R17" s="2"/>
      <c r="S17" s="12"/>
      <c r="T17" s="17"/>
      <c r="U17" s="2"/>
      <c r="V17" s="18"/>
      <c r="W17" s="8"/>
      <c r="Y17" s="149" t="s">
        <v>67</v>
      </c>
      <c r="Z17" s="152">
        <f t="shared" si="1"/>
        <v>1E-3</v>
      </c>
    </row>
    <row r="18" spans="2:26" ht="18" x14ac:dyDescent="0.35">
      <c r="B18" s="95">
        <v>6</v>
      </c>
      <c r="C18" s="96" t="s">
        <v>88</v>
      </c>
      <c r="D18" s="97">
        <v>0.9</v>
      </c>
      <c r="E18" s="98">
        <v>5.4</v>
      </c>
      <c r="F18" s="90">
        <v>3.5</v>
      </c>
      <c r="G18" s="91" t="s">
        <v>18</v>
      </c>
      <c r="H18" s="92">
        <v>10</v>
      </c>
      <c r="I18" s="93">
        <v>35</v>
      </c>
      <c r="J18" s="83"/>
      <c r="K18" s="83"/>
      <c r="L18" s="12"/>
      <c r="M18" s="13"/>
      <c r="N18" s="14"/>
      <c r="O18" s="11"/>
      <c r="P18" s="15"/>
      <c r="Q18" s="16"/>
      <c r="R18" s="2"/>
      <c r="S18" s="12"/>
      <c r="T18" s="17"/>
      <c r="U18" s="2"/>
      <c r="V18" s="18"/>
      <c r="W18" s="8"/>
      <c r="Y18" s="149" t="s">
        <v>90</v>
      </c>
      <c r="Z18" s="152">
        <f t="shared" si="1"/>
        <v>2.5</v>
      </c>
    </row>
    <row r="19" spans="2:26" ht="18" x14ac:dyDescent="0.35">
      <c r="B19" s="95">
        <v>3.5</v>
      </c>
      <c r="C19" s="96" t="s">
        <v>77</v>
      </c>
      <c r="D19" s="97">
        <v>2.1</v>
      </c>
      <c r="E19" s="98">
        <v>7.3500000000000005</v>
      </c>
      <c r="F19" s="90">
        <v>1.5</v>
      </c>
      <c r="G19" s="91" t="s">
        <v>94</v>
      </c>
      <c r="H19" s="92">
        <v>10</v>
      </c>
      <c r="I19" s="93">
        <v>15</v>
      </c>
      <c r="J19" s="83"/>
      <c r="K19" s="83"/>
      <c r="L19" s="12"/>
      <c r="M19" s="13"/>
      <c r="N19" s="14"/>
      <c r="O19" s="11"/>
      <c r="P19" s="15"/>
      <c r="Q19" s="16"/>
      <c r="R19" s="2"/>
      <c r="S19" s="12"/>
      <c r="T19" s="17"/>
      <c r="U19" s="2"/>
      <c r="V19" s="18"/>
      <c r="W19" s="8"/>
      <c r="Y19" s="149" t="s">
        <v>91</v>
      </c>
      <c r="Z19" s="152">
        <f t="shared" si="1"/>
        <v>0</v>
      </c>
    </row>
    <row r="20" spans="2:26" ht="18" x14ac:dyDescent="0.35">
      <c r="B20" s="95">
        <v>18.5</v>
      </c>
      <c r="C20" s="96" t="s">
        <v>76</v>
      </c>
      <c r="D20" s="97">
        <v>2.4</v>
      </c>
      <c r="E20" s="98">
        <v>44.4</v>
      </c>
      <c r="F20" s="90">
        <v>0.5</v>
      </c>
      <c r="G20" s="91" t="s">
        <v>90</v>
      </c>
      <c r="H20" s="92">
        <v>90</v>
      </c>
      <c r="I20" s="93">
        <v>45</v>
      </c>
      <c r="J20" s="83"/>
      <c r="K20" s="83"/>
      <c r="L20" s="12"/>
      <c r="M20" s="13"/>
      <c r="N20" s="14"/>
      <c r="O20" s="11"/>
      <c r="P20" s="15"/>
      <c r="Q20" s="16"/>
      <c r="R20" s="2"/>
      <c r="S20" s="12"/>
      <c r="T20" s="17"/>
      <c r="U20" s="2"/>
      <c r="V20" s="18"/>
      <c r="W20" s="8"/>
      <c r="Y20" s="149" t="s">
        <v>92</v>
      </c>
      <c r="Z20" s="152">
        <f t="shared" si="1"/>
        <v>5</v>
      </c>
    </row>
    <row r="21" spans="2:26" ht="18" x14ac:dyDescent="0.35">
      <c r="B21" s="95">
        <v>4</v>
      </c>
      <c r="C21" s="96" t="s">
        <v>77</v>
      </c>
      <c r="D21" s="97">
        <v>2.1</v>
      </c>
      <c r="E21" s="98">
        <v>8.4</v>
      </c>
      <c r="F21" s="90">
        <v>0.2</v>
      </c>
      <c r="G21" s="91" t="s">
        <v>94</v>
      </c>
      <c r="H21" s="92">
        <v>10</v>
      </c>
      <c r="I21" s="93">
        <v>2</v>
      </c>
      <c r="J21" s="83"/>
      <c r="K21" s="83"/>
      <c r="L21" s="12"/>
      <c r="M21" s="13"/>
      <c r="N21" s="14"/>
      <c r="O21" s="11"/>
      <c r="P21" s="15"/>
      <c r="Q21" s="16"/>
      <c r="R21" s="2"/>
      <c r="S21" s="12"/>
      <c r="T21" s="17"/>
      <c r="U21" s="2"/>
      <c r="V21" s="18"/>
      <c r="W21" s="8"/>
      <c r="Y21" s="149" t="s">
        <v>68</v>
      </c>
      <c r="Z21" s="152">
        <f t="shared" si="1"/>
        <v>0</v>
      </c>
    </row>
    <row r="22" spans="2:26" ht="18" x14ac:dyDescent="0.35">
      <c r="B22" s="95">
        <v>22.5</v>
      </c>
      <c r="C22" s="96" t="s">
        <v>88</v>
      </c>
      <c r="D22" s="97">
        <v>0.9</v>
      </c>
      <c r="E22" s="98">
        <v>20.25</v>
      </c>
      <c r="F22" s="90">
        <v>0.5</v>
      </c>
      <c r="G22" s="91" t="s">
        <v>18</v>
      </c>
      <c r="H22" s="92">
        <v>10</v>
      </c>
      <c r="I22" s="93">
        <v>5</v>
      </c>
      <c r="J22" s="83"/>
      <c r="K22" s="83"/>
      <c r="L22" s="12"/>
      <c r="M22" s="13"/>
      <c r="N22" s="14"/>
      <c r="O22" s="11"/>
      <c r="P22" s="15"/>
      <c r="Q22" s="16"/>
      <c r="R22" s="2"/>
      <c r="S22" s="12"/>
      <c r="T22" s="17"/>
      <c r="U22" s="2"/>
      <c r="V22" s="18"/>
      <c r="W22" s="8"/>
      <c r="Y22" s="149" t="s">
        <v>93</v>
      </c>
      <c r="Z22" s="152">
        <f t="shared" si="1"/>
        <v>0</v>
      </c>
    </row>
    <row r="23" spans="2:26" ht="18" x14ac:dyDescent="0.35">
      <c r="B23" s="95">
        <v>2.5</v>
      </c>
      <c r="C23" s="96" t="s">
        <v>76</v>
      </c>
      <c r="D23" s="97">
        <v>2.4</v>
      </c>
      <c r="E23" s="98">
        <v>6</v>
      </c>
      <c r="F23" s="90">
        <v>0.5</v>
      </c>
      <c r="G23" s="91" t="s">
        <v>23</v>
      </c>
      <c r="H23" s="92">
        <v>55</v>
      </c>
      <c r="I23" s="93">
        <v>27.5</v>
      </c>
      <c r="J23" s="83"/>
      <c r="K23" s="83"/>
      <c r="L23" s="12"/>
      <c r="M23" s="13"/>
      <c r="N23" s="14"/>
      <c r="O23" s="11"/>
      <c r="P23" s="15"/>
      <c r="Q23" s="16"/>
      <c r="R23" s="2"/>
      <c r="S23" s="12"/>
      <c r="T23" s="17"/>
      <c r="U23" s="2"/>
      <c r="V23" s="18"/>
      <c r="W23" s="8"/>
      <c r="Y23" s="149" t="s">
        <v>23</v>
      </c>
      <c r="Z23" s="152">
        <f t="shared" si="1"/>
        <v>2.5</v>
      </c>
    </row>
    <row r="24" spans="2:26" ht="18" x14ac:dyDescent="0.35">
      <c r="B24" s="95">
        <v>6.5</v>
      </c>
      <c r="C24" s="96" t="s">
        <v>77</v>
      </c>
      <c r="D24" s="97">
        <v>2.1</v>
      </c>
      <c r="E24" s="98">
        <v>13.65</v>
      </c>
      <c r="F24" s="90">
        <v>0.5</v>
      </c>
      <c r="G24" s="91" t="s">
        <v>52</v>
      </c>
      <c r="H24" s="92">
        <v>2</v>
      </c>
      <c r="I24" s="93">
        <v>1</v>
      </c>
      <c r="J24" s="83"/>
      <c r="K24" s="83"/>
      <c r="L24" s="12"/>
      <c r="M24" s="13"/>
      <c r="N24" s="14"/>
      <c r="O24" s="11"/>
      <c r="P24" s="15"/>
      <c r="Q24" s="16"/>
      <c r="R24" s="2"/>
      <c r="S24" s="12"/>
      <c r="T24" s="17"/>
      <c r="U24" s="2"/>
      <c r="V24" s="18"/>
      <c r="W24" s="8"/>
      <c r="Y24" s="149" t="s">
        <v>24</v>
      </c>
      <c r="Z24" s="152">
        <f t="shared" si="1"/>
        <v>0</v>
      </c>
    </row>
    <row r="25" spans="2:26" ht="18" x14ac:dyDescent="0.35">
      <c r="B25" s="95">
        <v>5.5</v>
      </c>
      <c r="C25" s="96" t="s">
        <v>88</v>
      </c>
      <c r="D25" s="97">
        <v>0.9</v>
      </c>
      <c r="E25" s="98">
        <v>4.95</v>
      </c>
      <c r="F25" s="90">
        <v>0.5</v>
      </c>
      <c r="G25" s="91" t="s">
        <v>92</v>
      </c>
      <c r="H25" s="92">
        <v>75</v>
      </c>
      <c r="I25" s="93">
        <v>37.5</v>
      </c>
      <c r="J25" s="83"/>
      <c r="K25" s="83"/>
      <c r="L25" s="12"/>
      <c r="M25" s="13"/>
      <c r="N25" s="14"/>
      <c r="O25" s="11"/>
      <c r="P25" s="15"/>
      <c r="Q25" s="16"/>
      <c r="R25" s="2"/>
      <c r="S25" s="12"/>
      <c r="T25" s="17"/>
      <c r="U25" s="2"/>
      <c r="V25" s="18"/>
      <c r="W25" s="8"/>
      <c r="Y25" s="149" t="s">
        <v>25</v>
      </c>
      <c r="Z25" s="152">
        <f t="shared" si="1"/>
        <v>0</v>
      </c>
    </row>
    <row r="26" spans="2:26" ht="18" x14ac:dyDescent="0.35">
      <c r="B26" s="95">
        <v>7</v>
      </c>
      <c r="C26" s="96" t="s">
        <v>76</v>
      </c>
      <c r="D26" s="97">
        <v>2.4</v>
      </c>
      <c r="E26" s="98">
        <v>16.8</v>
      </c>
      <c r="F26" s="90">
        <v>3</v>
      </c>
      <c r="G26" s="91" t="s">
        <v>19</v>
      </c>
      <c r="H26" s="92">
        <v>2</v>
      </c>
      <c r="I26" s="93">
        <v>6</v>
      </c>
      <c r="J26" s="83"/>
      <c r="K26" s="83"/>
      <c r="L26" s="12"/>
      <c r="M26" s="13"/>
      <c r="N26" s="14"/>
      <c r="O26" s="11"/>
      <c r="P26" s="15"/>
      <c r="Q26" s="16"/>
      <c r="R26" s="2"/>
      <c r="S26" s="12"/>
      <c r="T26" s="17"/>
      <c r="U26" s="2"/>
      <c r="V26" s="18"/>
      <c r="W26" s="8"/>
      <c r="Y26" s="149" t="s">
        <v>98</v>
      </c>
      <c r="Z26" s="152">
        <f t="shared" si="1"/>
        <v>0</v>
      </c>
    </row>
    <row r="27" spans="2:26" ht="18" x14ac:dyDescent="0.35">
      <c r="B27" s="95">
        <v>10</v>
      </c>
      <c r="C27" s="96" t="s">
        <v>88</v>
      </c>
      <c r="D27" s="97">
        <v>0.9</v>
      </c>
      <c r="E27" s="98">
        <v>9</v>
      </c>
      <c r="F27" s="90">
        <v>3</v>
      </c>
      <c r="G27" s="91" t="s">
        <v>18</v>
      </c>
      <c r="H27" s="92">
        <v>10</v>
      </c>
      <c r="I27" s="93">
        <v>30</v>
      </c>
      <c r="J27" s="83"/>
      <c r="K27" s="83"/>
      <c r="L27" s="12"/>
      <c r="M27" s="13"/>
      <c r="N27" s="14"/>
      <c r="O27" s="11"/>
      <c r="P27" s="15"/>
      <c r="Q27" s="16"/>
      <c r="R27" s="2"/>
      <c r="S27" s="12"/>
      <c r="T27" s="17"/>
      <c r="U27" s="2"/>
      <c r="V27" s="18"/>
      <c r="W27" s="8"/>
      <c r="Y27" s="149" t="s">
        <v>94</v>
      </c>
      <c r="Z27" s="152">
        <f t="shared" si="1"/>
        <v>21.4</v>
      </c>
    </row>
    <row r="28" spans="2:26" ht="18" x14ac:dyDescent="0.35">
      <c r="B28" s="95">
        <v>13</v>
      </c>
      <c r="C28" s="96" t="s">
        <v>76</v>
      </c>
      <c r="D28" s="97">
        <v>2.4</v>
      </c>
      <c r="E28" s="98">
        <v>31.2</v>
      </c>
      <c r="F28" s="90">
        <v>0.2</v>
      </c>
      <c r="G28" s="91" t="s">
        <v>87</v>
      </c>
      <c r="H28" s="92">
        <v>100</v>
      </c>
      <c r="I28" s="93">
        <v>20</v>
      </c>
      <c r="J28" s="83"/>
      <c r="K28" s="83"/>
      <c r="L28" s="12"/>
      <c r="M28" s="13"/>
      <c r="N28" s="14"/>
      <c r="O28" s="11"/>
      <c r="P28" s="15"/>
      <c r="Q28" s="16"/>
      <c r="R28" s="2"/>
      <c r="S28" s="12"/>
      <c r="T28" s="17"/>
      <c r="U28" s="2"/>
      <c r="V28" s="18"/>
      <c r="W28" s="8"/>
      <c r="Y28" s="149" t="s">
        <v>42</v>
      </c>
      <c r="Z28" s="152">
        <f t="shared" si="1"/>
        <v>0</v>
      </c>
    </row>
    <row r="29" spans="2:26" ht="18" x14ac:dyDescent="0.35">
      <c r="B29" s="95">
        <v>2</v>
      </c>
      <c r="C29" s="96" t="s">
        <v>76</v>
      </c>
      <c r="D29" s="97">
        <v>2.4</v>
      </c>
      <c r="E29" s="98">
        <v>4.8</v>
      </c>
      <c r="F29" s="90">
        <v>2</v>
      </c>
      <c r="G29" s="91" t="s">
        <v>94</v>
      </c>
      <c r="H29" s="92">
        <v>10</v>
      </c>
      <c r="I29" s="93">
        <v>20</v>
      </c>
      <c r="J29" s="83"/>
      <c r="K29" s="83"/>
      <c r="L29" s="12"/>
      <c r="M29" s="13"/>
      <c r="N29" s="14"/>
      <c r="O29" s="11"/>
      <c r="P29" s="15"/>
      <c r="Q29" s="16"/>
      <c r="R29" s="2"/>
      <c r="S29" s="12"/>
      <c r="T29" s="17"/>
      <c r="U29" s="2"/>
      <c r="V29" s="18"/>
      <c r="W29" s="8"/>
      <c r="Y29" s="149" t="s">
        <v>39</v>
      </c>
      <c r="Z29" s="152">
        <f t="shared" si="1"/>
        <v>0</v>
      </c>
    </row>
    <row r="30" spans="2:26" ht="18" x14ac:dyDescent="0.35">
      <c r="B30" s="95">
        <v>2.5</v>
      </c>
      <c r="C30" s="96" t="s">
        <v>77</v>
      </c>
      <c r="D30" s="97">
        <v>2.1</v>
      </c>
      <c r="E30" s="98">
        <v>5.25</v>
      </c>
      <c r="F30" s="90">
        <v>11.5</v>
      </c>
      <c r="G30" s="91" t="s">
        <v>89</v>
      </c>
      <c r="H30" s="92">
        <v>2.2999999999999998</v>
      </c>
      <c r="I30" s="93">
        <v>26.45</v>
      </c>
      <c r="J30" s="83"/>
      <c r="K30" s="83"/>
      <c r="L30" s="12"/>
      <c r="M30" s="13"/>
      <c r="N30" s="14"/>
      <c r="O30" s="11"/>
      <c r="P30" s="15"/>
      <c r="Q30" s="16"/>
      <c r="R30" s="2"/>
      <c r="S30" s="12"/>
      <c r="T30" s="17"/>
      <c r="U30" s="2"/>
      <c r="V30" s="18"/>
      <c r="W30" s="8"/>
      <c r="Y30" s="149" t="s">
        <v>99</v>
      </c>
      <c r="Z30" s="152">
        <f t="shared" si="1"/>
        <v>0</v>
      </c>
    </row>
    <row r="31" spans="2:26" ht="18" x14ac:dyDescent="0.35">
      <c r="B31" s="95">
        <v>2</v>
      </c>
      <c r="C31" s="96" t="s">
        <v>77</v>
      </c>
      <c r="D31" s="97">
        <v>2.1</v>
      </c>
      <c r="E31" s="98">
        <v>4.2</v>
      </c>
      <c r="F31" s="90">
        <v>0.5</v>
      </c>
      <c r="G31" s="91" t="s">
        <v>90</v>
      </c>
      <c r="H31" s="92">
        <v>90</v>
      </c>
      <c r="I31" s="93">
        <v>45</v>
      </c>
      <c r="J31" s="83"/>
      <c r="K31" s="83"/>
      <c r="L31" s="12"/>
      <c r="M31" s="13"/>
      <c r="N31" s="14"/>
      <c r="O31" s="11"/>
      <c r="P31" s="15"/>
      <c r="Q31" s="16"/>
      <c r="R31" s="2"/>
      <c r="S31" s="12"/>
      <c r="T31" s="17"/>
      <c r="U31" s="2"/>
      <c r="V31" s="18"/>
      <c r="W31" s="8"/>
      <c r="Y31" s="149" t="s">
        <v>95</v>
      </c>
      <c r="Z31" s="152">
        <f t="shared" si="1"/>
        <v>0</v>
      </c>
    </row>
    <row r="32" spans="2:26" ht="18" x14ac:dyDescent="0.35">
      <c r="B32" s="95">
        <v>1.5</v>
      </c>
      <c r="C32" s="96" t="s">
        <v>76</v>
      </c>
      <c r="D32" s="97">
        <v>2.4</v>
      </c>
      <c r="E32" s="98">
        <v>3.5999999999999996</v>
      </c>
      <c r="F32" s="90">
        <v>4</v>
      </c>
      <c r="G32" s="91" t="s">
        <v>18</v>
      </c>
      <c r="H32" s="92">
        <v>10</v>
      </c>
      <c r="I32" s="93">
        <v>40</v>
      </c>
      <c r="J32" s="83"/>
      <c r="K32" s="83"/>
      <c r="L32" s="12"/>
      <c r="M32" s="13"/>
      <c r="N32" s="14"/>
      <c r="O32" s="11"/>
      <c r="P32" s="15"/>
      <c r="Q32" s="16"/>
      <c r="R32" s="2"/>
      <c r="S32" s="12"/>
      <c r="T32" s="17"/>
      <c r="U32" s="2"/>
      <c r="V32" s="18"/>
      <c r="W32" s="8"/>
      <c r="Y32" s="149" t="s">
        <v>97</v>
      </c>
      <c r="Z32" s="152">
        <f t="shared" si="1"/>
        <v>0</v>
      </c>
    </row>
    <row r="33" spans="2:26" ht="18" x14ac:dyDescent="0.35">
      <c r="B33" s="95">
        <v>4.2</v>
      </c>
      <c r="C33" s="96" t="s">
        <v>88</v>
      </c>
      <c r="D33" s="97">
        <v>0.9</v>
      </c>
      <c r="E33" s="98">
        <v>3.7800000000000002</v>
      </c>
      <c r="F33" s="90">
        <v>3.5</v>
      </c>
      <c r="G33" s="91" t="s">
        <v>18</v>
      </c>
      <c r="H33" s="92">
        <v>10</v>
      </c>
      <c r="I33" s="93">
        <v>35</v>
      </c>
      <c r="J33" s="83"/>
      <c r="K33" s="83"/>
      <c r="L33" s="12"/>
      <c r="M33" s="13"/>
      <c r="N33" s="14"/>
      <c r="O33" s="11"/>
      <c r="P33" s="15"/>
      <c r="Q33" s="16"/>
      <c r="R33" s="2"/>
      <c r="S33" s="12"/>
      <c r="T33" s="17"/>
      <c r="U33" s="2"/>
      <c r="V33" s="18"/>
      <c r="W33" s="8"/>
      <c r="Y33" s="149" t="s">
        <v>43</v>
      </c>
      <c r="Z33" s="152">
        <f t="shared" si="1"/>
        <v>0</v>
      </c>
    </row>
    <row r="34" spans="2:26" ht="18" x14ac:dyDescent="0.35">
      <c r="B34" s="95">
        <v>5.5</v>
      </c>
      <c r="C34" s="96" t="s">
        <v>76</v>
      </c>
      <c r="D34" s="97">
        <v>2.4</v>
      </c>
      <c r="E34" s="98">
        <v>13.2</v>
      </c>
      <c r="F34" s="90">
        <v>3</v>
      </c>
      <c r="G34" s="91" t="s">
        <v>94</v>
      </c>
      <c r="H34" s="92">
        <v>10</v>
      </c>
      <c r="I34" s="93">
        <v>30</v>
      </c>
      <c r="J34" s="83"/>
      <c r="K34" s="83"/>
      <c r="L34" s="12"/>
      <c r="M34" s="13"/>
      <c r="N34" s="14"/>
      <c r="O34" s="11"/>
      <c r="P34" s="15"/>
      <c r="Q34" s="16"/>
      <c r="R34" s="2"/>
      <c r="S34" s="12"/>
      <c r="T34" s="17"/>
      <c r="U34" s="2"/>
      <c r="V34" s="18"/>
      <c r="W34" s="8"/>
      <c r="Y34" s="149" t="s">
        <v>32</v>
      </c>
      <c r="Z34" s="152">
        <f t="shared" si="1"/>
        <v>0</v>
      </c>
    </row>
    <row r="35" spans="2:26" ht="18" x14ac:dyDescent="0.35">
      <c r="B35" s="95">
        <v>16.5</v>
      </c>
      <c r="C35" s="96" t="s">
        <v>76</v>
      </c>
      <c r="D35" s="97">
        <v>2.4</v>
      </c>
      <c r="E35" s="98">
        <v>39.6</v>
      </c>
      <c r="F35" s="90">
        <v>0.5</v>
      </c>
      <c r="G35" s="91" t="s">
        <v>92</v>
      </c>
      <c r="H35" s="92">
        <v>75</v>
      </c>
      <c r="I35" s="93">
        <v>37.5</v>
      </c>
      <c r="J35" s="83"/>
      <c r="K35" s="83"/>
      <c r="L35" s="12"/>
      <c r="M35" s="13"/>
      <c r="N35" s="14"/>
      <c r="O35" s="11"/>
      <c r="P35" s="15"/>
      <c r="Q35" s="16"/>
      <c r="R35" s="2"/>
      <c r="S35" s="12"/>
      <c r="T35" s="17"/>
      <c r="U35" s="2"/>
      <c r="V35" s="18"/>
      <c r="W35" s="8"/>
      <c r="Y35" s="149" t="s">
        <v>33</v>
      </c>
      <c r="Z35" s="152">
        <f t="shared" si="1"/>
        <v>0</v>
      </c>
    </row>
    <row r="36" spans="2:26" ht="18" x14ac:dyDescent="0.35">
      <c r="B36" s="95">
        <v>17.5</v>
      </c>
      <c r="C36" s="96" t="s">
        <v>88</v>
      </c>
      <c r="D36" s="97">
        <v>0.9</v>
      </c>
      <c r="E36" s="98">
        <v>15.75</v>
      </c>
      <c r="F36" s="90">
        <v>2</v>
      </c>
      <c r="G36" s="91" t="s">
        <v>20</v>
      </c>
      <c r="H36" s="92">
        <v>1</v>
      </c>
      <c r="I36" s="93">
        <v>2</v>
      </c>
      <c r="J36" s="83"/>
      <c r="K36" s="83"/>
      <c r="L36" s="12"/>
      <c r="M36" s="13"/>
      <c r="N36" s="14"/>
      <c r="O36" s="11"/>
      <c r="P36" s="15"/>
      <c r="Q36" s="16"/>
      <c r="R36" s="2"/>
      <c r="S36" s="12"/>
      <c r="T36" s="17"/>
      <c r="U36" s="2"/>
      <c r="V36" s="18"/>
      <c r="W36" s="8"/>
      <c r="Y36" s="149" t="s">
        <v>30</v>
      </c>
      <c r="Z36" s="152">
        <f t="shared" si="1"/>
        <v>0</v>
      </c>
    </row>
    <row r="37" spans="2:26" ht="18" x14ac:dyDescent="0.35">
      <c r="B37" s="95">
        <v>23</v>
      </c>
      <c r="C37" s="96" t="s">
        <v>77</v>
      </c>
      <c r="D37" s="97">
        <v>2.1</v>
      </c>
      <c r="E37" s="98">
        <v>48.300000000000004</v>
      </c>
      <c r="F37" s="90">
        <v>4</v>
      </c>
      <c r="G37" s="91" t="s">
        <v>18</v>
      </c>
      <c r="H37" s="92">
        <v>10</v>
      </c>
      <c r="I37" s="93">
        <v>40</v>
      </c>
      <c r="J37" s="83"/>
      <c r="K37" s="83"/>
      <c r="L37" s="12"/>
      <c r="M37" s="13"/>
      <c r="N37" s="14"/>
      <c r="O37" s="11"/>
      <c r="P37" s="15"/>
      <c r="Q37" s="16"/>
      <c r="R37" s="2"/>
      <c r="S37" s="12"/>
      <c r="T37" s="17"/>
      <c r="U37" s="2"/>
      <c r="V37" s="18"/>
      <c r="W37" s="8"/>
      <c r="Y37" s="149" t="s">
        <v>31</v>
      </c>
      <c r="Z37" s="152">
        <f t="shared" si="1"/>
        <v>0</v>
      </c>
    </row>
    <row r="38" spans="2:26" ht="18" x14ac:dyDescent="0.35">
      <c r="B38" s="95">
        <v>42.5</v>
      </c>
      <c r="C38" s="96" t="s">
        <v>77</v>
      </c>
      <c r="D38" s="97">
        <v>2.1</v>
      </c>
      <c r="E38" s="98">
        <v>89.25</v>
      </c>
      <c r="F38" s="90">
        <v>1</v>
      </c>
      <c r="G38" s="91" t="s">
        <v>48</v>
      </c>
      <c r="H38" s="92">
        <v>6</v>
      </c>
      <c r="I38" s="93">
        <v>6</v>
      </c>
      <c r="J38" s="83"/>
      <c r="K38" s="83"/>
      <c r="L38" s="12"/>
      <c r="M38" s="13"/>
      <c r="N38" s="14"/>
      <c r="O38" s="11"/>
      <c r="P38" s="15"/>
      <c r="Q38" s="16"/>
      <c r="R38" s="2"/>
      <c r="S38" s="12"/>
      <c r="T38" s="17"/>
      <c r="U38" s="2"/>
      <c r="V38" s="18"/>
      <c r="W38" s="8"/>
      <c r="Y38" s="149" t="s">
        <v>84</v>
      </c>
      <c r="Z38" s="152">
        <f t="shared" si="1"/>
        <v>0</v>
      </c>
    </row>
    <row r="39" spans="2:26" ht="18" x14ac:dyDescent="0.35">
      <c r="B39" s="95">
        <v>4.5</v>
      </c>
      <c r="C39" s="96" t="s">
        <v>76</v>
      </c>
      <c r="D39" s="97">
        <v>2.4</v>
      </c>
      <c r="E39" s="98">
        <v>10.799999999999999</v>
      </c>
      <c r="F39" s="90">
        <v>0.5</v>
      </c>
      <c r="G39" s="91" t="s">
        <v>92</v>
      </c>
      <c r="H39" s="92">
        <v>75</v>
      </c>
      <c r="I39" s="93">
        <v>37.5</v>
      </c>
      <c r="J39" s="83"/>
      <c r="K39" s="83"/>
      <c r="L39" s="12"/>
      <c r="M39" s="13"/>
      <c r="N39" s="14"/>
      <c r="O39" s="11"/>
      <c r="P39" s="15"/>
      <c r="Q39" s="16"/>
      <c r="R39" s="2"/>
      <c r="S39" s="12"/>
      <c r="T39" s="17"/>
      <c r="U39" s="2"/>
      <c r="V39" s="18"/>
      <c r="W39" s="8"/>
      <c r="Y39" s="149" t="s">
        <v>85</v>
      </c>
      <c r="Z39" s="152">
        <f t="shared" si="1"/>
        <v>0.2</v>
      </c>
    </row>
    <row r="40" spans="2:26" ht="18" x14ac:dyDescent="0.35">
      <c r="B40" s="95">
        <v>0.5</v>
      </c>
      <c r="C40" s="96" t="s">
        <v>76</v>
      </c>
      <c r="D40" s="97">
        <v>2.4</v>
      </c>
      <c r="E40" s="98">
        <v>1.2</v>
      </c>
      <c r="F40" s="90">
        <v>2.5</v>
      </c>
      <c r="G40" s="91" t="s">
        <v>94</v>
      </c>
      <c r="H40" s="92">
        <v>10</v>
      </c>
      <c r="I40" s="93">
        <v>25</v>
      </c>
      <c r="J40" s="83"/>
      <c r="K40" s="83"/>
      <c r="L40" s="12"/>
      <c r="M40" s="13"/>
      <c r="N40" s="14"/>
      <c r="O40" s="11"/>
      <c r="P40" s="15"/>
      <c r="Q40" s="16"/>
      <c r="R40" s="2"/>
      <c r="S40" s="12"/>
      <c r="T40" s="17"/>
      <c r="U40" s="2"/>
      <c r="V40" s="18"/>
      <c r="W40" s="8"/>
      <c r="Y40" s="149" t="s">
        <v>86</v>
      </c>
      <c r="Z40" s="152">
        <f t="shared" si="1"/>
        <v>0</v>
      </c>
    </row>
    <row r="41" spans="2:26" ht="18" x14ac:dyDescent="0.35">
      <c r="B41" s="95">
        <v>1.5</v>
      </c>
      <c r="C41" s="96" t="s">
        <v>88</v>
      </c>
      <c r="D41" s="97">
        <v>0.9</v>
      </c>
      <c r="E41" s="98">
        <v>1.35</v>
      </c>
      <c r="F41" s="90">
        <v>0.5</v>
      </c>
      <c r="G41" s="91" t="s">
        <v>23</v>
      </c>
      <c r="H41" s="92">
        <v>55</v>
      </c>
      <c r="I41" s="93">
        <v>27.5</v>
      </c>
      <c r="J41" s="83"/>
      <c r="K41" s="83"/>
      <c r="L41" s="12"/>
      <c r="M41" s="13"/>
      <c r="N41" s="14"/>
      <c r="O41" s="11"/>
      <c r="P41" s="15"/>
      <c r="Q41" s="16"/>
      <c r="R41" s="2"/>
      <c r="S41" s="12"/>
      <c r="T41" s="17"/>
      <c r="U41" s="2"/>
      <c r="V41" s="18"/>
      <c r="W41" s="8"/>
      <c r="Y41" s="149" t="s">
        <v>87</v>
      </c>
      <c r="Z41" s="152">
        <f t="shared" si="1"/>
        <v>0.2</v>
      </c>
    </row>
    <row r="42" spans="2:26" ht="18" x14ac:dyDescent="0.35">
      <c r="B42" s="95">
        <v>31</v>
      </c>
      <c r="C42" s="96" t="s">
        <v>77</v>
      </c>
      <c r="D42" s="97">
        <v>2.1</v>
      </c>
      <c r="E42" s="98">
        <v>65.100000000000009</v>
      </c>
      <c r="F42" s="90">
        <v>0.5</v>
      </c>
      <c r="G42" s="91" t="s">
        <v>18</v>
      </c>
      <c r="H42" s="92">
        <v>10</v>
      </c>
      <c r="I42" s="93">
        <v>5</v>
      </c>
      <c r="J42" s="83"/>
      <c r="K42" s="83"/>
      <c r="L42" s="12"/>
      <c r="M42" s="13"/>
      <c r="N42" s="14"/>
      <c r="O42" s="11"/>
      <c r="P42" s="15"/>
      <c r="Q42" s="16"/>
      <c r="R42" s="2"/>
      <c r="S42" s="12"/>
      <c r="T42" s="17"/>
      <c r="U42" s="2"/>
      <c r="V42" s="18"/>
      <c r="W42" s="8"/>
      <c r="Y42" s="149" t="s">
        <v>46</v>
      </c>
      <c r="Z42" s="152">
        <f t="shared" si="1"/>
        <v>0</v>
      </c>
    </row>
    <row r="43" spans="2:26" ht="18" x14ac:dyDescent="0.35">
      <c r="B43" s="95">
        <v>27.5</v>
      </c>
      <c r="C43" s="96" t="s">
        <v>77</v>
      </c>
      <c r="D43" s="97">
        <v>2.1</v>
      </c>
      <c r="E43" s="98">
        <v>57.75</v>
      </c>
      <c r="F43" s="90">
        <v>0.2</v>
      </c>
      <c r="G43" s="91" t="s">
        <v>85</v>
      </c>
      <c r="H43" s="92">
        <v>10</v>
      </c>
      <c r="I43" s="93">
        <v>2</v>
      </c>
      <c r="J43" s="83"/>
      <c r="K43" s="83"/>
      <c r="L43" s="12"/>
      <c r="M43" s="13"/>
      <c r="N43" s="14"/>
      <c r="O43" s="11"/>
      <c r="P43" s="15"/>
      <c r="Q43" s="16"/>
      <c r="R43" s="2"/>
      <c r="S43" s="12"/>
      <c r="T43" s="17"/>
      <c r="U43" s="2"/>
      <c r="V43" s="18"/>
      <c r="W43" s="8"/>
      <c r="Y43" s="149" t="s">
        <v>47</v>
      </c>
      <c r="Z43" s="152">
        <f t="shared" si="1"/>
        <v>0</v>
      </c>
    </row>
    <row r="44" spans="2:26" ht="18" x14ac:dyDescent="0.35">
      <c r="B44" s="95">
        <v>20</v>
      </c>
      <c r="C44" s="96" t="s">
        <v>77</v>
      </c>
      <c r="D44" s="97">
        <v>2.1</v>
      </c>
      <c r="E44" s="98">
        <v>42</v>
      </c>
      <c r="F44" s="90">
        <v>2.5</v>
      </c>
      <c r="G44" s="91" t="s">
        <v>18</v>
      </c>
      <c r="H44" s="92">
        <v>10</v>
      </c>
      <c r="I44" s="93">
        <v>25</v>
      </c>
      <c r="J44" s="83"/>
      <c r="K44" s="83"/>
      <c r="L44" s="12"/>
      <c r="M44" s="13"/>
      <c r="N44" s="14"/>
      <c r="O44" s="11"/>
      <c r="P44" s="15"/>
      <c r="Q44" s="16"/>
      <c r="R44" s="2"/>
      <c r="S44" s="12"/>
      <c r="T44" s="17"/>
      <c r="U44" s="2"/>
      <c r="V44" s="18"/>
      <c r="W44" s="8"/>
      <c r="Y44" s="149" t="s">
        <v>48</v>
      </c>
      <c r="Z44" s="152">
        <f t="shared" si="1"/>
        <v>1</v>
      </c>
    </row>
    <row r="45" spans="2:26" ht="18" x14ac:dyDescent="0.35">
      <c r="B45" s="95">
        <v>6.5</v>
      </c>
      <c r="C45" s="96" t="s">
        <v>76</v>
      </c>
      <c r="D45" s="97">
        <v>2.4</v>
      </c>
      <c r="E45" s="98">
        <v>15.6</v>
      </c>
      <c r="F45" s="90">
        <v>1</v>
      </c>
      <c r="G45" s="91" t="s">
        <v>23</v>
      </c>
      <c r="H45" s="92">
        <v>55</v>
      </c>
      <c r="I45" s="93">
        <v>55</v>
      </c>
      <c r="J45" s="83"/>
      <c r="K45" s="83"/>
      <c r="L45" s="12"/>
      <c r="M45" s="13"/>
      <c r="N45" s="14"/>
      <c r="O45" s="11"/>
      <c r="P45" s="15"/>
      <c r="Q45" s="16"/>
      <c r="R45" s="2"/>
      <c r="S45" s="12"/>
      <c r="T45" s="17"/>
      <c r="U45" s="2"/>
      <c r="V45" s="18"/>
      <c r="W45" s="8"/>
      <c r="Y45" s="149" t="s">
        <v>83</v>
      </c>
      <c r="Z45" s="152">
        <f t="shared" si="1"/>
        <v>0</v>
      </c>
    </row>
    <row r="46" spans="2:26" ht="18" x14ac:dyDescent="0.35">
      <c r="B46" s="95">
        <v>11.5</v>
      </c>
      <c r="C46" s="96" t="s">
        <v>77</v>
      </c>
      <c r="D46" s="97">
        <v>2.1</v>
      </c>
      <c r="E46" s="98">
        <v>24.150000000000002</v>
      </c>
      <c r="F46" s="90">
        <v>1.5</v>
      </c>
      <c r="G46" s="91" t="s">
        <v>92</v>
      </c>
      <c r="H46" s="92">
        <v>75</v>
      </c>
      <c r="I46" s="93">
        <v>112.5</v>
      </c>
      <c r="J46" s="83"/>
      <c r="K46" s="83"/>
      <c r="L46" s="12"/>
      <c r="M46" s="13"/>
      <c r="N46" s="14"/>
      <c r="O46" s="11"/>
      <c r="P46" s="15"/>
      <c r="Q46" s="16"/>
      <c r="R46" s="2"/>
      <c r="S46" s="12"/>
      <c r="T46" s="17"/>
      <c r="U46" s="2"/>
      <c r="V46" s="18"/>
      <c r="W46" s="8"/>
      <c r="Y46" s="149" t="s">
        <v>96</v>
      </c>
      <c r="Z46" s="152">
        <f t="shared" si="1"/>
        <v>0</v>
      </c>
    </row>
    <row r="47" spans="2:26" ht="18" x14ac:dyDescent="0.35">
      <c r="B47" s="95">
        <v>7</v>
      </c>
      <c r="C47" s="96" t="s">
        <v>76</v>
      </c>
      <c r="D47" s="97">
        <v>2.4</v>
      </c>
      <c r="E47" s="98">
        <v>16.8</v>
      </c>
      <c r="F47" s="90">
        <v>9.5</v>
      </c>
      <c r="G47" s="91" t="s">
        <v>94</v>
      </c>
      <c r="H47" s="92">
        <v>10</v>
      </c>
      <c r="I47" s="93">
        <v>95</v>
      </c>
      <c r="J47" s="83"/>
      <c r="K47" s="83"/>
      <c r="L47" s="12"/>
      <c r="M47" s="13"/>
      <c r="N47" s="14"/>
      <c r="O47" s="11"/>
      <c r="P47" s="15"/>
      <c r="Q47" s="16"/>
      <c r="R47" s="2"/>
      <c r="S47" s="12"/>
      <c r="T47" s="17"/>
      <c r="U47" s="2"/>
      <c r="V47" s="18"/>
      <c r="W47" s="8"/>
      <c r="Y47" s="149" t="s">
        <v>73</v>
      </c>
      <c r="Z47" s="152">
        <f t="shared" si="1"/>
        <v>0</v>
      </c>
    </row>
    <row r="48" spans="2:26" ht="18" x14ac:dyDescent="0.35">
      <c r="B48" s="95">
        <v>7.5</v>
      </c>
      <c r="C48" s="96" t="s">
        <v>76</v>
      </c>
      <c r="D48" s="97">
        <v>2.4</v>
      </c>
      <c r="E48" s="98">
        <v>18</v>
      </c>
      <c r="F48" s="90">
        <v>1</v>
      </c>
      <c r="G48" s="91" t="s">
        <v>92</v>
      </c>
      <c r="H48" s="92">
        <v>75</v>
      </c>
      <c r="I48" s="93">
        <v>75</v>
      </c>
      <c r="J48" s="83"/>
      <c r="K48" s="83"/>
      <c r="L48" s="12"/>
      <c r="M48" s="13"/>
      <c r="N48" s="14"/>
      <c r="O48" s="11"/>
      <c r="P48" s="15"/>
      <c r="Q48" s="16"/>
      <c r="R48" s="2"/>
      <c r="S48" s="12"/>
      <c r="T48" s="17"/>
      <c r="U48" s="2"/>
      <c r="V48" s="18"/>
      <c r="W48" s="8"/>
      <c r="Y48" s="149" t="s">
        <v>74</v>
      </c>
      <c r="Z48" s="152">
        <f t="shared" si="1"/>
        <v>0</v>
      </c>
    </row>
    <row r="49" spans="2:26" ht="18" x14ac:dyDescent="0.35">
      <c r="B49" s="95"/>
      <c r="C49" s="96"/>
      <c r="D49" s="97"/>
      <c r="E49" s="98"/>
      <c r="F49" s="90">
        <v>2</v>
      </c>
      <c r="G49" s="91" t="s">
        <v>94</v>
      </c>
      <c r="H49" s="92">
        <v>10</v>
      </c>
      <c r="I49" s="93">
        <v>20</v>
      </c>
      <c r="J49" s="83"/>
      <c r="K49" s="83"/>
      <c r="L49" s="12"/>
      <c r="M49" s="13"/>
      <c r="N49" s="14"/>
      <c r="O49" s="11"/>
      <c r="P49" s="15"/>
      <c r="Q49" s="16"/>
      <c r="R49" s="2"/>
      <c r="S49" s="12"/>
      <c r="T49" s="17"/>
      <c r="U49" s="2"/>
      <c r="V49" s="18"/>
      <c r="W49" s="8"/>
      <c r="Y49" s="149" t="s">
        <v>70</v>
      </c>
      <c r="Z49" s="152">
        <f t="shared" si="1"/>
        <v>0</v>
      </c>
    </row>
    <row r="50" spans="2:26" ht="18" x14ac:dyDescent="0.35">
      <c r="B50" s="95"/>
      <c r="C50" s="96"/>
      <c r="D50" s="97"/>
      <c r="E50" s="98"/>
      <c r="F50" s="90">
        <v>1</v>
      </c>
      <c r="G50" s="91" t="s">
        <v>18</v>
      </c>
      <c r="H50" s="92">
        <v>10</v>
      </c>
      <c r="I50" s="93">
        <v>10</v>
      </c>
      <c r="J50" s="83"/>
      <c r="K50" s="83"/>
      <c r="L50" s="12"/>
      <c r="M50" s="13"/>
      <c r="N50" s="14"/>
      <c r="O50" s="11"/>
      <c r="P50" s="15"/>
      <c r="Q50" s="16"/>
      <c r="R50" s="2"/>
      <c r="S50" s="12"/>
      <c r="T50" s="17"/>
      <c r="U50" s="2"/>
      <c r="V50" s="18"/>
      <c r="W50" s="8"/>
      <c r="Y50" s="149" t="s">
        <v>64</v>
      </c>
      <c r="Z50" s="152">
        <f t="shared" si="1"/>
        <v>0</v>
      </c>
    </row>
    <row r="51" spans="2:26" ht="18" x14ac:dyDescent="0.35">
      <c r="B51" s="95"/>
      <c r="C51" s="96"/>
      <c r="D51" s="97"/>
      <c r="E51" s="98"/>
      <c r="F51" s="90">
        <v>0.5</v>
      </c>
      <c r="G51" s="91" t="s">
        <v>90</v>
      </c>
      <c r="H51" s="92">
        <v>90</v>
      </c>
      <c r="I51" s="93">
        <v>45</v>
      </c>
      <c r="J51" s="83"/>
      <c r="K51" s="83"/>
      <c r="L51" s="12"/>
      <c r="M51" s="13"/>
      <c r="N51" s="14"/>
      <c r="O51" s="11"/>
      <c r="P51" s="15"/>
      <c r="Q51" s="16"/>
      <c r="R51" s="2"/>
      <c r="S51" s="12"/>
      <c r="T51" s="17"/>
      <c r="U51" s="2"/>
      <c r="V51" s="18"/>
      <c r="W51" s="8"/>
      <c r="Y51" s="149" t="s">
        <v>65</v>
      </c>
      <c r="Z51" s="152">
        <f t="shared" si="1"/>
        <v>0</v>
      </c>
    </row>
    <row r="52" spans="2:26" ht="18" x14ac:dyDescent="0.35">
      <c r="B52" s="95"/>
      <c r="C52" s="96"/>
      <c r="D52" s="97"/>
      <c r="E52" s="98"/>
      <c r="F52" s="90"/>
      <c r="G52" s="91"/>
      <c r="H52" s="92"/>
      <c r="I52" s="93"/>
      <c r="J52" s="83"/>
      <c r="K52" s="83"/>
      <c r="L52" s="12"/>
      <c r="M52" s="13"/>
      <c r="N52" s="14"/>
      <c r="O52" s="11"/>
      <c r="P52" s="15"/>
      <c r="Q52" s="16"/>
      <c r="R52" s="2"/>
      <c r="S52" s="12"/>
      <c r="T52" s="17"/>
      <c r="U52" s="2"/>
      <c r="V52" s="18"/>
      <c r="W52" s="8"/>
      <c r="Y52" s="149" t="s">
        <v>66</v>
      </c>
      <c r="Z52" s="152">
        <f t="shared" si="1"/>
        <v>0</v>
      </c>
    </row>
    <row r="53" spans="2:26" ht="18" x14ac:dyDescent="0.35">
      <c r="B53" s="95"/>
      <c r="C53" s="96"/>
      <c r="D53" s="97"/>
      <c r="E53" s="98"/>
      <c r="F53" s="90"/>
      <c r="G53" s="91"/>
      <c r="H53" s="92"/>
      <c r="I53" s="93"/>
      <c r="J53" s="83"/>
      <c r="K53" s="83"/>
      <c r="L53" s="12"/>
      <c r="M53" s="13"/>
      <c r="N53" s="14"/>
      <c r="O53" s="11"/>
      <c r="P53" s="15"/>
      <c r="Q53" s="16"/>
      <c r="R53" s="2"/>
      <c r="S53" s="12"/>
      <c r="T53" s="17"/>
      <c r="U53" s="2"/>
      <c r="V53" s="18"/>
      <c r="W53" s="8"/>
      <c r="Y53" s="149" t="s">
        <v>100</v>
      </c>
      <c r="Z53" s="152">
        <f t="shared" si="1"/>
        <v>0</v>
      </c>
    </row>
    <row r="54" spans="2:26" ht="18" x14ac:dyDescent="0.35">
      <c r="B54" s="95"/>
      <c r="C54" s="96"/>
      <c r="D54" s="97"/>
      <c r="E54" s="98"/>
      <c r="F54" s="90"/>
      <c r="G54" s="91"/>
      <c r="H54" s="92"/>
      <c r="I54" s="93"/>
      <c r="J54" s="83"/>
      <c r="K54" s="83"/>
      <c r="L54" s="12"/>
      <c r="M54" s="13"/>
      <c r="N54" s="14"/>
      <c r="O54" s="11"/>
      <c r="P54" s="15"/>
      <c r="Q54" s="16"/>
      <c r="R54" s="2"/>
      <c r="S54" s="12"/>
      <c r="T54" s="17"/>
      <c r="U54" s="2"/>
      <c r="V54" s="18"/>
      <c r="W54" s="8"/>
      <c r="Y54" s="149" t="s">
        <v>101</v>
      </c>
      <c r="Z54" s="152">
        <f t="shared" si="1"/>
        <v>0</v>
      </c>
    </row>
    <row r="55" spans="2:26" ht="18" x14ac:dyDescent="0.35">
      <c r="B55" s="95"/>
      <c r="C55" s="96"/>
      <c r="D55" s="97"/>
      <c r="E55" s="98"/>
      <c r="F55" s="90"/>
      <c r="G55" s="91"/>
      <c r="H55" s="92"/>
      <c r="I55" s="93"/>
      <c r="J55" s="83"/>
      <c r="K55" s="83"/>
      <c r="L55" s="12"/>
      <c r="M55" s="13"/>
      <c r="N55" s="14"/>
      <c r="O55" s="11"/>
      <c r="P55" s="15"/>
      <c r="Q55" s="16"/>
      <c r="R55" s="2"/>
      <c r="S55" s="12"/>
      <c r="T55" s="17"/>
      <c r="U55" s="2"/>
      <c r="V55" s="18"/>
      <c r="W55" s="8"/>
      <c r="Y55" s="149" t="s">
        <v>102</v>
      </c>
      <c r="Z55" s="152">
        <f t="shared" si="1"/>
        <v>0</v>
      </c>
    </row>
    <row r="56" spans="2:26" ht="18" x14ac:dyDescent="0.35">
      <c r="B56" s="95"/>
      <c r="C56" s="96"/>
      <c r="D56" s="97"/>
      <c r="E56" s="98"/>
      <c r="F56" s="90"/>
      <c r="G56" s="91"/>
      <c r="H56" s="92"/>
      <c r="I56" s="93"/>
      <c r="J56" s="83"/>
      <c r="K56" s="83"/>
      <c r="L56" s="12"/>
      <c r="M56" s="13"/>
      <c r="N56" s="14"/>
      <c r="O56" s="11"/>
      <c r="P56" s="15"/>
      <c r="Q56" s="16"/>
      <c r="R56" s="2"/>
      <c r="S56" s="12"/>
      <c r="T56" s="17"/>
      <c r="U56" s="2"/>
      <c r="V56" s="18"/>
      <c r="W56" s="8"/>
      <c r="Y56" s="149" t="s">
        <v>26</v>
      </c>
      <c r="Z56" s="152">
        <f t="shared" si="1"/>
        <v>0</v>
      </c>
    </row>
    <row r="57" spans="2:26" ht="18" x14ac:dyDescent="0.35">
      <c r="B57" s="95"/>
      <c r="C57" s="96"/>
      <c r="D57" s="97"/>
      <c r="E57" s="98"/>
      <c r="F57" s="90"/>
      <c r="G57" s="91"/>
      <c r="H57" s="92"/>
      <c r="I57" s="93"/>
      <c r="J57" s="83"/>
      <c r="K57" s="83"/>
      <c r="L57" s="12"/>
      <c r="M57" s="13"/>
      <c r="N57" s="14"/>
      <c r="O57" s="11"/>
      <c r="P57" s="15"/>
      <c r="Q57" s="16"/>
      <c r="R57" s="2"/>
      <c r="S57" s="12"/>
      <c r="T57" s="17"/>
      <c r="U57" s="2"/>
      <c r="V57" s="18"/>
      <c r="W57" s="8"/>
      <c r="Y57" s="149" t="s">
        <v>27</v>
      </c>
      <c r="Z57" s="152">
        <f t="shared" si="1"/>
        <v>0</v>
      </c>
    </row>
    <row r="58" spans="2:26" ht="18" x14ac:dyDescent="0.35">
      <c r="B58" s="95"/>
      <c r="C58" s="96"/>
      <c r="D58" s="97"/>
      <c r="E58" s="98"/>
      <c r="F58" s="90"/>
      <c r="G58" s="91"/>
      <c r="H58" s="92"/>
      <c r="I58" s="93"/>
      <c r="J58" s="83"/>
      <c r="K58" s="83"/>
      <c r="L58" s="12"/>
      <c r="M58" s="13"/>
      <c r="N58" s="14"/>
      <c r="O58" s="11"/>
      <c r="P58" s="15"/>
      <c r="Q58" s="16"/>
      <c r="R58" s="2"/>
      <c r="S58" s="12"/>
      <c r="T58" s="17"/>
      <c r="U58" s="2"/>
      <c r="V58" s="18"/>
      <c r="W58" s="8"/>
      <c r="Y58" s="149" t="s">
        <v>28</v>
      </c>
      <c r="Z58" s="152">
        <f t="shared" si="1"/>
        <v>0</v>
      </c>
    </row>
    <row r="59" spans="2:26" ht="18" x14ac:dyDescent="0.35">
      <c r="B59" s="95"/>
      <c r="C59" s="96"/>
      <c r="D59" s="97"/>
      <c r="E59" s="98"/>
      <c r="F59" s="90"/>
      <c r="G59" s="91"/>
      <c r="H59" s="92"/>
      <c r="I59" s="93"/>
      <c r="J59" s="83"/>
      <c r="K59" s="83"/>
      <c r="L59" s="12"/>
      <c r="M59" s="13"/>
      <c r="N59" s="14"/>
      <c r="O59" s="11"/>
      <c r="P59" s="15"/>
      <c r="Q59" s="16"/>
      <c r="R59" s="2"/>
      <c r="S59" s="12"/>
      <c r="T59" s="17"/>
      <c r="U59" s="2"/>
      <c r="V59" s="18"/>
      <c r="W59" s="8"/>
      <c r="Y59" s="149" t="s">
        <v>29</v>
      </c>
      <c r="Z59" s="152">
        <f t="shared" si="1"/>
        <v>0</v>
      </c>
    </row>
    <row r="60" spans="2:26" ht="18" x14ac:dyDescent="0.35">
      <c r="B60" s="95"/>
      <c r="C60" s="96"/>
      <c r="D60" s="97"/>
      <c r="E60" s="98"/>
      <c r="F60" s="90"/>
      <c r="G60" s="91"/>
      <c r="H60" s="92"/>
      <c r="I60" s="93"/>
      <c r="J60" s="83"/>
      <c r="K60" s="83"/>
      <c r="L60" s="12"/>
      <c r="M60" s="13"/>
      <c r="N60" s="14"/>
      <c r="O60" s="11"/>
      <c r="P60" s="15"/>
      <c r="Q60" s="16"/>
      <c r="R60" s="2"/>
      <c r="S60" s="12"/>
      <c r="T60" s="17"/>
      <c r="U60" s="2"/>
      <c r="V60" s="18"/>
      <c r="W60" s="8"/>
      <c r="Y60" s="149" t="s">
        <v>34</v>
      </c>
      <c r="Z60" s="152">
        <f t="shared" si="1"/>
        <v>0</v>
      </c>
    </row>
    <row r="61" spans="2:26" ht="18" x14ac:dyDescent="0.35">
      <c r="B61" s="95"/>
      <c r="C61" s="96"/>
      <c r="D61" s="97"/>
      <c r="E61" s="98"/>
      <c r="F61" s="90"/>
      <c r="G61" s="91"/>
      <c r="H61" s="92"/>
      <c r="I61" s="93"/>
      <c r="J61" s="83"/>
      <c r="K61" s="83"/>
      <c r="L61" s="12"/>
      <c r="M61" s="13"/>
      <c r="N61" s="14"/>
      <c r="O61" s="11"/>
      <c r="P61" s="15"/>
      <c r="Q61" s="16"/>
      <c r="R61" s="2"/>
      <c r="S61" s="12"/>
      <c r="T61" s="17"/>
      <c r="U61" s="2"/>
      <c r="V61" s="18"/>
      <c r="W61" s="8"/>
      <c r="Y61" s="149" t="s">
        <v>35</v>
      </c>
      <c r="Z61" s="152">
        <f t="shared" si="1"/>
        <v>0</v>
      </c>
    </row>
    <row r="62" spans="2:26" ht="18" x14ac:dyDescent="0.35">
      <c r="B62" s="95"/>
      <c r="C62" s="96"/>
      <c r="D62" s="97"/>
      <c r="E62" s="98"/>
      <c r="F62" s="90"/>
      <c r="G62" s="91"/>
      <c r="H62" s="92"/>
      <c r="I62" s="93"/>
      <c r="J62" s="83"/>
      <c r="K62" s="83"/>
      <c r="L62" s="12"/>
      <c r="M62" s="13"/>
      <c r="N62" s="14"/>
      <c r="O62" s="11"/>
      <c r="P62" s="15"/>
      <c r="Q62" s="16"/>
      <c r="R62" s="2"/>
      <c r="S62" s="12"/>
      <c r="T62" s="17"/>
      <c r="U62" s="2"/>
      <c r="V62" s="18"/>
      <c r="W62" s="8"/>
      <c r="Y62" s="149" t="s">
        <v>36</v>
      </c>
      <c r="Z62" s="152">
        <f t="shared" si="1"/>
        <v>0</v>
      </c>
    </row>
    <row r="63" spans="2:26" ht="18" x14ac:dyDescent="0.35">
      <c r="B63" s="95"/>
      <c r="C63" s="96"/>
      <c r="D63" s="97"/>
      <c r="E63" s="98"/>
      <c r="F63" s="90"/>
      <c r="G63" s="91"/>
      <c r="H63" s="92"/>
      <c r="I63" s="93"/>
      <c r="J63" s="83"/>
      <c r="K63" s="83"/>
      <c r="L63" s="12"/>
      <c r="M63" s="13"/>
      <c r="N63" s="14"/>
      <c r="O63" s="11"/>
      <c r="P63" s="15"/>
      <c r="Q63" s="16"/>
      <c r="R63" s="2"/>
      <c r="S63" s="12"/>
      <c r="T63" s="17"/>
      <c r="U63" s="2"/>
      <c r="V63" s="18"/>
      <c r="W63" s="8"/>
      <c r="Y63" s="149" t="s">
        <v>37</v>
      </c>
      <c r="Z63" s="152">
        <f t="shared" si="1"/>
        <v>0</v>
      </c>
    </row>
    <row r="64" spans="2:26" ht="18" x14ac:dyDescent="0.35">
      <c r="B64" s="95"/>
      <c r="C64" s="96"/>
      <c r="D64" s="97"/>
      <c r="E64" s="98"/>
      <c r="F64" s="90"/>
      <c r="G64" s="91"/>
      <c r="H64" s="92"/>
      <c r="I64" s="93"/>
      <c r="J64" s="83"/>
      <c r="K64" s="83"/>
      <c r="L64" s="12"/>
      <c r="M64" s="13"/>
      <c r="N64" s="14"/>
      <c r="O64" s="11"/>
      <c r="P64" s="15"/>
      <c r="Q64" s="16"/>
      <c r="R64" s="2"/>
      <c r="S64" s="12"/>
      <c r="T64" s="17"/>
      <c r="U64" s="2"/>
      <c r="V64" s="18"/>
      <c r="W64" s="8"/>
      <c r="Y64" s="149" t="s">
        <v>38</v>
      </c>
      <c r="Z64" s="152">
        <f t="shared" si="1"/>
        <v>0</v>
      </c>
    </row>
    <row r="65" spans="2:26" ht="18" x14ac:dyDescent="0.35">
      <c r="B65" s="95"/>
      <c r="C65" s="96"/>
      <c r="D65" s="97"/>
      <c r="E65" s="98"/>
      <c r="F65" s="99"/>
      <c r="G65" s="100"/>
      <c r="H65" s="101"/>
      <c r="I65" s="102"/>
      <c r="J65" s="83"/>
      <c r="K65" s="83"/>
      <c r="L65" s="12"/>
      <c r="M65" s="13"/>
      <c r="N65" s="14"/>
      <c r="O65" s="11"/>
      <c r="P65" s="15"/>
      <c r="Q65" s="16"/>
      <c r="R65" s="2"/>
      <c r="S65" s="12"/>
      <c r="T65" s="17"/>
      <c r="U65" s="2"/>
      <c r="V65" s="18"/>
      <c r="W65" s="8"/>
      <c r="Y65" s="149" t="s">
        <v>40</v>
      </c>
      <c r="Z65" s="152">
        <f t="shared" si="1"/>
        <v>0</v>
      </c>
    </row>
    <row r="66" spans="2:26" ht="18" x14ac:dyDescent="0.35">
      <c r="B66" s="95"/>
      <c r="C66" s="96"/>
      <c r="D66" s="97"/>
      <c r="E66" s="98"/>
      <c r="F66" s="90"/>
      <c r="G66" s="91"/>
      <c r="H66" s="92"/>
      <c r="I66" s="93"/>
      <c r="J66" s="83"/>
      <c r="K66" s="83"/>
      <c r="L66" s="12"/>
      <c r="M66" s="13"/>
      <c r="N66" s="14"/>
      <c r="O66" s="11"/>
      <c r="P66" s="15"/>
      <c r="Q66" s="16"/>
      <c r="R66" s="2"/>
      <c r="S66" s="12"/>
      <c r="T66" s="17"/>
      <c r="U66" s="2"/>
      <c r="V66" s="18"/>
      <c r="W66" s="8"/>
      <c r="Y66" s="149" t="s">
        <v>41</v>
      </c>
      <c r="Z66" s="152">
        <f t="shared" si="1"/>
        <v>0</v>
      </c>
    </row>
    <row r="67" spans="2:26" ht="18" x14ac:dyDescent="0.35">
      <c r="B67" s="95"/>
      <c r="C67" s="96"/>
      <c r="D67" s="97"/>
      <c r="E67" s="98"/>
      <c r="F67" s="103"/>
      <c r="G67" s="94"/>
      <c r="H67" s="104"/>
      <c r="I67" s="105"/>
      <c r="J67" s="83"/>
      <c r="K67" s="83"/>
      <c r="L67" s="12"/>
      <c r="M67" s="13"/>
      <c r="N67" s="14"/>
      <c r="O67" s="11"/>
      <c r="P67" s="15"/>
      <c r="Q67" s="16"/>
      <c r="R67" s="2"/>
      <c r="S67" s="12"/>
      <c r="T67" s="17"/>
      <c r="U67" s="2"/>
      <c r="V67" s="18"/>
      <c r="W67" s="8"/>
      <c r="Y67" s="149" t="s">
        <v>69</v>
      </c>
      <c r="Z67" s="152">
        <f t="shared" si="1"/>
        <v>0</v>
      </c>
    </row>
    <row r="68" spans="2:26" ht="18" x14ac:dyDescent="0.35">
      <c r="B68" s="95"/>
      <c r="C68" s="96"/>
      <c r="D68" s="97"/>
      <c r="E68" s="98"/>
      <c r="F68" s="90"/>
      <c r="G68" s="91"/>
      <c r="H68" s="92"/>
      <c r="I68" s="105"/>
      <c r="J68" s="83"/>
      <c r="K68" s="83"/>
      <c r="L68" s="12"/>
      <c r="M68" s="13"/>
      <c r="N68" s="14"/>
      <c r="O68" s="11"/>
      <c r="P68" s="15"/>
      <c r="Q68" s="16"/>
      <c r="R68" s="2"/>
      <c r="S68" s="12"/>
      <c r="T68" s="17"/>
      <c r="U68" s="2"/>
      <c r="V68" s="18"/>
      <c r="W68" s="8"/>
      <c r="Y68" s="149" t="s">
        <v>108</v>
      </c>
      <c r="Z68" s="152">
        <f t="shared" si="1"/>
        <v>0</v>
      </c>
    </row>
    <row r="69" spans="2:26" ht="18" x14ac:dyDescent="0.35">
      <c r="B69" s="95"/>
      <c r="C69" s="96"/>
      <c r="D69" s="97"/>
      <c r="E69" s="98"/>
      <c r="F69" s="90"/>
      <c r="G69" s="91"/>
      <c r="H69" s="92"/>
      <c r="I69" s="105"/>
      <c r="J69" s="83"/>
      <c r="K69" s="83"/>
      <c r="L69" s="12"/>
      <c r="M69" s="13"/>
      <c r="N69" s="14"/>
      <c r="O69" s="11"/>
      <c r="P69" s="15"/>
      <c r="Q69" s="16"/>
      <c r="R69" s="2"/>
      <c r="S69" s="12"/>
      <c r="T69" s="17"/>
      <c r="U69" s="2"/>
      <c r="V69" s="18"/>
      <c r="W69" s="8"/>
      <c r="Y69" s="149" t="s">
        <v>44</v>
      </c>
      <c r="Z69" s="152">
        <f t="shared" si="1"/>
        <v>0</v>
      </c>
    </row>
    <row r="70" spans="2:26" ht="18" x14ac:dyDescent="0.35">
      <c r="B70" s="95"/>
      <c r="C70" s="96"/>
      <c r="D70" s="97"/>
      <c r="E70" s="98"/>
      <c r="F70" s="90"/>
      <c r="G70" s="91"/>
      <c r="H70" s="92"/>
      <c r="I70" s="105"/>
      <c r="J70" s="83"/>
      <c r="K70" s="83"/>
      <c r="L70" s="12"/>
      <c r="M70" s="13"/>
      <c r="N70" s="14"/>
      <c r="O70" s="11"/>
      <c r="P70" s="15"/>
      <c r="Q70" s="16"/>
      <c r="R70" s="2"/>
      <c r="S70" s="12"/>
      <c r="T70" s="17"/>
      <c r="U70" s="2"/>
      <c r="V70" s="18"/>
      <c r="W70" s="8"/>
      <c r="Y70" s="149" t="s">
        <v>45</v>
      </c>
      <c r="Z70" s="152">
        <f t="shared" si="1"/>
        <v>0</v>
      </c>
    </row>
    <row r="71" spans="2:26" ht="18" x14ac:dyDescent="0.35">
      <c r="B71" s="95"/>
      <c r="C71" s="96"/>
      <c r="D71" s="97"/>
      <c r="E71" s="98"/>
      <c r="F71" s="90"/>
      <c r="G71" s="91"/>
      <c r="H71" s="92"/>
      <c r="I71" s="105"/>
      <c r="J71" s="83"/>
      <c r="K71" s="83"/>
      <c r="L71" s="12"/>
      <c r="M71" s="13"/>
      <c r="N71" s="14"/>
      <c r="O71" s="11"/>
      <c r="P71" s="15"/>
      <c r="Q71" s="16"/>
      <c r="R71" s="2"/>
      <c r="S71" s="12"/>
      <c r="T71" s="17"/>
      <c r="U71" s="2"/>
      <c r="V71" s="18"/>
      <c r="W71" s="8"/>
      <c r="Y71" s="149" t="s">
        <v>49</v>
      </c>
      <c r="Z71" s="152">
        <f t="shared" si="1"/>
        <v>0</v>
      </c>
    </row>
    <row r="72" spans="2:26" ht="18" x14ac:dyDescent="0.35">
      <c r="B72" s="106"/>
      <c r="C72" s="107"/>
      <c r="D72" s="108"/>
      <c r="E72" s="109"/>
      <c r="F72" s="90"/>
      <c r="G72" s="91"/>
      <c r="H72" s="92"/>
      <c r="I72" s="105"/>
      <c r="J72" s="83"/>
      <c r="K72" s="83"/>
      <c r="L72" s="12"/>
      <c r="M72" s="13"/>
      <c r="N72" s="14"/>
      <c r="O72" s="11"/>
      <c r="P72" s="15"/>
      <c r="Q72" s="16"/>
      <c r="R72" s="2"/>
      <c r="S72" s="12"/>
      <c r="T72" s="17"/>
      <c r="U72" s="2"/>
      <c r="V72" s="18"/>
      <c r="W72" s="8"/>
      <c r="Y72" s="149" t="s">
        <v>50</v>
      </c>
      <c r="Z72" s="152">
        <f t="shared" si="1"/>
        <v>0</v>
      </c>
    </row>
    <row r="73" spans="2:26" ht="18" x14ac:dyDescent="0.35">
      <c r="B73" s="95"/>
      <c r="C73" s="96"/>
      <c r="D73" s="97"/>
      <c r="E73" s="98"/>
      <c r="F73" s="90"/>
      <c r="G73" s="91"/>
      <c r="H73" s="92"/>
      <c r="I73" s="105"/>
      <c r="J73" s="83"/>
      <c r="K73" s="83"/>
      <c r="L73" s="20"/>
      <c r="M73" s="21"/>
      <c r="N73" s="22"/>
      <c r="O73" s="19"/>
      <c r="P73" s="23"/>
      <c r="Q73" s="24"/>
      <c r="R73" s="2"/>
      <c r="S73" s="20"/>
      <c r="T73" s="25"/>
      <c r="U73" s="2"/>
      <c r="V73" s="26"/>
      <c r="W73" s="27"/>
      <c r="Y73" s="149" t="s">
        <v>51</v>
      </c>
      <c r="Z73" s="152">
        <f t="shared" si="1"/>
        <v>0</v>
      </c>
    </row>
    <row r="74" spans="2:26" ht="18" x14ac:dyDescent="0.35">
      <c r="B74" s="110"/>
      <c r="C74" s="111"/>
      <c r="D74" s="112"/>
      <c r="E74" s="113"/>
      <c r="F74" s="90"/>
      <c r="G74" s="91"/>
      <c r="H74" s="92"/>
      <c r="I74" s="105"/>
      <c r="J74" s="83"/>
      <c r="K74" s="83"/>
      <c r="L74" s="12"/>
      <c r="M74" s="28"/>
      <c r="N74" s="14"/>
      <c r="O74" s="11"/>
      <c r="P74" s="11"/>
      <c r="Q74" s="16"/>
      <c r="R74" s="2"/>
      <c r="S74" s="12"/>
      <c r="T74" s="17"/>
      <c r="U74" s="2"/>
      <c r="V74" s="18"/>
      <c r="W74" s="16"/>
      <c r="Y74" s="149" t="s">
        <v>52</v>
      </c>
      <c r="Z74" s="152">
        <f t="shared" si="1"/>
        <v>0.5</v>
      </c>
    </row>
    <row r="75" spans="2:26" ht="18" x14ac:dyDescent="0.35">
      <c r="B75" s="95"/>
      <c r="C75" s="96"/>
      <c r="D75" s="97"/>
      <c r="E75" s="113"/>
      <c r="F75" s="90"/>
      <c r="G75" s="91"/>
      <c r="H75" s="92"/>
      <c r="I75" s="105"/>
      <c r="J75" s="83"/>
      <c r="K75" s="83"/>
      <c r="L75" s="12"/>
      <c r="M75" s="28"/>
      <c r="N75" s="14"/>
      <c r="O75" s="11"/>
      <c r="P75" s="11"/>
      <c r="Q75" s="16"/>
      <c r="R75" s="2"/>
      <c r="S75" s="12"/>
      <c r="T75" s="17"/>
      <c r="U75" s="2"/>
      <c r="V75" s="18"/>
      <c r="W75" s="16"/>
      <c r="Y75" s="149" t="s">
        <v>72</v>
      </c>
      <c r="Z75" s="152">
        <f t="shared" si="1"/>
        <v>0</v>
      </c>
    </row>
    <row r="76" spans="2:26" ht="18" x14ac:dyDescent="0.35">
      <c r="B76" s="95"/>
      <c r="C76" s="96"/>
      <c r="D76" s="97"/>
      <c r="E76" s="113"/>
      <c r="F76" s="90"/>
      <c r="G76" s="91"/>
      <c r="H76" s="92"/>
      <c r="I76" s="105"/>
      <c r="J76" s="83"/>
      <c r="K76" s="83"/>
      <c r="L76" s="12"/>
      <c r="M76" s="28"/>
      <c r="N76" s="14"/>
      <c r="O76" s="11"/>
      <c r="P76" s="11"/>
      <c r="Q76" s="16"/>
      <c r="R76" s="2"/>
      <c r="S76" s="12"/>
      <c r="T76" s="17"/>
      <c r="U76" s="2"/>
      <c r="V76" s="18"/>
      <c r="W76" s="16"/>
      <c r="Y76" s="149" t="s">
        <v>71</v>
      </c>
      <c r="Z76" s="152">
        <f t="shared" si="1"/>
        <v>0</v>
      </c>
    </row>
    <row r="77" spans="2:26" ht="18" x14ac:dyDescent="0.35">
      <c r="B77" s="95"/>
      <c r="C77" s="96"/>
      <c r="D77" s="97"/>
      <c r="E77" s="113"/>
      <c r="F77" s="90"/>
      <c r="G77" s="91"/>
      <c r="H77" s="92"/>
      <c r="I77" s="105"/>
      <c r="J77" s="83"/>
      <c r="K77" s="83"/>
      <c r="L77" s="12"/>
      <c r="M77" s="28"/>
      <c r="N77" s="14"/>
      <c r="O77" s="11"/>
      <c r="P77" s="11"/>
      <c r="Q77" s="16"/>
      <c r="R77" s="2"/>
      <c r="S77" s="12"/>
      <c r="T77" s="17"/>
      <c r="U77" s="2"/>
      <c r="V77" s="18"/>
      <c r="W77" s="16"/>
      <c r="Y77" s="149" t="s">
        <v>53</v>
      </c>
      <c r="Z77" s="152">
        <f t="shared" ref="Z77:Z79" si="2">SUMIF($G$9:$G$129, Y77, $F$9:$F$129)</f>
        <v>0</v>
      </c>
    </row>
    <row r="78" spans="2:26" ht="18" x14ac:dyDescent="0.35">
      <c r="B78" s="95"/>
      <c r="C78" s="96"/>
      <c r="D78" s="97"/>
      <c r="E78" s="113"/>
      <c r="F78" s="90"/>
      <c r="G78" s="91"/>
      <c r="H78" s="92"/>
      <c r="I78" s="105"/>
      <c r="J78" s="83"/>
      <c r="K78" s="83"/>
      <c r="L78" s="12"/>
      <c r="M78" s="28"/>
      <c r="N78" s="14"/>
      <c r="O78" s="11"/>
      <c r="P78" s="11"/>
      <c r="Q78" s="16"/>
      <c r="R78" s="2"/>
      <c r="S78" s="12"/>
      <c r="T78" s="17"/>
      <c r="U78" s="2"/>
      <c r="V78" s="18"/>
      <c r="W78" s="16"/>
      <c r="Y78" s="149" t="s">
        <v>54</v>
      </c>
      <c r="Z78" s="152">
        <f t="shared" si="2"/>
        <v>0</v>
      </c>
    </row>
    <row r="79" spans="2:26" ht="18.600000000000001" thickBot="1" x14ac:dyDescent="0.4">
      <c r="B79" s="95"/>
      <c r="C79" s="96"/>
      <c r="D79" s="97"/>
      <c r="E79" s="113"/>
      <c r="F79" s="90"/>
      <c r="G79" s="91"/>
      <c r="H79" s="92"/>
      <c r="I79" s="105"/>
      <c r="J79" s="83"/>
      <c r="K79" s="83"/>
      <c r="L79" s="12"/>
      <c r="M79" s="28"/>
      <c r="N79" s="14"/>
      <c r="O79" s="11"/>
      <c r="P79" s="11"/>
      <c r="Q79" s="16"/>
      <c r="R79" s="2"/>
      <c r="S79" s="12"/>
      <c r="T79" s="17"/>
      <c r="U79" s="2"/>
      <c r="V79" s="18"/>
      <c r="W79" s="16"/>
      <c r="Y79" s="150" t="s">
        <v>55</v>
      </c>
      <c r="Z79" s="153">
        <f t="shared" si="2"/>
        <v>0</v>
      </c>
    </row>
    <row r="80" spans="2:26" ht="18" x14ac:dyDescent="0.35">
      <c r="B80" s="95"/>
      <c r="C80" s="96"/>
      <c r="D80" s="97"/>
      <c r="E80" s="113"/>
      <c r="F80" s="90"/>
      <c r="G80" s="91"/>
      <c r="H80" s="92"/>
      <c r="I80" s="105"/>
      <c r="J80" s="83"/>
      <c r="K80" s="83"/>
      <c r="L80" s="12"/>
      <c r="M80" s="28"/>
      <c r="N80" s="14"/>
      <c r="O80" s="11"/>
      <c r="P80" s="11"/>
      <c r="Q80" s="16"/>
      <c r="R80" s="2"/>
      <c r="S80" s="12"/>
      <c r="T80" s="17"/>
      <c r="U80" s="2"/>
      <c r="V80" s="18"/>
      <c r="W80" s="16"/>
    </row>
    <row r="81" spans="2:23" ht="18" x14ac:dyDescent="0.35">
      <c r="B81" s="95"/>
      <c r="C81" s="96"/>
      <c r="D81" s="97"/>
      <c r="E81" s="113"/>
      <c r="F81" s="90"/>
      <c r="G81" s="91"/>
      <c r="H81" s="92"/>
      <c r="I81" s="105"/>
      <c r="J81" s="83"/>
      <c r="K81" s="83"/>
      <c r="L81" s="12"/>
      <c r="M81" s="28"/>
      <c r="N81" s="14"/>
      <c r="O81" s="11"/>
      <c r="P81" s="11"/>
      <c r="Q81" s="16"/>
      <c r="R81" s="2"/>
      <c r="S81" s="12"/>
      <c r="T81" s="17"/>
      <c r="U81" s="2"/>
      <c r="V81" s="18"/>
      <c r="W81" s="16"/>
    </row>
    <row r="82" spans="2:23" ht="18" x14ac:dyDescent="0.35">
      <c r="B82" s="95"/>
      <c r="C82" s="96"/>
      <c r="D82" s="97"/>
      <c r="E82" s="113"/>
      <c r="F82" s="90"/>
      <c r="G82" s="91"/>
      <c r="H82" s="92"/>
      <c r="I82" s="105"/>
      <c r="J82" s="83"/>
      <c r="K82" s="83"/>
      <c r="L82" s="12"/>
      <c r="M82" s="28"/>
      <c r="N82" s="14"/>
      <c r="O82" s="11"/>
      <c r="P82" s="11"/>
      <c r="Q82" s="16"/>
      <c r="R82" s="2"/>
      <c r="S82" s="12"/>
      <c r="T82" s="17"/>
      <c r="U82" s="2"/>
      <c r="V82" s="18"/>
      <c r="W82" s="16"/>
    </row>
    <row r="83" spans="2:23" ht="18" x14ac:dyDescent="0.35">
      <c r="B83" s="95"/>
      <c r="C83" s="96"/>
      <c r="D83" s="97"/>
      <c r="E83" s="113"/>
      <c r="F83" s="90"/>
      <c r="G83" s="91"/>
      <c r="H83" s="92"/>
      <c r="I83" s="105"/>
      <c r="J83" s="83"/>
      <c r="K83" s="83"/>
      <c r="L83" s="12"/>
      <c r="M83" s="28"/>
      <c r="N83" s="14"/>
      <c r="O83" s="11"/>
      <c r="P83" s="11"/>
      <c r="Q83" s="16"/>
      <c r="R83" s="2"/>
      <c r="S83" s="12"/>
      <c r="T83" s="17"/>
      <c r="U83" s="2"/>
      <c r="V83" s="18"/>
      <c r="W83" s="16"/>
    </row>
    <row r="84" spans="2:23" ht="18" x14ac:dyDescent="0.35">
      <c r="B84" s="95"/>
      <c r="C84" s="96"/>
      <c r="D84" s="97"/>
      <c r="E84" s="113"/>
      <c r="F84" s="90"/>
      <c r="G84" s="91"/>
      <c r="H84" s="92"/>
      <c r="I84" s="105"/>
      <c r="J84" s="83"/>
      <c r="K84" s="83"/>
      <c r="L84" s="12"/>
      <c r="M84" s="28"/>
      <c r="N84" s="14"/>
      <c r="O84" s="11"/>
      <c r="P84" s="11"/>
      <c r="Q84" s="16"/>
      <c r="R84" s="2"/>
      <c r="S84" s="12"/>
      <c r="T84" s="17"/>
      <c r="U84" s="2"/>
      <c r="V84" s="18"/>
      <c r="W84" s="16"/>
    </row>
    <row r="85" spans="2:23" ht="18" x14ac:dyDescent="0.35">
      <c r="B85" s="95"/>
      <c r="C85" s="96"/>
      <c r="D85" s="97"/>
      <c r="E85" s="113"/>
      <c r="F85" s="90"/>
      <c r="G85" s="91"/>
      <c r="H85" s="92"/>
      <c r="I85" s="105"/>
      <c r="J85" s="83"/>
      <c r="K85" s="83"/>
      <c r="L85" s="12"/>
      <c r="M85" s="28"/>
      <c r="N85" s="14"/>
      <c r="O85" s="11"/>
      <c r="P85" s="11"/>
      <c r="Q85" s="16"/>
      <c r="R85" s="2"/>
      <c r="S85" s="12"/>
      <c r="T85" s="17"/>
      <c r="U85" s="2"/>
      <c r="V85" s="18"/>
      <c r="W85" s="16"/>
    </row>
    <row r="86" spans="2:23" ht="18" x14ac:dyDescent="0.35">
      <c r="B86" s="95"/>
      <c r="C86" s="96"/>
      <c r="D86" s="97"/>
      <c r="E86" s="113"/>
      <c r="F86" s="90"/>
      <c r="G86" s="91"/>
      <c r="H86" s="92"/>
      <c r="I86" s="105"/>
      <c r="J86" s="83"/>
      <c r="K86" s="83"/>
      <c r="L86" s="12"/>
      <c r="M86" s="28"/>
      <c r="N86" s="14"/>
      <c r="O86" s="11"/>
      <c r="P86" s="11"/>
      <c r="Q86" s="16"/>
      <c r="R86" s="2"/>
      <c r="S86" s="12"/>
      <c r="T86" s="17"/>
      <c r="U86" s="2"/>
      <c r="V86" s="18"/>
      <c r="W86" s="16"/>
    </row>
    <row r="87" spans="2:23" ht="18" x14ac:dyDescent="0.35">
      <c r="B87" s="95"/>
      <c r="C87" s="96"/>
      <c r="D87" s="97"/>
      <c r="E87" s="113"/>
      <c r="F87" s="90"/>
      <c r="G87" s="91"/>
      <c r="H87" s="92"/>
      <c r="I87" s="105"/>
      <c r="J87" s="83"/>
      <c r="K87" s="83"/>
      <c r="L87" s="12"/>
      <c r="M87" s="28"/>
      <c r="N87" s="14"/>
      <c r="O87" s="11"/>
      <c r="P87" s="11"/>
      <c r="Q87" s="16"/>
      <c r="R87" s="2"/>
      <c r="S87" s="12"/>
      <c r="T87" s="17"/>
      <c r="U87" s="2"/>
      <c r="V87" s="18"/>
      <c r="W87" s="16"/>
    </row>
    <row r="88" spans="2:23" ht="18" x14ac:dyDescent="0.35">
      <c r="B88" s="95"/>
      <c r="C88" s="96"/>
      <c r="D88" s="97"/>
      <c r="E88" s="113"/>
      <c r="F88" s="90"/>
      <c r="G88" s="91"/>
      <c r="H88" s="92"/>
      <c r="I88" s="105"/>
      <c r="J88" s="83"/>
      <c r="K88" s="83"/>
      <c r="L88" s="12"/>
      <c r="M88" s="28"/>
      <c r="N88" s="14"/>
      <c r="O88" s="11"/>
      <c r="P88" s="11"/>
      <c r="Q88" s="16"/>
      <c r="R88" s="2"/>
      <c r="S88" s="12"/>
      <c r="T88" s="17"/>
      <c r="U88" s="2"/>
      <c r="V88" s="18"/>
      <c r="W88" s="16"/>
    </row>
    <row r="89" spans="2:23" ht="18" x14ac:dyDescent="0.35">
      <c r="B89" s="95"/>
      <c r="C89" s="96"/>
      <c r="D89" s="97"/>
      <c r="E89" s="113"/>
      <c r="F89" s="90"/>
      <c r="G89" s="91"/>
      <c r="H89" s="92"/>
      <c r="I89" s="105"/>
      <c r="J89" s="83"/>
      <c r="K89" s="83"/>
      <c r="L89" s="12"/>
      <c r="M89" s="28"/>
      <c r="N89" s="14"/>
      <c r="O89" s="11"/>
      <c r="P89" s="11"/>
      <c r="Q89" s="16"/>
      <c r="R89" s="2"/>
      <c r="S89" s="12"/>
      <c r="T89" s="17"/>
      <c r="U89" s="2"/>
      <c r="V89" s="18"/>
      <c r="W89" s="16"/>
    </row>
    <row r="90" spans="2:23" ht="18" x14ac:dyDescent="0.35">
      <c r="B90" s="95"/>
      <c r="C90" s="96"/>
      <c r="D90" s="97"/>
      <c r="E90" s="113"/>
      <c r="F90" s="90"/>
      <c r="G90" s="91"/>
      <c r="H90" s="92"/>
      <c r="I90" s="105"/>
      <c r="J90" s="83"/>
      <c r="K90" s="83"/>
      <c r="L90" s="12"/>
      <c r="M90" s="28"/>
      <c r="N90" s="14"/>
      <c r="O90" s="11"/>
      <c r="P90" s="11"/>
      <c r="Q90" s="16"/>
      <c r="R90" s="2"/>
      <c r="S90" s="12"/>
      <c r="T90" s="17"/>
      <c r="U90" s="2"/>
      <c r="V90" s="18"/>
      <c r="W90" s="16"/>
    </row>
    <row r="91" spans="2:23" ht="18" x14ac:dyDescent="0.35">
      <c r="B91" s="95"/>
      <c r="C91" s="96"/>
      <c r="D91" s="97"/>
      <c r="E91" s="113"/>
      <c r="F91" s="90"/>
      <c r="G91" s="91"/>
      <c r="H91" s="92"/>
      <c r="I91" s="105"/>
      <c r="J91" s="83"/>
      <c r="K91" s="83"/>
      <c r="L91" s="12"/>
      <c r="M91" s="28"/>
      <c r="N91" s="14"/>
      <c r="O91" s="11"/>
      <c r="P91" s="11"/>
      <c r="Q91" s="16"/>
      <c r="R91" s="2"/>
      <c r="S91" s="12"/>
      <c r="T91" s="17"/>
      <c r="U91" s="2"/>
      <c r="V91" s="18"/>
      <c r="W91" s="16"/>
    </row>
    <row r="92" spans="2:23" ht="18" x14ac:dyDescent="0.35">
      <c r="B92" s="95"/>
      <c r="C92" s="96"/>
      <c r="D92" s="97"/>
      <c r="E92" s="113"/>
      <c r="F92" s="90"/>
      <c r="G92" s="91"/>
      <c r="H92" s="92"/>
      <c r="I92" s="105"/>
      <c r="J92" s="83"/>
      <c r="K92" s="83"/>
      <c r="L92" s="12"/>
      <c r="M92" s="28"/>
      <c r="N92" s="14"/>
      <c r="O92" s="11"/>
      <c r="P92" s="11"/>
      <c r="Q92" s="16"/>
      <c r="R92" s="2"/>
      <c r="S92" s="12"/>
      <c r="T92" s="17"/>
      <c r="U92" s="2"/>
      <c r="V92" s="18"/>
      <c r="W92" s="16"/>
    </row>
    <row r="93" spans="2:23" ht="18" x14ac:dyDescent="0.35">
      <c r="B93" s="95"/>
      <c r="C93" s="96"/>
      <c r="D93" s="97"/>
      <c r="E93" s="113"/>
      <c r="F93" s="90"/>
      <c r="G93" s="91"/>
      <c r="H93" s="92"/>
      <c r="I93" s="105"/>
      <c r="J93" s="83"/>
      <c r="K93" s="83"/>
      <c r="L93" s="12"/>
      <c r="M93" s="28"/>
      <c r="N93" s="14"/>
      <c r="O93" s="11"/>
      <c r="P93" s="11"/>
      <c r="Q93" s="16"/>
      <c r="R93" s="2"/>
      <c r="S93" s="12"/>
      <c r="T93" s="17"/>
      <c r="U93" s="2"/>
      <c r="V93" s="18"/>
      <c r="W93" s="16"/>
    </row>
    <row r="94" spans="2:23" ht="18" x14ac:dyDescent="0.35">
      <c r="B94" s="95"/>
      <c r="C94" s="96"/>
      <c r="D94" s="97"/>
      <c r="E94" s="113"/>
      <c r="F94" s="90"/>
      <c r="G94" s="91"/>
      <c r="H94" s="92"/>
      <c r="I94" s="105"/>
      <c r="J94" s="83"/>
      <c r="K94" s="83"/>
      <c r="L94" s="12"/>
      <c r="M94" s="28"/>
      <c r="N94" s="14"/>
      <c r="O94" s="11"/>
      <c r="P94" s="11"/>
      <c r="Q94" s="16"/>
      <c r="R94" s="2"/>
      <c r="S94" s="12"/>
      <c r="T94" s="17"/>
      <c r="U94" s="2"/>
      <c r="V94" s="18"/>
      <c r="W94" s="16"/>
    </row>
    <row r="95" spans="2:23" ht="18" x14ac:dyDescent="0.35">
      <c r="B95" s="95"/>
      <c r="C95" s="96"/>
      <c r="D95" s="97"/>
      <c r="E95" s="113"/>
      <c r="F95" s="90"/>
      <c r="G95" s="91"/>
      <c r="H95" s="92"/>
      <c r="I95" s="105"/>
      <c r="J95" s="83"/>
      <c r="K95" s="83"/>
      <c r="L95" s="12"/>
      <c r="M95" s="28"/>
      <c r="N95" s="14"/>
      <c r="O95" s="11"/>
      <c r="P95" s="11"/>
      <c r="Q95" s="16"/>
      <c r="R95" s="2"/>
      <c r="S95" s="12"/>
      <c r="T95" s="17"/>
      <c r="U95" s="2"/>
      <c r="V95" s="18"/>
      <c r="W95" s="16"/>
    </row>
    <row r="96" spans="2:23" ht="18" x14ac:dyDescent="0.35">
      <c r="B96" s="95"/>
      <c r="C96" s="96"/>
      <c r="D96" s="97"/>
      <c r="E96" s="113"/>
      <c r="F96" s="90"/>
      <c r="G96" s="91"/>
      <c r="H96" s="92"/>
      <c r="I96" s="105"/>
      <c r="J96" s="83"/>
      <c r="K96" s="83"/>
      <c r="L96" s="12"/>
      <c r="M96" s="28"/>
      <c r="N96" s="14"/>
      <c r="O96" s="11"/>
      <c r="P96" s="11"/>
      <c r="Q96" s="16"/>
      <c r="R96" s="2"/>
      <c r="S96" s="12"/>
      <c r="T96" s="17"/>
      <c r="U96" s="2"/>
      <c r="V96" s="18"/>
      <c r="W96" s="16"/>
    </row>
    <row r="97" spans="2:23" ht="18" x14ac:dyDescent="0.35">
      <c r="B97" s="95"/>
      <c r="C97" s="96"/>
      <c r="D97" s="97"/>
      <c r="E97" s="113"/>
      <c r="F97" s="90"/>
      <c r="G97" s="91"/>
      <c r="H97" s="92"/>
      <c r="I97" s="105"/>
      <c r="J97" s="83"/>
      <c r="K97" s="83"/>
      <c r="L97" s="12"/>
      <c r="M97" s="28"/>
      <c r="N97" s="14"/>
      <c r="O97" s="11"/>
      <c r="P97" s="11"/>
      <c r="Q97" s="16"/>
      <c r="R97" s="2"/>
      <c r="S97" s="12"/>
      <c r="T97" s="17"/>
      <c r="U97" s="2"/>
      <c r="V97" s="18"/>
      <c r="W97" s="16"/>
    </row>
    <row r="98" spans="2:23" ht="18" x14ac:dyDescent="0.35">
      <c r="B98" s="95"/>
      <c r="C98" s="96"/>
      <c r="D98" s="97"/>
      <c r="E98" s="113"/>
      <c r="F98" s="90"/>
      <c r="G98" s="91"/>
      <c r="H98" s="92"/>
      <c r="I98" s="105"/>
      <c r="J98" s="83"/>
      <c r="K98" s="83"/>
      <c r="L98" s="12"/>
      <c r="M98" s="28"/>
      <c r="N98" s="14"/>
      <c r="O98" s="11"/>
      <c r="P98" s="11"/>
      <c r="Q98" s="16"/>
      <c r="R98" s="2"/>
      <c r="S98" s="12"/>
      <c r="T98" s="17"/>
      <c r="U98" s="2"/>
      <c r="V98" s="18"/>
      <c r="W98" s="16"/>
    </row>
    <row r="99" spans="2:23" ht="18" x14ac:dyDescent="0.35">
      <c r="B99" s="95"/>
      <c r="C99" s="96"/>
      <c r="D99" s="97"/>
      <c r="E99" s="113"/>
      <c r="F99" s="90"/>
      <c r="G99" s="91"/>
      <c r="H99" s="92"/>
      <c r="I99" s="105"/>
      <c r="J99" s="83"/>
      <c r="K99" s="83"/>
      <c r="L99" s="12"/>
      <c r="M99" s="28"/>
      <c r="N99" s="14"/>
      <c r="O99" s="11"/>
      <c r="P99" s="11"/>
      <c r="Q99" s="16"/>
      <c r="R99" s="2"/>
      <c r="S99" s="12"/>
      <c r="T99" s="17"/>
      <c r="U99" s="2"/>
      <c r="V99" s="18"/>
      <c r="W99" s="16"/>
    </row>
    <row r="100" spans="2:23" ht="18" x14ac:dyDescent="0.35">
      <c r="B100" s="95"/>
      <c r="C100" s="96"/>
      <c r="D100" s="97"/>
      <c r="E100" s="113"/>
      <c r="F100" s="90"/>
      <c r="G100" s="91"/>
      <c r="H100" s="92"/>
      <c r="I100" s="105"/>
      <c r="J100" s="83"/>
      <c r="K100" s="83"/>
      <c r="L100" s="12"/>
      <c r="M100" s="28"/>
      <c r="N100" s="14"/>
      <c r="O100" s="11"/>
      <c r="P100" s="11"/>
      <c r="Q100" s="16"/>
      <c r="R100" s="2"/>
      <c r="S100" s="12"/>
      <c r="T100" s="17"/>
      <c r="U100" s="2"/>
      <c r="V100" s="18"/>
      <c r="W100" s="16"/>
    </row>
    <row r="101" spans="2:23" ht="18" x14ac:dyDescent="0.35">
      <c r="B101" s="95"/>
      <c r="C101" s="96"/>
      <c r="D101" s="97"/>
      <c r="E101" s="113"/>
      <c r="F101" s="90"/>
      <c r="G101" s="91"/>
      <c r="H101" s="92"/>
      <c r="I101" s="105"/>
      <c r="J101" s="83"/>
      <c r="K101" s="83"/>
      <c r="L101" s="12"/>
      <c r="M101" s="28"/>
      <c r="N101" s="14"/>
      <c r="O101" s="11"/>
      <c r="P101" s="11"/>
      <c r="Q101" s="16"/>
      <c r="R101" s="2"/>
      <c r="S101" s="12"/>
      <c r="T101" s="17"/>
      <c r="U101" s="2"/>
      <c r="V101" s="18"/>
      <c r="W101" s="16"/>
    </row>
    <row r="102" spans="2:23" ht="18" x14ac:dyDescent="0.35">
      <c r="B102" s="95"/>
      <c r="C102" s="96"/>
      <c r="D102" s="97"/>
      <c r="E102" s="113"/>
      <c r="F102" s="90"/>
      <c r="G102" s="91"/>
      <c r="H102" s="92"/>
      <c r="I102" s="105"/>
      <c r="J102" s="83"/>
      <c r="K102" s="83"/>
      <c r="L102" s="12"/>
      <c r="M102" s="28"/>
      <c r="N102" s="14"/>
      <c r="O102" s="11"/>
      <c r="P102" s="11"/>
      <c r="Q102" s="16"/>
      <c r="R102" s="2"/>
      <c r="S102" s="12"/>
      <c r="T102" s="17"/>
      <c r="U102" s="2"/>
      <c r="V102" s="18"/>
      <c r="W102" s="16"/>
    </row>
    <row r="103" spans="2:23" ht="18" x14ac:dyDescent="0.35">
      <c r="B103" s="95"/>
      <c r="C103" s="96"/>
      <c r="D103" s="97"/>
      <c r="E103" s="113"/>
      <c r="F103" s="90"/>
      <c r="G103" s="91"/>
      <c r="H103" s="92"/>
      <c r="I103" s="105"/>
      <c r="J103" s="83"/>
      <c r="K103" s="83"/>
      <c r="L103" s="12"/>
      <c r="M103" s="28"/>
      <c r="N103" s="14"/>
      <c r="O103" s="11"/>
      <c r="P103" s="11"/>
      <c r="Q103" s="16"/>
      <c r="R103" s="2"/>
      <c r="S103" s="12"/>
      <c r="T103" s="17"/>
      <c r="U103" s="2"/>
      <c r="V103" s="18"/>
      <c r="W103" s="16"/>
    </row>
    <row r="104" spans="2:23" ht="18" x14ac:dyDescent="0.35">
      <c r="B104" s="95"/>
      <c r="C104" s="96"/>
      <c r="D104" s="97"/>
      <c r="E104" s="113"/>
      <c r="F104" s="90"/>
      <c r="G104" s="91"/>
      <c r="H104" s="92"/>
      <c r="I104" s="105"/>
      <c r="J104" s="83"/>
      <c r="K104" s="83"/>
      <c r="L104" s="12"/>
      <c r="M104" s="28"/>
      <c r="N104" s="14"/>
      <c r="O104" s="11"/>
      <c r="P104" s="11"/>
      <c r="Q104" s="16"/>
      <c r="R104" s="2"/>
      <c r="S104" s="12"/>
      <c r="T104" s="17"/>
      <c r="U104" s="2"/>
      <c r="V104" s="18"/>
      <c r="W104" s="16"/>
    </row>
    <row r="105" spans="2:23" ht="18" x14ac:dyDescent="0.35">
      <c r="B105" s="95"/>
      <c r="C105" s="96"/>
      <c r="D105" s="97"/>
      <c r="E105" s="113"/>
      <c r="F105" s="90"/>
      <c r="G105" s="91"/>
      <c r="H105" s="92"/>
      <c r="I105" s="105"/>
      <c r="J105" s="83"/>
      <c r="K105" s="83"/>
      <c r="L105" s="12"/>
      <c r="M105" s="28"/>
      <c r="N105" s="14"/>
      <c r="O105" s="11"/>
      <c r="P105" s="11"/>
      <c r="Q105" s="16"/>
      <c r="R105" s="2"/>
      <c r="S105" s="12"/>
      <c r="T105" s="17"/>
      <c r="U105" s="2"/>
      <c r="V105" s="18"/>
      <c r="W105" s="16"/>
    </row>
    <row r="106" spans="2:23" ht="18" x14ac:dyDescent="0.35">
      <c r="B106" s="95"/>
      <c r="C106" s="96"/>
      <c r="D106" s="97"/>
      <c r="E106" s="113"/>
      <c r="F106" s="90"/>
      <c r="G106" s="91"/>
      <c r="H106" s="92"/>
      <c r="I106" s="105"/>
      <c r="J106" s="83"/>
      <c r="K106" s="83"/>
      <c r="L106" s="12"/>
      <c r="M106" s="28"/>
      <c r="N106" s="14"/>
      <c r="O106" s="11"/>
      <c r="P106" s="11"/>
      <c r="Q106" s="16"/>
      <c r="R106" s="2"/>
      <c r="S106" s="12"/>
      <c r="T106" s="17"/>
      <c r="U106" s="2"/>
      <c r="V106" s="18"/>
      <c r="W106" s="16"/>
    </row>
    <row r="107" spans="2:23" ht="18" x14ac:dyDescent="0.35">
      <c r="B107" s="95"/>
      <c r="C107" s="96"/>
      <c r="D107" s="97"/>
      <c r="E107" s="113"/>
      <c r="F107" s="90"/>
      <c r="G107" s="91"/>
      <c r="H107" s="92"/>
      <c r="I107" s="105"/>
      <c r="J107" s="83"/>
      <c r="K107" s="83"/>
      <c r="L107" s="12"/>
      <c r="M107" s="28"/>
      <c r="N107" s="14"/>
      <c r="O107" s="11"/>
      <c r="P107" s="11"/>
      <c r="Q107" s="16"/>
      <c r="R107" s="2"/>
      <c r="S107" s="12"/>
      <c r="T107" s="17"/>
      <c r="U107" s="2"/>
      <c r="V107" s="18"/>
      <c r="W107" s="16"/>
    </row>
    <row r="108" spans="2:23" ht="18" x14ac:dyDescent="0.35">
      <c r="B108" s="95"/>
      <c r="C108" s="96"/>
      <c r="D108" s="97"/>
      <c r="E108" s="113"/>
      <c r="F108" s="90"/>
      <c r="G108" s="91"/>
      <c r="H108" s="92"/>
      <c r="I108" s="105"/>
      <c r="J108" s="83"/>
      <c r="K108" s="83"/>
      <c r="L108" s="12"/>
      <c r="M108" s="28"/>
      <c r="N108" s="14"/>
      <c r="O108" s="11"/>
      <c r="P108" s="11"/>
      <c r="Q108" s="16"/>
      <c r="R108" s="2"/>
      <c r="S108" s="12"/>
      <c r="T108" s="17"/>
      <c r="U108" s="2"/>
      <c r="V108" s="18"/>
      <c r="W108" s="16"/>
    </row>
    <row r="109" spans="2:23" ht="18" x14ac:dyDescent="0.35">
      <c r="B109" s="95"/>
      <c r="C109" s="96"/>
      <c r="D109" s="97"/>
      <c r="E109" s="113"/>
      <c r="F109" s="90"/>
      <c r="G109" s="91"/>
      <c r="H109" s="92"/>
      <c r="I109" s="105"/>
      <c r="J109" s="83"/>
      <c r="K109" s="83"/>
      <c r="L109" s="12"/>
      <c r="M109" s="28"/>
      <c r="N109" s="14"/>
      <c r="O109" s="11"/>
      <c r="P109" s="11"/>
      <c r="Q109" s="16"/>
      <c r="R109" s="2"/>
      <c r="S109" s="12"/>
      <c r="T109" s="17"/>
      <c r="U109" s="2"/>
      <c r="V109" s="18"/>
      <c r="W109" s="16"/>
    </row>
    <row r="110" spans="2:23" ht="18" x14ac:dyDescent="0.35">
      <c r="B110" s="95"/>
      <c r="C110" s="96"/>
      <c r="D110" s="97"/>
      <c r="E110" s="113"/>
      <c r="F110" s="90"/>
      <c r="G110" s="91"/>
      <c r="H110" s="92"/>
      <c r="I110" s="105"/>
      <c r="J110" s="83"/>
      <c r="K110" s="83"/>
      <c r="L110" s="12"/>
      <c r="M110" s="28"/>
      <c r="N110" s="14"/>
      <c r="O110" s="11"/>
      <c r="P110" s="11"/>
      <c r="Q110" s="16"/>
      <c r="R110" s="2"/>
      <c r="S110" s="12"/>
      <c r="T110" s="17"/>
      <c r="U110" s="2"/>
      <c r="V110" s="18"/>
      <c r="W110" s="16"/>
    </row>
    <row r="111" spans="2:23" ht="18" x14ac:dyDescent="0.35">
      <c r="B111" s="95"/>
      <c r="C111" s="96"/>
      <c r="D111" s="97"/>
      <c r="E111" s="113"/>
      <c r="F111" s="90"/>
      <c r="G111" s="91"/>
      <c r="H111" s="92"/>
      <c r="I111" s="105"/>
      <c r="J111" s="83"/>
      <c r="K111" s="83"/>
      <c r="L111" s="12"/>
      <c r="M111" s="28"/>
      <c r="N111" s="14"/>
      <c r="O111" s="11"/>
      <c r="P111" s="11"/>
      <c r="Q111" s="16"/>
      <c r="R111" s="2"/>
      <c r="S111" s="12"/>
      <c r="T111" s="17"/>
      <c r="U111" s="2"/>
      <c r="V111" s="18"/>
      <c r="W111" s="16"/>
    </row>
    <row r="112" spans="2:23" ht="18" x14ac:dyDescent="0.35">
      <c r="B112" s="95"/>
      <c r="C112" s="96"/>
      <c r="D112" s="97"/>
      <c r="E112" s="113"/>
      <c r="F112" s="90"/>
      <c r="G112" s="91"/>
      <c r="H112" s="92"/>
      <c r="I112" s="105"/>
      <c r="J112" s="83"/>
      <c r="K112" s="83"/>
      <c r="L112" s="12"/>
      <c r="M112" s="28"/>
      <c r="N112" s="14"/>
      <c r="O112" s="11"/>
      <c r="P112" s="11"/>
      <c r="Q112" s="16"/>
      <c r="R112" s="2"/>
      <c r="S112" s="12"/>
      <c r="T112" s="17"/>
      <c r="U112" s="2"/>
      <c r="V112" s="18"/>
      <c r="W112" s="16"/>
    </row>
    <row r="113" spans="2:23" ht="18" x14ac:dyDescent="0.35">
      <c r="B113" s="95"/>
      <c r="C113" s="96"/>
      <c r="D113" s="97"/>
      <c r="E113" s="113"/>
      <c r="F113" s="90"/>
      <c r="G113" s="91"/>
      <c r="H113" s="92"/>
      <c r="I113" s="105"/>
      <c r="J113" s="83"/>
      <c r="K113" s="83"/>
      <c r="L113" s="12"/>
      <c r="M113" s="28"/>
      <c r="N113" s="14"/>
      <c r="O113" s="11"/>
      <c r="P113" s="11"/>
      <c r="Q113" s="16"/>
      <c r="R113" s="2"/>
      <c r="S113" s="12"/>
      <c r="T113" s="17"/>
      <c r="U113" s="2"/>
      <c r="V113" s="18"/>
      <c r="W113" s="16"/>
    </row>
    <row r="114" spans="2:23" ht="18" x14ac:dyDescent="0.35">
      <c r="B114" s="95"/>
      <c r="C114" s="96"/>
      <c r="D114" s="97"/>
      <c r="E114" s="113"/>
      <c r="F114" s="90"/>
      <c r="G114" s="91"/>
      <c r="H114" s="92"/>
      <c r="I114" s="105"/>
      <c r="J114" s="83"/>
      <c r="K114" s="83"/>
      <c r="L114" s="12"/>
      <c r="M114" s="28"/>
      <c r="N114" s="14"/>
      <c r="O114" s="11"/>
      <c r="P114" s="11"/>
      <c r="Q114" s="16"/>
      <c r="R114" s="2"/>
      <c r="S114" s="12"/>
      <c r="T114" s="17"/>
      <c r="U114" s="2"/>
      <c r="V114" s="18"/>
      <c r="W114" s="16"/>
    </row>
    <row r="115" spans="2:23" ht="18" x14ac:dyDescent="0.35">
      <c r="B115" s="95"/>
      <c r="C115" s="96"/>
      <c r="D115" s="97"/>
      <c r="E115" s="113"/>
      <c r="F115" s="90"/>
      <c r="G115" s="91"/>
      <c r="H115" s="92"/>
      <c r="I115" s="105"/>
      <c r="J115" s="83"/>
      <c r="K115" s="83"/>
      <c r="L115" s="12"/>
      <c r="M115" s="28"/>
      <c r="N115" s="14"/>
      <c r="O115" s="11"/>
      <c r="P115" s="11"/>
      <c r="Q115" s="16"/>
      <c r="R115" s="2"/>
      <c r="S115" s="12"/>
      <c r="T115" s="17"/>
      <c r="U115" s="2"/>
      <c r="V115" s="18"/>
      <c r="W115" s="16"/>
    </row>
    <row r="116" spans="2:23" ht="18" x14ac:dyDescent="0.35">
      <c r="B116" s="95"/>
      <c r="C116" s="96"/>
      <c r="D116" s="97"/>
      <c r="E116" s="113"/>
      <c r="F116" s="90"/>
      <c r="G116" s="91"/>
      <c r="H116" s="92"/>
      <c r="I116" s="105"/>
      <c r="J116" s="83"/>
      <c r="K116" s="83"/>
      <c r="L116" s="12"/>
      <c r="M116" s="28"/>
      <c r="N116" s="14"/>
      <c r="O116" s="11"/>
      <c r="P116" s="11"/>
      <c r="Q116" s="16"/>
      <c r="R116" s="2"/>
      <c r="S116" s="12"/>
      <c r="T116" s="17"/>
      <c r="U116" s="2"/>
      <c r="V116" s="18"/>
      <c r="W116" s="16"/>
    </row>
    <row r="117" spans="2:23" ht="18" x14ac:dyDescent="0.35">
      <c r="B117" s="95"/>
      <c r="C117" s="96"/>
      <c r="D117" s="97"/>
      <c r="E117" s="113"/>
      <c r="F117" s="90"/>
      <c r="G117" s="91"/>
      <c r="H117" s="92"/>
      <c r="I117" s="105"/>
      <c r="J117" s="83"/>
      <c r="K117" s="83"/>
      <c r="L117" s="12"/>
      <c r="M117" s="28"/>
      <c r="N117" s="14"/>
      <c r="O117" s="11"/>
      <c r="P117" s="11"/>
      <c r="Q117" s="16"/>
      <c r="R117" s="2"/>
      <c r="S117" s="12"/>
      <c r="T117" s="17"/>
      <c r="U117" s="2"/>
      <c r="V117" s="18"/>
      <c r="W117" s="16"/>
    </row>
    <row r="118" spans="2:23" ht="18" x14ac:dyDescent="0.35">
      <c r="B118" s="95"/>
      <c r="C118" s="96"/>
      <c r="D118" s="97"/>
      <c r="E118" s="113"/>
      <c r="F118" s="90"/>
      <c r="G118" s="91"/>
      <c r="H118" s="92"/>
      <c r="I118" s="105"/>
      <c r="J118" s="83"/>
      <c r="K118" s="83"/>
      <c r="L118" s="12"/>
      <c r="M118" s="28"/>
      <c r="N118" s="14"/>
      <c r="O118" s="11"/>
      <c r="P118" s="11"/>
      <c r="Q118" s="16"/>
      <c r="R118" s="2"/>
      <c r="S118" s="12"/>
      <c r="T118" s="17"/>
      <c r="U118" s="2"/>
      <c r="V118" s="18"/>
      <c r="W118" s="16"/>
    </row>
    <row r="119" spans="2:23" ht="18" x14ac:dyDescent="0.35">
      <c r="B119" s="95"/>
      <c r="C119" s="96"/>
      <c r="D119" s="97"/>
      <c r="E119" s="113"/>
      <c r="F119" s="90"/>
      <c r="G119" s="91"/>
      <c r="H119" s="92"/>
      <c r="I119" s="105"/>
      <c r="J119" s="83"/>
      <c r="K119" s="83"/>
      <c r="L119" s="12"/>
      <c r="M119" s="28"/>
      <c r="N119" s="14"/>
      <c r="O119" s="11"/>
      <c r="P119" s="11"/>
      <c r="Q119" s="16"/>
      <c r="R119" s="2"/>
      <c r="S119" s="12"/>
      <c r="T119" s="17"/>
      <c r="U119" s="2"/>
      <c r="V119" s="18"/>
      <c r="W119" s="16"/>
    </row>
    <row r="120" spans="2:23" ht="18" x14ac:dyDescent="0.35">
      <c r="B120" s="95"/>
      <c r="C120" s="96"/>
      <c r="D120" s="97"/>
      <c r="E120" s="113"/>
      <c r="F120" s="90"/>
      <c r="G120" s="91"/>
      <c r="H120" s="92"/>
      <c r="I120" s="105"/>
      <c r="J120" s="83"/>
      <c r="K120" s="83"/>
      <c r="L120" s="12"/>
      <c r="M120" s="28"/>
      <c r="N120" s="14"/>
      <c r="O120" s="11"/>
      <c r="P120" s="11"/>
      <c r="Q120" s="16"/>
      <c r="R120" s="2"/>
      <c r="S120" s="12"/>
      <c r="T120" s="17"/>
      <c r="U120" s="2"/>
      <c r="V120" s="18"/>
      <c r="W120" s="16"/>
    </row>
    <row r="121" spans="2:23" ht="18" x14ac:dyDescent="0.35">
      <c r="B121" s="95"/>
      <c r="C121" s="96"/>
      <c r="D121" s="97"/>
      <c r="E121" s="113"/>
      <c r="F121" s="90"/>
      <c r="G121" s="91"/>
      <c r="H121" s="92"/>
      <c r="I121" s="105"/>
      <c r="J121" s="83"/>
      <c r="K121" s="83"/>
      <c r="L121" s="12"/>
      <c r="M121" s="28"/>
      <c r="N121" s="14"/>
      <c r="O121" s="11"/>
      <c r="P121" s="11"/>
      <c r="Q121" s="16"/>
      <c r="R121" s="2"/>
      <c r="S121" s="12"/>
      <c r="T121" s="17"/>
      <c r="U121" s="2"/>
      <c r="V121" s="18"/>
      <c r="W121" s="16"/>
    </row>
    <row r="122" spans="2:23" ht="18" x14ac:dyDescent="0.35">
      <c r="B122" s="95"/>
      <c r="C122" s="96"/>
      <c r="D122" s="97"/>
      <c r="E122" s="113"/>
      <c r="F122" s="99"/>
      <c r="G122" s="100"/>
      <c r="H122" s="101"/>
      <c r="I122" s="105"/>
      <c r="J122" s="83"/>
      <c r="K122" s="83"/>
      <c r="L122" s="12"/>
      <c r="M122" s="28"/>
      <c r="N122" s="14"/>
      <c r="O122" s="11"/>
      <c r="P122" s="11"/>
      <c r="Q122" s="16"/>
      <c r="R122" s="2"/>
      <c r="S122" s="12"/>
      <c r="T122" s="17"/>
      <c r="U122" s="2"/>
      <c r="V122" s="18"/>
      <c r="W122" s="16"/>
    </row>
    <row r="123" spans="2:23" ht="18" x14ac:dyDescent="0.35">
      <c r="B123" s="95"/>
      <c r="C123" s="96"/>
      <c r="D123" s="97"/>
      <c r="E123" s="113"/>
      <c r="F123" s="99"/>
      <c r="G123" s="100"/>
      <c r="H123" s="101"/>
      <c r="I123" s="105"/>
      <c r="J123" s="83"/>
      <c r="K123" s="83"/>
      <c r="L123" s="12"/>
      <c r="M123" s="28"/>
      <c r="N123" s="14"/>
      <c r="O123" s="11"/>
      <c r="P123" s="11"/>
      <c r="Q123" s="16"/>
      <c r="R123" s="2"/>
      <c r="S123" s="12"/>
      <c r="T123" s="17"/>
      <c r="U123" s="2"/>
      <c r="V123" s="18"/>
      <c r="W123" s="16"/>
    </row>
    <row r="124" spans="2:23" ht="18" x14ac:dyDescent="0.35">
      <c r="B124" s="95"/>
      <c r="C124" s="96"/>
      <c r="D124" s="97"/>
      <c r="E124" s="113"/>
      <c r="F124" s="99"/>
      <c r="G124" s="100"/>
      <c r="H124" s="101"/>
      <c r="I124" s="105"/>
      <c r="J124" s="83"/>
      <c r="K124" s="83"/>
      <c r="L124" s="12"/>
      <c r="M124" s="28"/>
      <c r="N124" s="14"/>
      <c r="O124" s="11"/>
      <c r="P124" s="11"/>
      <c r="Q124" s="16"/>
      <c r="R124" s="2"/>
      <c r="S124" s="12"/>
      <c r="T124" s="17"/>
      <c r="U124" s="2"/>
      <c r="V124" s="18"/>
      <c r="W124" s="16"/>
    </row>
    <row r="125" spans="2:23" ht="18" x14ac:dyDescent="0.35">
      <c r="B125" s="95"/>
      <c r="C125" s="96"/>
      <c r="D125" s="97"/>
      <c r="E125" s="113"/>
      <c r="F125" s="99"/>
      <c r="G125" s="100"/>
      <c r="H125" s="101"/>
      <c r="I125" s="105"/>
      <c r="J125" s="83"/>
      <c r="K125" s="83"/>
      <c r="L125" s="12"/>
      <c r="M125" s="28"/>
      <c r="N125" s="14"/>
      <c r="O125" s="11"/>
      <c r="P125" s="11"/>
      <c r="Q125" s="16"/>
      <c r="R125" s="2"/>
      <c r="S125" s="12"/>
      <c r="T125" s="17"/>
      <c r="U125" s="2"/>
      <c r="V125" s="18"/>
      <c r="W125" s="16"/>
    </row>
    <row r="126" spans="2:23" ht="18" x14ac:dyDescent="0.35">
      <c r="B126" s="95"/>
      <c r="C126" s="96"/>
      <c r="D126" s="97"/>
      <c r="E126" s="113"/>
      <c r="F126" s="99"/>
      <c r="G126" s="100"/>
      <c r="H126" s="101"/>
      <c r="I126" s="105"/>
      <c r="J126" s="83"/>
      <c r="K126" s="83"/>
      <c r="L126" s="12"/>
      <c r="M126" s="28"/>
      <c r="N126" s="14"/>
      <c r="O126" s="11"/>
      <c r="P126" s="11"/>
      <c r="Q126" s="16"/>
      <c r="R126" s="2"/>
      <c r="S126" s="12"/>
      <c r="T126" s="17"/>
      <c r="U126" s="2"/>
      <c r="V126" s="18"/>
      <c r="W126" s="16"/>
    </row>
    <row r="127" spans="2:23" ht="18" x14ac:dyDescent="0.35">
      <c r="B127" s="95"/>
      <c r="C127" s="96"/>
      <c r="D127" s="97"/>
      <c r="E127" s="113"/>
      <c r="F127" s="99"/>
      <c r="G127" s="100"/>
      <c r="H127" s="101"/>
      <c r="I127" s="105"/>
      <c r="J127" s="83"/>
      <c r="K127" s="83"/>
      <c r="L127" s="12"/>
      <c r="M127" s="28"/>
      <c r="N127" s="14"/>
      <c r="O127" s="11"/>
      <c r="P127" s="11"/>
      <c r="Q127" s="16"/>
      <c r="R127" s="2"/>
      <c r="S127" s="12"/>
      <c r="T127" s="17"/>
      <c r="U127" s="2"/>
      <c r="V127" s="18"/>
      <c r="W127" s="16"/>
    </row>
    <row r="128" spans="2:23" ht="18" x14ac:dyDescent="0.35">
      <c r="B128" s="95"/>
      <c r="C128" s="96"/>
      <c r="D128" s="97"/>
      <c r="E128" s="113"/>
      <c r="F128" s="99"/>
      <c r="G128" s="100"/>
      <c r="H128" s="101"/>
      <c r="I128" s="105"/>
      <c r="J128" s="83"/>
      <c r="K128" s="83"/>
      <c r="L128" s="12"/>
      <c r="M128" s="28"/>
      <c r="N128" s="14"/>
      <c r="O128" s="11"/>
      <c r="P128" s="11"/>
      <c r="Q128" s="16"/>
      <c r="R128" s="2"/>
      <c r="S128" s="12"/>
      <c r="T128" s="17"/>
      <c r="U128" s="2"/>
      <c r="V128" s="18"/>
      <c r="W128" s="16"/>
    </row>
    <row r="129" spans="1:23" ht="18.600000000000001" thickBot="1" x14ac:dyDescent="0.4">
      <c r="B129" s="114"/>
      <c r="C129" s="115"/>
      <c r="D129" s="116"/>
      <c r="E129" s="113"/>
      <c r="F129" s="117"/>
      <c r="G129" s="118"/>
      <c r="H129" s="119"/>
      <c r="I129" s="105"/>
      <c r="J129" s="83"/>
      <c r="K129" s="83"/>
      <c r="L129" s="30"/>
      <c r="M129" s="31"/>
      <c r="N129" s="32"/>
      <c r="O129" s="29"/>
      <c r="P129" s="29"/>
      <c r="Q129" s="33"/>
      <c r="R129" s="2"/>
      <c r="S129" s="30"/>
      <c r="T129" s="34"/>
      <c r="U129" s="2"/>
      <c r="V129" s="35"/>
      <c r="W129" s="33"/>
    </row>
    <row r="130" spans="1:23" ht="18.600000000000001" thickBot="1" x14ac:dyDescent="0.4">
      <c r="A130" s="120" t="s">
        <v>15</v>
      </c>
      <c r="B130" s="121">
        <f>SUM(B9:B129)</f>
        <v>441.71</v>
      </c>
      <c r="C130" s="122"/>
      <c r="D130" s="121"/>
      <c r="E130" s="123">
        <f>SUM(E9:E129)</f>
        <v>889.74199999999996</v>
      </c>
      <c r="F130" s="124">
        <f>SUM(F9:F129)</f>
        <v>78.801000000000002</v>
      </c>
      <c r="G130" s="82"/>
      <c r="H130" s="125"/>
      <c r="I130" s="125">
        <f>SUM(I9:I129)</f>
        <v>1296.0419999999999</v>
      </c>
      <c r="J130" s="83"/>
      <c r="K130" s="83"/>
      <c r="L130" s="126"/>
      <c r="M130" s="126">
        <f>SUM(M9:M129)</f>
        <v>0</v>
      </c>
      <c r="N130" s="127">
        <f>SUM(N9:N129)</f>
        <v>0</v>
      </c>
      <c r="O130" s="82"/>
      <c r="P130" s="82">
        <f>SUM(P9:P129)</f>
        <v>0</v>
      </c>
      <c r="Q130" s="128">
        <f>SUM(Q9:Q129)</f>
        <v>0</v>
      </c>
      <c r="R130" s="83"/>
      <c r="S130" s="84"/>
      <c r="T130" s="129">
        <f>SUM(T9:T129)</f>
        <v>0</v>
      </c>
      <c r="U130" s="83"/>
      <c r="V130" s="82"/>
      <c r="W130" s="130">
        <f>SUM(W9:W129)</f>
        <v>0</v>
      </c>
    </row>
  </sheetData>
  <sheetProtection algorithmName="SHA-512" hashValue="bT4MByowV+BqgU5rt+Q+1Y0feiyiLbjkl7tVjbiM8FiwYeyD2g7+c9xPUoaDiDaOr8Fh20fU1h2NahKjf/84rQ==" saltValue="YhzWjXV4lBiSZYg6nIbSAw==" spinCount="100000" sheet="1" objects="1" scenarios="1"/>
  <mergeCells count="8">
    <mergeCell ref="V5:W5"/>
    <mergeCell ref="Y5:Z5"/>
    <mergeCell ref="E1:G1"/>
    <mergeCell ref="B2:C2"/>
    <mergeCell ref="B3:C3"/>
    <mergeCell ref="B5:I5"/>
    <mergeCell ref="L5:Q5"/>
    <mergeCell ref="S5:T5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696E8C-0158-48C0-BF1D-B27E6E5657DE}">
  <sheetPr codeName="Sheet56"/>
  <dimension ref="A1:Z130"/>
  <sheetViews>
    <sheetView topLeftCell="O4" zoomScale="80" zoomScaleNormal="80" workbookViewId="0">
      <selection activeCell="I94" sqref="I94"/>
    </sheetView>
  </sheetViews>
  <sheetFormatPr defaultColWidth="9.109375" defaultRowHeight="14.4" x14ac:dyDescent="0.3"/>
  <cols>
    <col min="1" max="1" width="15.5546875" style="36" customWidth="1"/>
    <col min="2" max="2" width="15.88671875" style="36" customWidth="1"/>
    <col min="3" max="3" width="20" style="76" customWidth="1"/>
    <col min="4" max="4" width="20.33203125" style="36" customWidth="1"/>
    <col min="5" max="5" width="22.33203125" style="36" customWidth="1"/>
    <col min="6" max="6" width="14.6640625" style="36" customWidth="1"/>
    <col min="7" max="7" width="22" style="76" customWidth="1"/>
    <col min="8" max="8" width="18.88671875" style="36" customWidth="1"/>
    <col min="9" max="9" width="23" style="36" customWidth="1"/>
    <col min="10" max="11" width="9.109375" style="36"/>
    <col min="12" max="12" width="20.6640625" style="76" customWidth="1"/>
    <col min="13" max="13" width="15.44140625" style="76" customWidth="1"/>
    <col min="14" max="14" width="22.6640625" style="36" customWidth="1"/>
    <col min="15" max="15" width="20.5546875" style="76" customWidth="1"/>
    <col min="16" max="16" width="13.33203125" style="76" customWidth="1"/>
    <col min="17" max="17" width="21.5546875" style="76" customWidth="1"/>
    <col min="18" max="18" width="9.109375" style="36"/>
    <col min="19" max="19" width="22" style="76" customWidth="1"/>
    <col min="20" max="20" width="22.33203125" style="76" customWidth="1"/>
    <col min="21" max="21" width="9.109375" style="36"/>
    <col min="22" max="22" width="21.88671875" style="76" customWidth="1"/>
    <col min="23" max="23" width="23.109375" style="76" customWidth="1"/>
    <col min="24" max="24" width="9.109375" style="36"/>
    <col min="25" max="25" width="21.33203125" style="36" customWidth="1"/>
    <col min="26" max="26" width="21.88671875" style="36" customWidth="1"/>
    <col min="27" max="16384" width="9.109375" style="36"/>
  </cols>
  <sheetData>
    <row r="1" spans="2:26" ht="21" x14ac:dyDescent="0.4">
      <c r="E1" s="189">
        <v>44168</v>
      </c>
      <c r="F1" s="189"/>
      <c r="G1" s="189"/>
    </row>
    <row r="2" spans="2:26" ht="18" x14ac:dyDescent="0.35">
      <c r="B2" s="190" t="s">
        <v>0</v>
      </c>
      <c r="C2" s="190"/>
      <c r="D2" s="1">
        <v>8950</v>
      </c>
    </row>
    <row r="3" spans="2:26" ht="18" x14ac:dyDescent="0.35">
      <c r="B3" s="190" t="s">
        <v>1</v>
      </c>
      <c r="C3" s="190"/>
      <c r="D3" s="77">
        <f>(D2-E130-I130)</f>
        <v>2874.7499999999991</v>
      </c>
    </row>
    <row r="5" spans="2:26" ht="36.6" x14ac:dyDescent="0.7">
      <c r="B5" s="187" t="s">
        <v>2</v>
      </c>
      <c r="C5" s="187"/>
      <c r="D5" s="187"/>
      <c r="E5" s="187"/>
      <c r="F5" s="187"/>
      <c r="G5" s="187"/>
      <c r="H5" s="187"/>
      <c r="I5" s="187"/>
      <c r="L5" s="187" t="s">
        <v>3</v>
      </c>
      <c r="M5" s="187"/>
      <c r="N5" s="187"/>
      <c r="O5" s="187"/>
      <c r="P5" s="187"/>
      <c r="Q5" s="187"/>
      <c r="S5" s="191" t="s">
        <v>4</v>
      </c>
      <c r="T5" s="191"/>
      <c r="V5" s="187" t="s">
        <v>5</v>
      </c>
      <c r="W5" s="187"/>
      <c r="Y5" s="188" t="s">
        <v>105</v>
      </c>
      <c r="Z5" s="187"/>
    </row>
    <row r="7" spans="2:26" ht="15" thickBot="1" x14ac:dyDescent="0.35"/>
    <row r="8" spans="2:26" ht="18.600000000000001" thickBot="1" x14ac:dyDescent="0.4">
      <c r="B8" s="78" t="s">
        <v>6</v>
      </c>
      <c r="C8" s="79" t="s">
        <v>7</v>
      </c>
      <c r="D8" s="78" t="s">
        <v>8</v>
      </c>
      <c r="E8" s="80" t="s">
        <v>9</v>
      </c>
      <c r="F8" s="81" t="s">
        <v>6</v>
      </c>
      <c r="G8" s="81" t="s">
        <v>10</v>
      </c>
      <c r="H8" s="81" t="s">
        <v>8</v>
      </c>
      <c r="I8" s="82" t="s">
        <v>9</v>
      </c>
      <c r="J8" s="83"/>
      <c r="K8" s="83"/>
      <c r="L8" s="84" t="s">
        <v>11</v>
      </c>
      <c r="M8" s="84" t="s">
        <v>6</v>
      </c>
      <c r="N8" s="84" t="s">
        <v>9</v>
      </c>
      <c r="O8" s="82" t="s">
        <v>12</v>
      </c>
      <c r="P8" s="82" t="s">
        <v>6</v>
      </c>
      <c r="Q8" s="82" t="s">
        <v>9</v>
      </c>
      <c r="R8" s="83"/>
      <c r="S8" s="84" t="s">
        <v>13</v>
      </c>
      <c r="T8" s="85" t="s">
        <v>9</v>
      </c>
      <c r="U8" s="83"/>
      <c r="V8" s="82" t="s">
        <v>14</v>
      </c>
      <c r="W8" s="82" t="s">
        <v>9</v>
      </c>
      <c r="Y8" s="146" t="s">
        <v>106</v>
      </c>
      <c r="Z8" s="147" t="s">
        <v>107</v>
      </c>
    </row>
    <row r="9" spans="2:26" ht="18" x14ac:dyDescent="0.35">
      <c r="B9" s="86">
        <v>11.5</v>
      </c>
      <c r="C9" s="87" t="s">
        <v>76</v>
      </c>
      <c r="D9" s="88">
        <v>2.4</v>
      </c>
      <c r="E9" s="89">
        <v>27.599999999999998</v>
      </c>
      <c r="F9" s="90">
        <v>2</v>
      </c>
      <c r="G9" s="91" t="s">
        <v>22</v>
      </c>
      <c r="H9" s="92">
        <v>94</v>
      </c>
      <c r="I9" s="93">
        <v>188</v>
      </c>
      <c r="J9" s="83"/>
      <c r="K9" s="83"/>
      <c r="L9" s="3"/>
      <c r="M9" s="4"/>
      <c r="N9" s="5"/>
      <c r="O9" s="6"/>
      <c r="P9" s="7"/>
      <c r="Q9" s="8"/>
      <c r="R9" s="2"/>
      <c r="S9" s="3" t="s">
        <v>119</v>
      </c>
      <c r="T9" s="9">
        <v>400</v>
      </c>
      <c r="U9" s="2"/>
      <c r="V9" s="10"/>
      <c r="W9" s="8"/>
      <c r="Y9" s="148" t="s">
        <v>88</v>
      </c>
      <c r="Z9" s="151">
        <f>SUMIF($C$9:$C$129, Y9, $B$9:$B$129)</f>
        <v>126</v>
      </c>
    </row>
    <row r="10" spans="2:26" ht="18" x14ac:dyDescent="0.35">
      <c r="B10" s="95">
        <v>93</v>
      </c>
      <c r="C10" s="96" t="s">
        <v>88</v>
      </c>
      <c r="D10" s="97">
        <v>0.9</v>
      </c>
      <c r="E10" s="98">
        <v>83.7</v>
      </c>
      <c r="F10" s="90">
        <v>3</v>
      </c>
      <c r="G10" s="91" t="s">
        <v>83</v>
      </c>
      <c r="H10" s="92">
        <v>15</v>
      </c>
      <c r="I10" s="93">
        <v>45</v>
      </c>
      <c r="J10" s="83"/>
      <c r="K10" s="83"/>
      <c r="L10" s="12"/>
      <c r="M10" s="13"/>
      <c r="N10" s="14"/>
      <c r="O10" s="11"/>
      <c r="P10" s="15"/>
      <c r="Q10" s="16"/>
      <c r="R10" s="2"/>
      <c r="S10" s="12"/>
      <c r="T10" s="17"/>
      <c r="U10" s="2"/>
      <c r="V10" s="18"/>
      <c r="W10" s="8"/>
      <c r="Y10" s="149" t="s">
        <v>76</v>
      </c>
      <c r="Z10" s="151">
        <f t="shared" ref="Z10:Z11" si="0">SUMIF($C$9:$C$129, Y10, $B$9:$B$129)</f>
        <v>188.5</v>
      </c>
    </row>
    <row r="11" spans="2:26" ht="18" x14ac:dyDescent="0.35">
      <c r="B11" s="95">
        <v>22.5</v>
      </c>
      <c r="C11" s="96" t="s">
        <v>76</v>
      </c>
      <c r="D11" s="97">
        <v>2.4</v>
      </c>
      <c r="E11" s="98">
        <v>54</v>
      </c>
      <c r="F11" s="90">
        <v>5.5</v>
      </c>
      <c r="G11" s="91" t="s">
        <v>84</v>
      </c>
      <c r="H11" s="92">
        <v>5</v>
      </c>
      <c r="I11" s="93">
        <v>27.5</v>
      </c>
      <c r="J11" s="83"/>
      <c r="K11" s="83"/>
      <c r="L11" s="12"/>
      <c r="M11" s="13"/>
      <c r="N11" s="14"/>
      <c r="O11" s="11"/>
      <c r="P11" s="15"/>
      <c r="Q11" s="16"/>
      <c r="R11" s="2"/>
      <c r="S11" s="12"/>
      <c r="T11" s="17"/>
      <c r="U11" s="2"/>
      <c r="V11" s="18"/>
      <c r="W11" s="8"/>
      <c r="Y11" s="149" t="s">
        <v>77</v>
      </c>
      <c r="Z11" s="151">
        <f t="shared" si="0"/>
        <v>147.5</v>
      </c>
    </row>
    <row r="12" spans="2:26" ht="18" x14ac:dyDescent="0.35">
      <c r="B12" s="95">
        <v>38.5</v>
      </c>
      <c r="C12" s="96" t="s">
        <v>76</v>
      </c>
      <c r="D12" s="97">
        <v>2.4</v>
      </c>
      <c r="E12" s="98">
        <v>92.399999999999991</v>
      </c>
      <c r="F12" s="90">
        <v>1</v>
      </c>
      <c r="G12" s="91" t="s">
        <v>85</v>
      </c>
      <c r="H12" s="92">
        <v>10</v>
      </c>
      <c r="I12" s="93">
        <v>10</v>
      </c>
      <c r="J12" s="83"/>
      <c r="K12" s="83"/>
      <c r="L12" s="12"/>
      <c r="M12" s="13"/>
      <c r="N12" s="14"/>
      <c r="O12" s="11"/>
      <c r="P12" s="15"/>
      <c r="Q12" s="16"/>
      <c r="R12" s="2"/>
      <c r="S12" s="12"/>
      <c r="T12" s="17"/>
      <c r="U12" s="2"/>
      <c r="V12" s="18"/>
      <c r="W12" s="8"/>
      <c r="Y12" s="149" t="s">
        <v>89</v>
      </c>
      <c r="Z12" s="152">
        <f>SUMIF($G$9:$G$129, Y12, $F$9:$F$129)</f>
        <v>0</v>
      </c>
    </row>
    <row r="13" spans="2:26" ht="18" x14ac:dyDescent="0.35">
      <c r="B13" s="95">
        <v>23.5</v>
      </c>
      <c r="C13" s="96" t="s">
        <v>88</v>
      </c>
      <c r="D13" s="97">
        <v>0.9</v>
      </c>
      <c r="E13" s="98">
        <v>21.150000000000002</v>
      </c>
      <c r="F13" s="90">
        <v>4.5</v>
      </c>
      <c r="G13" s="91" t="s">
        <v>18</v>
      </c>
      <c r="H13" s="92">
        <v>10</v>
      </c>
      <c r="I13" s="93">
        <v>45</v>
      </c>
      <c r="J13" s="83"/>
      <c r="K13" s="83"/>
      <c r="L13" s="12"/>
      <c r="M13" s="13"/>
      <c r="N13" s="14"/>
      <c r="O13" s="11"/>
      <c r="P13" s="15"/>
      <c r="Q13" s="16"/>
      <c r="R13" s="2"/>
      <c r="S13" s="12"/>
      <c r="T13" s="17"/>
      <c r="U13" s="2"/>
      <c r="V13" s="18"/>
      <c r="W13" s="8"/>
      <c r="Y13" s="149" t="s">
        <v>20</v>
      </c>
      <c r="Z13" s="152">
        <f t="shared" ref="Z13:Z76" si="1">SUMIF($G$9:$G$129, Y13, $F$9:$F$129)</f>
        <v>1</v>
      </c>
    </row>
    <row r="14" spans="2:26" ht="18" x14ac:dyDescent="0.35">
      <c r="B14" s="95">
        <v>8.5</v>
      </c>
      <c r="C14" s="96" t="s">
        <v>77</v>
      </c>
      <c r="D14" s="97">
        <v>2.1</v>
      </c>
      <c r="E14" s="98">
        <v>17.850000000000001</v>
      </c>
      <c r="F14" s="90">
        <v>2.5</v>
      </c>
      <c r="G14" s="91" t="s">
        <v>48</v>
      </c>
      <c r="H14" s="92">
        <v>6</v>
      </c>
      <c r="I14" s="93">
        <v>15</v>
      </c>
      <c r="J14" s="83"/>
      <c r="K14" s="83"/>
      <c r="L14" s="12"/>
      <c r="M14" s="13"/>
      <c r="N14" s="14"/>
      <c r="O14" s="11"/>
      <c r="P14" s="15"/>
      <c r="Q14" s="16"/>
      <c r="R14" s="2"/>
      <c r="S14" s="12"/>
      <c r="T14" s="17"/>
      <c r="U14" s="2"/>
      <c r="V14" s="18"/>
      <c r="W14" s="8"/>
      <c r="Y14" s="149" t="s">
        <v>19</v>
      </c>
      <c r="Z14" s="152">
        <f t="shared" si="1"/>
        <v>14.5</v>
      </c>
    </row>
    <row r="15" spans="2:26" ht="18" x14ac:dyDescent="0.35">
      <c r="B15" s="95">
        <v>13</v>
      </c>
      <c r="C15" s="96" t="s">
        <v>77</v>
      </c>
      <c r="D15" s="97">
        <v>2.1</v>
      </c>
      <c r="E15" s="98">
        <v>27.3</v>
      </c>
      <c r="F15" s="90">
        <v>1</v>
      </c>
      <c r="G15" s="91" t="s">
        <v>84</v>
      </c>
      <c r="H15" s="92">
        <v>5</v>
      </c>
      <c r="I15" s="93">
        <v>5</v>
      </c>
      <c r="J15" s="83"/>
      <c r="K15" s="83"/>
      <c r="L15" s="12"/>
      <c r="M15" s="13"/>
      <c r="N15" s="14"/>
      <c r="O15" s="11"/>
      <c r="P15" s="15"/>
      <c r="Q15" s="16"/>
      <c r="R15" s="2"/>
      <c r="S15" s="12"/>
      <c r="T15" s="17"/>
      <c r="U15" s="2"/>
      <c r="V15" s="18"/>
      <c r="W15" s="8"/>
      <c r="Y15" s="149" t="s">
        <v>18</v>
      </c>
      <c r="Z15" s="152">
        <f t="shared" si="1"/>
        <v>35.5</v>
      </c>
    </row>
    <row r="16" spans="2:26" ht="18" x14ac:dyDescent="0.35">
      <c r="B16" s="95">
        <v>3.5</v>
      </c>
      <c r="C16" s="96" t="s">
        <v>77</v>
      </c>
      <c r="D16" s="97">
        <v>2.1</v>
      </c>
      <c r="E16" s="98">
        <v>7.3500000000000005</v>
      </c>
      <c r="F16" s="90">
        <v>4</v>
      </c>
      <c r="G16" s="91" t="s">
        <v>18</v>
      </c>
      <c r="H16" s="92">
        <v>10</v>
      </c>
      <c r="I16" s="93">
        <v>40</v>
      </c>
      <c r="J16" s="83"/>
      <c r="K16" s="83"/>
      <c r="L16" s="12"/>
      <c r="M16" s="13"/>
      <c r="N16" s="14"/>
      <c r="O16" s="11"/>
      <c r="P16" s="15"/>
      <c r="Q16" s="16"/>
      <c r="R16" s="2"/>
      <c r="S16" s="12"/>
      <c r="T16" s="17"/>
      <c r="U16" s="2"/>
      <c r="V16" s="18"/>
      <c r="W16" s="8"/>
      <c r="Y16" s="149" t="s">
        <v>22</v>
      </c>
      <c r="Z16" s="152">
        <f t="shared" si="1"/>
        <v>2</v>
      </c>
    </row>
    <row r="17" spans="2:26" ht="18" x14ac:dyDescent="0.35">
      <c r="B17" s="95">
        <v>6.5</v>
      </c>
      <c r="C17" s="96" t="s">
        <v>76</v>
      </c>
      <c r="D17" s="97">
        <v>2.4</v>
      </c>
      <c r="E17" s="98">
        <v>15.6</v>
      </c>
      <c r="F17" s="90">
        <v>0.5</v>
      </c>
      <c r="G17" s="91" t="s">
        <v>18</v>
      </c>
      <c r="H17" s="92">
        <v>10</v>
      </c>
      <c r="I17" s="93">
        <v>5</v>
      </c>
      <c r="J17" s="83"/>
      <c r="K17" s="83"/>
      <c r="L17" s="12"/>
      <c r="M17" s="13"/>
      <c r="N17" s="14"/>
      <c r="O17" s="11"/>
      <c r="P17" s="15"/>
      <c r="Q17" s="16"/>
      <c r="R17" s="2"/>
      <c r="S17" s="12"/>
      <c r="T17" s="17"/>
      <c r="U17" s="2"/>
      <c r="V17" s="18"/>
      <c r="W17" s="8"/>
      <c r="Y17" s="149" t="s">
        <v>67</v>
      </c>
      <c r="Z17" s="152">
        <f t="shared" si="1"/>
        <v>6.1</v>
      </c>
    </row>
    <row r="18" spans="2:26" ht="18" x14ac:dyDescent="0.35">
      <c r="B18" s="95">
        <v>8.5</v>
      </c>
      <c r="C18" s="96" t="s">
        <v>77</v>
      </c>
      <c r="D18" s="97">
        <v>2.1</v>
      </c>
      <c r="E18" s="98">
        <v>17.850000000000001</v>
      </c>
      <c r="F18" s="90">
        <v>0.5</v>
      </c>
      <c r="G18" s="91" t="s">
        <v>92</v>
      </c>
      <c r="H18" s="92">
        <v>75</v>
      </c>
      <c r="I18" s="93">
        <v>37.5</v>
      </c>
      <c r="J18" s="83"/>
      <c r="K18" s="83"/>
      <c r="L18" s="12"/>
      <c r="M18" s="13"/>
      <c r="N18" s="14"/>
      <c r="O18" s="11"/>
      <c r="P18" s="15"/>
      <c r="Q18" s="16"/>
      <c r="R18" s="2"/>
      <c r="S18" s="12"/>
      <c r="T18" s="17"/>
      <c r="U18" s="2"/>
      <c r="V18" s="18"/>
      <c r="W18" s="8"/>
      <c r="Y18" s="149" t="s">
        <v>90</v>
      </c>
      <c r="Z18" s="152">
        <f t="shared" si="1"/>
        <v>22.5</v>
      </c>
    </row>
    <row r="19" spans="2:26" ht="18" x14ac:dyDescent="0.35">
      <c r="B19" s="95">
        <v>7</v>
      </c>
      <c r="C19" s="96" t="s">
        <v>76</v>
      </c>
      <c r="D19" s="97">
        <v>2.4</v>
      </c>
      <c r="E19" s="98">
        <v>16.8</v>
      </c>
      <c r="F19" s="90">
        <v>0.5</v>
      </c>
      <c r="G19" s="91" t="s">
        <v>23</v>
      </c>
      <c r="H19" s="92">
        <v>55</v>
      </c>
      <c r="I19" s="93">
        <v>27.5</v>
      </c>
      <c r="J19" s="83"/>
      <c r="K19" s="83"/>
      <c r="L19" s="12"/>
      <c r="M19" s="13"/>
      <c r="N19" s="14"/>
      <c r="O19" s="11"/>
      <c r="P19" s="15"/>
      <c r="Q19" s="16"/>
      <c r="R19" s="2"/>
      <c r="S19" s="12"/>
      <c r="T19" s="17"/>
      <c r="U19" s="2"/>
      <c r="V19" s="18"/>
      <c r="W19" s="8"/>
      <c r="Y19" s="149" t="s">
        <v>91</v>
      </c>
      <c r="Z19" s="152">
        <f t="shared" si="1"/>
        <v>0</v>
      </c>
    </row>
    <row r="20" spans="2:26" ht="18" x14ac:dyDescent="0.35">
      <c r="B20" s="95">
        <v>3</v>
      </c>
      <c r="C20" s="96" t="s">
        <v>77</v>
      </c>
      <c r="D20" s="97">
        <v>2.1</v>
      </c>
      <c r="E20" s="98">
        <v>6.3000000000000007</v>
      </c>
      <c r="F20" s="90">
        <v>10</v>
      </c>
      <c r="G20" s="91" t="s">
        <v>94</v>
      </c>
      <c r="H20" s="92">
        <v>10</v>
      </c>
      <c r="I20" s="93">
        <v>100</v>
      </c>
      <c r="J20" s="83"/>
      <c r="K20" s="83"/>
      <c r="L20" s="12"/>
      <c r="M20" s="13"/>
      <c r="N20" s="14"/>
      <c r="O20" s="11"/>
      <c r="P20" s="15"/>
      <c r="Q20" s="16"/>
      <c r="R20" s="2"/>
      <c r="S20" s="12"/>
      <c r="T20" s="17"/>
      <c r="U20" s="2"/>
      <c r="V20" s="18"/>
      <c r="W20" s="8"/>
      <c r="Y20" s="149" t="s">
        <v>92</v>
      </c>
      <c r="Z20" s="152">
        <f t="shared" si="1"/>
        <v>8.5</v>
      </c>
    </row>
    <row r="21" spans="2:26" ht="18" x14ac:dyDescent="0.35">
      <c r="B21" s="95">
        <v>5</v>
      </c>
      <c r="C21" s="96" t="s">
        <v>76</v>
      </c>
      <c r="D21" s="97">
        <v>2.4</v>
      </c>
      <c r="E21" s="98">
        <v>12</v>
      </c>
      <c r="F21" s="90">
        <v>0.5</v>
      </c>
      <c r="G21" s="91" t="s">
        <v>90</v>
      </c>
      <c r="H21" s="92">
        <v>90</v>
      </c>
      <c r="I21" s="93">
        <v>45</v>
      </c>
      <c r="J21" s="83"/>
      <c r="K21" s="83"/>
      <c r="L21" s="12"/>
      <c r="M21" s="13"/>
      <c r="N21" s="14"/>
      <c r="O21" s="11"/>
      <c r="P21" s="15"/>
      <c r="Q21" s="16"/>
      <c r="R21" s="2"/>
      <c r="S21" s="12"/>
      <c r="T21" s="17"/>
      <c r="U21" s="2"/>
      <c r="V21" s="18"/>
      <c r="W21" s="8"/>
      <c r="Y21" s="149" t="s">
        <v>68</v>
      </c>
      <c r="Z21" s="152">
        <f t="shared" si="1"/>
        <v>0</v>
      </c>
    </row>
    <row r="22" spans="2:26" ht="18" x14ac:dyDescent="0.35">
      <c r="B22" s="95">
        <v>5</v>
      </c>
      <c r="C22" s="96" t="s">
        <v>77</v>
      </c>
      <c r="D22" s="97">
        <v>2.1</v>
      </c>
      <c r="E22" s="98">
        <v>10.5</v>
      </c>
      <c r="F22" s="90">
        <v>0.2</v>
      </c>
      <c r="G22" s="91" t="s">
        <v>94</v>
      </c>
      <c r="H22" s="92">
        <v>10</v>
      </c>
      <c r="I22" s="93">
        <v>2</v>
      </c>
      <c r="J22" s="83"/>
      <c r="K22" s="83"/>
      <c r="L22" s="12"/>
      <c r="M22" s="13"/>
      <c r="N22" s="14"/>
      <c r="O22" s="11"/>
      <c r="P22" s="15"/>
      <c r="Q22" s="16"/>
      <c r="R22" s="2"/>
      <c r="S22" s="12"/>
      <c r="T22" s="17"/>
      <c r="U22" s="2"/>
      <c r="V22" s="18"/>
      <c r="W22" s="8"/>
      <c r="Y22" s="149" t="s">
        <v>93</v>
      </c>
      <c r="Z22" s="152">
        <f t="shared" si="1"/>
        <v>0</v>
      </c>
    </row>
    <row r="23" spans="2:26" ht="18" x14ac:dyDescent="0.35">
      <c r="B23" s="95">
        <v>22.5</v>
      </c>
      <c r="C23" s="96" t="s">
        <v>76</v>
      </c>
      <c r="D23" s="97">
        <v>2.4</v>
      </c>
      <c r="E23" s="98">
        <v>54</v>
      </c>
      <c r="F23" s="90">
        <v>0.2</v>
      </c>
      <c r="G23" s="91" t="s">
        <v>23</v>
      </c>
      <c r="H23" s="92">
        <v>55</v>
      </c>
      <c r="I23" s="93">
        <v>11</v>
      </c>
      <c r="J23" s="83"/>
      <c r="K23" s="83"/>
      <c r="L23" s="12"/>
      <c r="M23" s="13"/>
      <c r="N23" s="14"/>
      <c r="O23" s="11"/>
      <c r="P23" s="15"/>
      <c r="Q23" s="16"/>
      <c r="R23" s="2"/>
      <c r="S23" s="12"/>
      <c r="T23" s="17"/>
      <c r="U23" s="2"/>
      <c r="V23" s="18"/>
      <c r="W23" s="8"/>
      <c r="Y23" s="149" t="s">
        <v>23</v>
      </c>
      <c r="Z23" s="152">
        <f t="shared" si="1"/>
        <v>5.5</v>
      </c>
    </row>
    <row r="24" spans="2:26" ht="18" x14ac:dyDescent="0.35">
      <c r="B24" s="95">
        <v>4.5</v>
      </c>
      <c r="C24" s="96" t="s">
        <v>76</v>
      </c>
      <c r="D24" s="97">
        <v>2.4</v>
      </c>
      <c r="E24" s="98">
        <v>10.799999999999999</v>
      </c>
      <c r="F24" s="90">
        <v>1</v>
      </c>
      <c r="G24" s="91" t="s">
        <v>18</v>
      </c>
      <c r="H24" s="92">
        <v>10</v>
      </c>
      <c r="I24" s="93">
        <v>10</v>
      </c>
      <c r="J24" s="83"/>
      <c r="K24" s="83"/>
      <c r="L24" s="12"/>
      <c r="M24" s="13"/>
      <c r="N24" s="14"/>
      <c r="O24" s="11"/>
      <c r="P24" s="15"/>
      <c r="Q24" s="16"/>
      <c r="R24" s="2"/>
      <c r="S24" s="12"/>
      <c r="T24" s="17"/>
      <c r="U24" s="2"/>
      <c r="V24" s="18"/>
      <c r="W24" s="8"/>
      <c r="Y24" s="149" t="s">
        <v>24</v>
      </c>
      <c r="Z24" s="152">
        <f t="shared" si="1"/>
        <v>0</v>
      </c>
    </row>
    <row r="25" spans="2:26" ht="18" x14ac:dyDescent="0.35">
      <c r="B25" s="95">
        <v>11.5</v>
      </c>
      <c r="C25" s="96" t="s">
        <v>77</v>
      </c>
      <c r="D25" s="97">
        <v>2.1</v>
      </c>
      <c r="E25" s="98">
        <v>24.150000000000002</v>
      </c>
      <c r="F25" s="90">
        <v>0.5</v>
      </c>
      <c r="G25" s="91" t="s">
        <v>92</v>
      </c>
      <c r="H25" s="92">
        <v>75</v>
      </c>
      <c r="I25" s="93">
        <v>37.5</v>
      </c>
      <c r="J25" s="83"/>
      <c r="K25" s="83"/>
      <c r="L25" s="12"/>
      <c r="M25" s="13"/>
      <c r="N25" s="14"/>
      <c r="O25" s="11"/>
      <c r="P25" s="15"/>
      <c r="Q25" s="16"/>
      <c r="R25" s="2"/>
      <c r="S25" s="12"/>
      <c r="T25" s="17"/>
      <c r="U25" s="2"/>
      <c r="V25" s="18"/>
      <c r="W25" s="8"/>
      <c r="Y25" s="149" t="s">
        <v>25</v>
      </c>
      <c r="Z25" s="152">
        <f t="shared" si="1"/>
        <v>0</v>
      </c>
    </row>
    <row r="26" spans="2:26" ht="18" x14ac:dyDescent="0.35">
      <c r="B26" s="95">
        <v>3.5</v>
      </c>
      <c r="C26" s="96" t="s">
        <v>77</v>
      </c>
      <c r="D26" s="97">
        <v>2.1</v>
      </c>
      <c r="E26" s="98">
        <v>7.3500000000000005</v>
      </c>
      <c r="F26" s="90">
        <v>0.6</v>
      </c>
      <c r="G26" s="91" t="s">
        <v>90</v>
      </c>
      <c r="H26" s="92">
        <v>90</v>
      </c>
      <c r="I26" s="93">
        <v>54</v>
      </c>
      <c r="J26" s="83"/>
      <c r="K26" s="83"/>
      <c r="L26" s="12"/>
      <c r="M26" s="13"/>
      <c r="N26" s="14"/>
      <c r="O26" s="11"/>
      <c r="P26" s="15"/>
      <c r="Q26" s="16"/>
      <c r="R26" s="2"/>
      <c r="S26" s="12"/>
      <c r="T26" s="17"/>
      <c r="U26" s="2"/>
      <c r="V26" s="18"/>
      <c r="W26" s="8"/>
      <c r="Y26" s="149" t="s">
        <v>98</v>
      </c>
      <c r="Z26" s="152">
        <f t="shared" si="1"/>
        <v>0</v>
      </c>
    </row>
    <row r="27" spans="2:26" ht="18" x14ac:dyDescent="0.35">
      <c r="B27" s="95">
        <v>9</v>
      </c>
      <c r="C27" s="96" t="s">
        <v>77</v>
      </c>
      <c r="D27" s="97">
        <v>2.1</v>
      </c>
      <c r="E27" s="98">
        <v>18.900000000000002</v>
      </c>
      <c r="F27" s="90">
        <v>0.8</v>
      </c>
      <c r="G27" s="91" t="s">
        <v>92</v>
      </c>
      <c r="H27" s="92">
        <v>75</v>
      </c>
      <c r="I27" s="93">
        <v>60</v>
      </c>
      <c r="J27" s="83"/>
      <c r="K27" s="83"/>
      <c r="L27" s="12"/>
      <c r="M27" s="13"/>
      <c r="N27" s="14"/>
      <c r="O27" s="11"/>
      <c r="P27" s="15"/>
      <c r="Q27" s="16"/>
      <c r="R27" s="2"/>
      <c r="S27" s="12"/>
      <c r="T27" s="17"/>
      <c r="U27" s="2"/>
      <c r="V27" s="18"/>
      <c r="W27" s="8"/>
      <c r="Y27" s="149" t="s">
        <v>94</v>
      </c>
      <c r="Z27" s="152">
        <f t="shared" si="1"/>
        <v>44.739999999999995</v>
      </c>
    </row>
    <row r="28" spans="2:26" ht="18" x14ac:dyDescent="0.35">
      <c r="B28" s="95">
        <v>4.5</v>
      </c>
      <c r="C28" s="96" t="s">
        <v>76</v>
      </c>
      <c r="D28" s="97">
        <v>2.4</v>
      </c>
      <c r="E28" s="98">
        <v>10.799999999999999</v>
      </c>
      <c r="F28" s="90">
        <v>0.6</v>
      </c>
      <c r="G28" s="91" t="s">
        <v>67</v>
      </c>
      <c r="H28" s="92">
        <v>92</v>
      </c>
      <c r="I28" s="93">
        <v>55.199999999999996</v>
      </c>
      <c r="J28" s="83"/>
      <c r="K28" s="83"/>
      <c r="L28" s="12"/>
      <c r="M28" s="13"/>
      <c r="N28" s="14"/>
      <c r="O28" s="11"/>
      <c r="P28" s="15"/>
      <c r="Q28" s="16"/>
      <c r="R28" s="2"/>
      <c r="S28" s="12"/>
      <c r="T28" s="17"/>
      <c r="U28" s="2"/>
      <c r="V28" s="18"/>
      <c r="W28" s="8"/>
      <c r="Y28" s="149" t="s">
        <v>42</v>
      </c>
      <c r="Z28" s="152">
        <f t="shared" si="1"/>
        <v>0</v>
      </c>
    </row>
    <row r="29" spans="2:26" ht="18" x14ac:dyDescent="0.35">
      <c r="B29" s="95">
        <v>6.5</v>
      </c>
      <c r="C29" s="96" t="s">
        <v>76</v>
      </c>
      <c r="D29" s="97">
        <v>2.4</v>
      </c>
      <c r="E29" s="98">
        <v>15.6</v>
      </c>
      <c r="F29" s="90">
        <v>3.5</v>
      </c>
      <c r="G29" s="91" t="s">
        <v>90</v>
      </c>
      <c r="H29" s="92">
        <v>90</v>
      </c>
      <c r="I29" s="93">
        <v>315</v>
      </c>
      <c r="J29" s="83"/>
      <c r="K29" s="83"/>
      <c r="L29" s="12"/>
      <c r="M29" s="13"/>
      <c r="N29" s="14"/>
      <c r="O29" s="11"/>
      <c r="P29" s="15"/>
      <c r="Q29" s="16"/>
      <c r="R29" s="2"/>
      <c r="S29" s="12"/>
      <c r="T29" s="17"/>
      <c r="U29" s="2"/>
      <c r="V29" s="18"/>
      <c r="W29" s="8"/>
      <c r="Y29" s="149" t="s">
        <v>39</v>
      </c>
      <c r="Z29" s="152">
        <f t="shared" si="1"/>
        <v>0</v>
      </c>
    </row>
    <row r="30" spans="2:26" ht="18" x14ac:dyDescent="0.35">
      <c r="B30" s="95">
        <v>9.5</v>
      </c>
      <c r="C30" s="96" t="s">
        <v>88</v>
      </c>
      <c r="D30" s="97">
        <v>0.9</v>
      </c>
      <c r="E30" s="98">
        <v>8.5500000000000007</v>
      </c>
      <c r="F30" s="90">
        <v>0.2</v>
      </c>
      <c r="G30" s="91" t="s">
        <v>84</v>
      </c>
      <c r="H30" s="92">
        <v>5</v>
      </c>
      <c r="I30" s="93">
        <v>1</v>
      </c>
      <c r="J30" s="83"/>
      <c r="K30" s="83"/>
      <c r="L30" s="12"/>
      <c r="M30" s="13"/>
      <c r="N30" s="14"/>
      <c r="O30" s="11"/>
      <c r="P30" s="15"/>
      <c r="Q30" s="16"/>
      <c r="R30" s="2"/>
      <c r="S30" s="12"/>
      <c r="T30" s="17"/>
      <c r="U30" s="2"/>
      <c r="V30" s="18"/>
      <c r="W30" s="8"/>
      <c r="Y30" s="149" t="s">
        <v>99</v>
      </c>
      <c r="Z30" s="152">
        <f t="shared" si="1"/>
        <v>0</v>
      </c>
    </row>
    <row r="31" spans="2:26" ht="18" x14ac:dyDescent="0.35">
      <c r="B31" s="95">
        <v>14.5</v>
      </c>
      <c r="C31" s="96" t="s">
        <v>77</v>
      </c>
      <c r="D31" s="97">
        <v>2.1</v>
      </c>
      <c r="E31" s="98">
        <v>30.450000000000003</v>
      </c>
      <c r="F31" s="90">
        <v>0.4</v>
      </c>
      <c r="G31" s="91" t="s">
        <v>86</v>
      </c>
      <c r="H31" s="92">
        <v>40</v>
      </c>
      <c r="I31" s="93">
        <v>16</v>
      </c>
      <c r="J31" s="83"/>
      <c r="K31" s="83"/>
      <c r="L31" s="12"/>
      <c r="M31" s="13"/>
      <c r="N31" s="14"/>
      <c r="O31" s="11"/>
      <c r="P31" s="15"/>
      <c r="Q31" s="16"/>
      <c r="R31" s="2"/>
      <c r="S31" s="12"/>
      <c r="T31" s="17"/>
      <c r="U31" s="2"/>
      <c r="V31" s="18"/>
      <c r="W31" s="8"/>
      <c r="Y31" s="149" t="s">
        <v>95</v>
      </c>
      <c r="Z31" s="152">
        <f t="shared" si="1"/>
        <v>0</v>
      </c>
    </row>
    <row r="32" spans="2:26" ht="18" x14ac:dyDescent="0.35">
      <c r="B32" s="95">
        <v>21.5</v>
      </c>
      <c r="C32" s="96" t="s">
        <v>77</v>
      </c>
      <c r="D32" s="97">
        <v>2.1</v>
      </c>
      <c r="E32" s="98">
        <v>45.15</v>
      </c>
      <c r="F32" s="90">
        <v>12</v>
      </c>
      <c r="G32" s="91" t="s">
        <v>19</v>
      </c>
      <c r="H32" s="92">
        <v>2</v>
      </c>
      <c r="I32" s="93">
        <v>24</v>
      </c>
      <c r="J32" s="83"/>
      <c r="K32" s="83"/>
      <c r="L32" s="12"/>
      <c r="M32" s="13"/>
      <c r="N32" s="14"/>
      <c r="O32" s="11"/>
      <c r="P32" s="15"/>
      <c r="Q32" s="16"/>
      <c r="R32" s="2"/>
      <c r="S32" s="12"/>
      <c r="T32" s="17"/>
      <c r="U32" s="2"/>
      <c r="V32" s="18"/>
      <c r="W32" s="8"/>
      <c r="Y32" s="149" t="s">
        <v>97</v>
      </c>
      <c r="Z32" s="152">
        <f t="shared" si="1"/>
        <v>0</v>
      </c>
    </row>
    <row r="33" spans="2:26" ht="18" x14ac:dyDescent="0.35">
      <c r="B33" s="95">
        <v>5</v>
      </c>
      <c r="C33" s="96" t="s">
        <v>76</v>
      </c>
      <c r="D33" s="97">
        <v>2.4</v>
      </c>
      <c r="E33" s="98">
        <v>12</v>
      </c>
      <c r="F33" s="90">
        <v>2.5</v>
      </c>
      <c r="G33" s="91" t="s">
        <v>18</v>
      </c>
      <c r="H33" s="92">
        <v>10</v>
      </c>
      <c r="I33" s="93">
        <v>25</v>
      </c>
      <c r="J33" s="83"/>
      <c r="K33" s="83"/>
      <c r="L33" s="12"/>
      <c r="M33" s="13"/>
      <c r="N33" s="14"/>
      <c r="O33" s="11"/>
      <c r="P33" s="15"/>
      <c r="Q33" s="16"/>
      <c r="R33" s="2"/>
      <c r="S33" s="12"/>
      <c r="T33" s="17"/>
      <c r="U33" s="2"/>
      <c r="V33" s="18"/>
      <c r="W33" s="8"/>
      <c r="Y33" s="149" t="s">
        <v>43</v>
      </c>
      <c r="Z33" s="152">
        <f t="shared" si="1"/>
        <v>0</v>
      </c>
    </row>
    <row r="34" spans="2:26" ht="18" x14ac:dyDescent="0.35">
      <c r="B34" s="95">
        <v>6.5</v>
      </c>
      <c r="C34" s="96" t="s">
        <v>76</v>
      </c>
      <c r="D34" s="97">
        <v>2.4</v>
      </c>
      <c r="E34" s="98">
        <v>15.6</v>
      </c>
      <c r="F34" s="90">
        <v>0.5</v>
      </c>
      <c r="G34" s="91" t="s">
        <v>92</v>
      </c>
      <c r="H34" s="92">
        <v>75</v>
      </c>
      <c r="I34" s="93">
        <v>37.5</v>
      </c>
      <c r="J34" s="83"/>
      <c r="K34" s="83"/>
      <c r="L34" s="12"/>
      <c r="M34" s="13"/>
      <c r="N34" s="14"/>
      <c r="O34" s="11"/>
      <c r="P34" s="15"/>
      <c r="Q34" s="16"/>
      <c r="R34" s="2"/>
      <c r="S34" s="12"/>
      <c r="T34" s="17"/>
      <c r="U34" s="2"/>
      <c r="V34" s="18"/>
      <c r="W34" s="8"/>
      <c r="Y34" s="149" t="s">
        <v>32</v>
      </c>
      <c r="Z34" s="152">
        <f t="shared" si="1"/>
        <v>0</v>
      </c>
    </row>
    <row r="35" spans="2:26" ht="18" x14ac:dyDescent="0.35">
      <c r="B35" s="95">
        <v>10.5</v>
      </c>
      <c r="C35" s="96" t="s">
        <v>76</v>
      </c>
      <c r="D35" s="97">
        <v>2.4</v>
      </c>
      <c r="E35" s="98">
        <v>25.2</v>
      </c>
      <c r="F35" s="90">
        <v>2</v>
      </c>
      <c r="G35" s="91" t="s">
        <v>90</v>
      </c>
      <c r="H35" s="92">
        <v>90</v>
      </c>
      <c r="I35" s="93">
        <v>180</v>
      </c>
      <c r="J35" s="83"/>
      <c r="K35" s="83"/>
      <c r="L35" s="12"/>
      <c r="M35" s="13"/>
      <c r="N35" s="14"/>
      <c r="O35" s="11"/>
      <c r="P35" s="15"/>
      <c r="Q35" s="16"/>
      <c r="R35" s="2"/>
      <c r="S35" s="12"/>
      <c r="T35" s="17"/>
      <c r="U35" s="2"/>
      <c r="V35" s="18"/>
      <c r="W35" s="8"/>
      <c r="Y35" s="149" t="s">
        <v>33</v>
      </c>
      <c r="Z35" s="152">
        <f t="shared" si="1"/>
        <v>0</v>
      </c>
    </row>
    <row r="36" spans="2:26" ht="18" x14ac:dyDescent="0.35">
      <c r="B36" s="95">
        <v>10</v>
      </c>
      <c r="C36" s="96" t="s">
        <v>77</v>
      </c>
      <c r="D36" s="97">
        <v>2.1</v>
      </c>
      <c r="E36" s="98">
        <v>21</v>
      </c>
      <c r="F36" s="90">
        <v>1</v>
      </c>
      <c r="G36" s="91" t="s">
        <v>92</v>
      </c>
      <c r="H36" s="92">
        <v>75</v>
      </c>
      <c r="I36" s="93">
        <v>75</v>
      </c>
      <c r="J36" s="83"/>
      <c r="K36" s="83"/>
      <c r="L36" s="12"/>
      <c r="M36" s="13"/>
      <c r="N36" s="14"/>
      <c r="O36" s="11"/>
      <c r="P36" s="15"/>
      <c r="Q36" s="16"/>
      <c r="R36" s="2"/>
      <c r="S36" s="12"/>
      <c r="T36" s="17"/>
      <c r="U36" s="2"/>
      <c r="V36" s="18"/>
      <c r="W36" s="8"/>
      <c r="Y36" s="149" t="s">
        <v>30</v>
      </c>
      <c r="Z36" s="152">
        <f t="shared" si="1"/>
        <v>0</v>
      </c>
    </row>
    <row r="37" spans="2:26" ht="18" x14ac:dyDescent="0.35">
      <c r="B37" s="95">
        <v>7.5</v>
      </c>
      <c r="C37" s="96" t="s">
        <v>77</v>
      </c>
      <c r="D37" s="97">
        <v>2.1</v>
      </c>
      <c r="E37" s="98">
        <v>15.75</v>
      </c>
      <c r="F37" s="90">
        <v>0.54</v>
      </c>
      <c r="G37" s="91" t="s">
        <v>94</v>
      </c>
      <c r="H37" s="92">
        <v>10</v>
      </c>
      <c r="I37" s="93">
        <v>5.4</v>
      </c>
      <c r="J37" s="83"/>
      <c r="K37" s="83"/>
      <c r="L37" s="12"/>
      <c r="M37" s="13"/>
      <c r="N37" s="14"/>
      <c r="O37" s="11"/>
      <c r="P37" s="15"/>
      <c r="Q37" s="16"/>
      <c r="R37" s="2"/>
      <c r="S37" s="12"/>
      <c r="T37" s="17"/>
      <c r="U37" s="2"/>
      <c r="V37" s="18"/>
      <c r="W37" s="8"/>
      <c r="Y37" s="149" t="s">
        <v>31</v>
      </c>
      <c r="Z37" s="152">
        <f t="shared" si="1"/>
        <v>0</v>
      </c>
    </row>
    <row r="38" spans="2:26" ht="18" x14ac:dyDescent="0.35">
      <c r="B38" s="95">
        <v>8</v>
      </c>
      <c r="C38" s="96" t="s">
        <v>76</v>
      </c>
      <c r="D38" s="97">
        <v>2.4</v>
      </c>
      <c r="E38" s="98">
        <v>19.2</v>
      </c>
      <c r="F38" s="90">
        <v>0.4</v>
      </c>
      <c r="G38" s="91" t="s">
        <v>23</v>
      </c>
      <c r="H38" s="92">
        <v>55</v>
      </c>
      <c r="I38" s="93">
        <v>22</v>
      </c>
      <c r="J38" s="83"/>
      <c r="K38" s="83"/>
      <c r="L38" s="12"/>
      <c r="M38" s="13"/>
      <c r="N38" s="14"/>
      <c r="O38" s="11"/>
      <c r="P38" s="15"/>
      <c r="Q38" s="16"/>
      <c r="R38" s="2"/>
      <c r="S38" s="12"/>
      <c r="T38" s="17"/>
      <c r="U38" s="2"/>
      <c r="V38" s="18"/>
      <c r="W38" s="8"/>
      <c r="Y38" s="149" t="s">
        <v>84</v>
      </c>
      <c r="Z38" s="152">
        <f t="shared" si="1"/>
        <v>19.5</v>
      </c>
    </row>
    <row r="39" spans="2:26" ht="18" x14ac:dyDescent="0.35">
      <c r="B39" s="95">
        <v>12.5</v>
      </c>
      <c r="C39" s="96" t="s">
        <v>76</v>
      </c>
      <c r="D39" s="97">
        <v>2.4</v>
      </c>
      <c r="E39" s="98">
        <v>30</v>
      </c>
      <c r="F39" s="90">
        <v>1</v>
      </c>
      <c r="G39" s="91" t="s">
        <v>18</v>
      </c>
      <c r="H39" s="92">
        <v>10</v>
      </c>
      <c r="I39" s="93">
        <v>10</v>
      </c>
      <c r="J39" s="83"/>
      <c r="K39" s="83"/>
      <c r="L39" s="12"/>
      <c r="M39" s="13"/>
      <c r="N39" s="14"/>
      <c r="O39" s="11"/>
      <c r="P39" s="15"/>
      <c r="Q39" s="16"/>
      <c r="R39" s="2"/>
      <c r="S39" s="12"/>
      <c r="T39" s="17"/>
      <c r="U39" s="2"/>
      <c r="V39" s="18"/>
      <c r="W39" s="8"/>
      <c r="Y39" s="149" t="s">
        <v>85</v>
      </c>
      <c r="Z39" s="152">
        <f t="shared" si="1"/>
        <v>1</v>
      </c>
    </row>
    <row r="40" spans="2:26" ht="18" x14ac:dyDescent="0.35">
      <c r="B40" s="95">
        <v>18</v>
      </c>
      <c r="C40" s="96" t="s">
        <v>77</v>
      </c>
      <c r="D40" s="97">
        <v>2.1</v>
      </c>
      <c r="E40" s="98">
        <v>37.800000000000004</v>
      </c>
      <c r="F40" s="90">
        <v>0.5</v>
      </c>
      <c r="G40" s="91" t="s">
        <v>90</v>
      </c>
      <c r="H40" s="92">
        <v>90</v>
      </c>
      <c r="I40" s="93">
        <v>45</v>
      </c>
      <c r="J40" s="83"/>
      <c r="K40" s="83"/>
      <c r="L40" s="12"/>
      <c r="M40" s="13"/>
      <c r="N40" s="14"/>
      <c r="O40" s="11"/>
      <c r="P40" s="15"/>
      <c r="Q40" s="16"/>
      <c r="R40" s="2"/>
      <c r="S40" s="12"/>
      <c r="T40" s="17"/>
      <c r="U40" s="2"/>
      <c r="V40" s="18"/>
      <c r="W40" s="8"/>
      <c r="Y40" s="149" t="s">
        <v>86</v>
      </c>
      <c r="Z40" s="152">
        <f t="shared" si="1"/>
        <v>1.4000000000000001</v>
      </c>
    </row>
    <row r="41" spans="2:26" ht="18" x14ac:dyDescent="0.35">
      <c r="B41" s="95">
        <v>5</v>
      </c>
      <c r="C41" s="96" t="s">
        <v>76</v>
      </c>
      <c r="D41" s="97">
        <v>2.4</v>
      </c>
      <c r="E41" s="98">
        <v>12</v>
      </c>
      <c r="F41" s="90">
        <v>0.6</v>
      </c>
      <c r="G41" s="91" t="s">
        <v>84</v>
      </c>
      <c r="H41" s="92">
        <v>5</v>
      </c>
      <c r="I41" s="93">
        <v>3</v>
      </c>
      <c r="J41" s="83"/>
      <c r="K41" s="83"/>
      <c r="L41" s="12"/>
      <c r="M41" s="13"/>
      <c r="N41" s="14"/>
      <c r="O41" s="11"/>
      <c r="P41" s="15"/>
      <c r="Q41" s="16"/>
      <c r="R41" s="2"/>
      <c r="S41" s="12"/>
      <c r="T41" s="17"/>
      <c r="U41" s="2"/>
      <c r="V41" s="18"/>
      <c r="W41" s="8"/>
      <c r="Y41" s="149" t="s">
        <v>87</v>
      </c>
      <c r="Z41" s="152">
        <f t="shared" si="1"/>
        <v>0.2</v>
      </c>
    </row>
    <row r="42" spans="2:26" ht="18" x14ac:dyDescent="0.35">
      <c r="B42" s="95">
        <v>7.5</v>
      </c>
      <c r="C42" s="96" t="s">
        <v>77</v>
      </c>
      <c r="D42" s="97">
        <v>2.1</v>
      </c>
      <c r="E42" s="98">
        <v>15.75</v>
      </c>
      <c r="F42" s="90">
        <v>1</v>
      </c>
      <c r="G42" s="91" t="s">
        <v>94</v>
      </c>
      <c r="H42" s="92">
        <v>10</v>
      </c>
      <c r="I42" s="93">
        <v>10</v>
      </c>
      <c r="J42" s="83"/>
      <c r="K42" s="83"/>
      <c r="L42" s="12"/>
      <c r="M42" s="13"/>
      <c r="N42" s="14"/>
      <c r="O42" s="11"/>
      <c r="P42" s="15"/>
      <c r="Q42" s="16"/>
      <c r="R42" s="2"/>
      <c r="S42" s="12"/>
      <c r="T42" s="17"/>
      <c r="U42" s="2"/>
      <c r="V42" s="18"/>
      <c r="W42" s="8"/>
      <c r="Y42" s="149" t="s">
        <v>46</v>
      </c>
      <c r="Z42" s="152">
        <f t="shared" si="1"/>
        <v>0</v>
      </c>
    </row>
    <row r="43" spans="2:26" ht="18" x14ac:dyDescent="0.35">
      <c r="B43" s="95">
        <v>8</v>
      </c>
      <c r="C43" s="96" t="s">
        <v>76</v>
      </c>
      <c r="D43" s="97">
        <v>2.4</v>
      </c>
      <c r="E43" s="98">
        <v>19.2</v>
      </c>
      <c r="F43" s="90">
        <v>1</v>
      </c>
      <c r="G43" s="91" t="s">
        <v>20</v>
      </c>
      <c r="H43" s="92">
        <v>1</v>
      </c>
      <c r="I43" s="93">
        <v>1</v>
      </c>
      <c r="J43" s="83"/>
      <c r="K43" s="83"/>
      <c r="L43" s="12"/>
      <c r="M43" s="13"/>
      <c r="N43" s="14"/>
      <c r="O43" s="11"/>
      <c r="P43" s="15"/>
      <c r="Q43" s="16"/>
      <c r="R43" s="2"/>
      <c r="S43" s="12"/>
      <c r="T43" s="17"/>
      <c r="U43" s="2"/>
      <c r="V43" s="18"/>
      <c r="W43" s="8"/>
      <c r="Y43" s="149" t="s">
        <v>47</v>
      </c>
      <c r="Z43" s="152">
        <f t="shared" si="1"/>
        <v>0.2</v>
      </c>
    </row>
    <row r="44" spans="2:26" ht="18" x14ac:dyDescent="0.35">
      <c r="B44" s="95">
        <v>3</v>
      </c>
      <c r="C44" s="96" t="s">
        <v>77</v>
      </c>
      <c r="D44" s="97">
        <v>2.1</v>
      </c>
      <c r="E44" s="98">
        <v>6.3000000000000007</v>
      </c>
      <c r="F44" s="90">
        <v>6</v>
      </c>
      <c r="G44" s="91" t="s">
        <v>18</v>
      </c>
      <c r="H44" s="92">
        <v>10</v>
      </c>
      <c r="I44" s="93">
        <v>60</v>
      </c>
      <c r="J44" s="83"/>
      <c r="K44" s="83"/>
      <c r="L44" s="12"/>
      <c r="M44" s="13"/>
      <c r="N44" s="14"/>
      <c r="O44" s="11"/>
      <c r="P44" s="15"/>
      <c r="Q44" s="16"/>
      <c r="R44" s="2"/>
      <c r="S44" s="12"/>
      <c r="T44" s="17"/>
      <c r="U44" s="2"/>
      <c r="V44" s="18"/>
      <c r="W44" s="8"/>
      <c r="Y44" s="149" t="s">
        <v>48</v>
      </c>
      <c r="Z44" s="152">
        <f t="shared" si="1"/>
        <v>2.5</v>
      </c>
    </row>
    <row r="45" spans="2:26" ht="18" x14ac:dyDescent="0.35">
      <c r="B45" s="95">
        <v>4</v>
      </c>
      <c r="C45" s="96" t="s">
        <v>76</v>
      </c>
      <c r="D45" s="97">
        <v>2.4</v>
      </c>
      <c r="E45" s="98">
        <v>9.6</v>
      </c>
      <c r="F45" s="90">
        <v>2</v>
      </c>
      <c r="G45" s="91" t="s">
        <v>94</v>
      </c>
      <c r="H45" s="92">
        <v>10</v>
      </c>
      <c r="I45" s="93">
        <v>20</v>
      </c>
      <c r="J45" s="83"/>
      <c r="K45" s="83"/>
      <c r="L45" s="12"/>
      <c r="M45" s="13"/>
      <c r="N45" s="14"/>
      <c r="O45" s="11"/>
      <c r="P45" s="15"/>
      <c r="Q45" s="16"/>
      <c r="R45" s="2"/>
      <c r="S45" s="12"/>
      <c r="T45" s="17"/>
      <c r="U45" s="2"/>
      <c r="V45" s="18"/>
      <c r="W45" s="8"/>
      <c r="Y45" s="149" t="s">
        <v>83</v>
      </c>
      <c r="Z45" s="152">
        <f t="shared" si="1"/>
        <v>3</v>
      </c>
    </row>
    <row r="46" spans="2:26" ht="18" x14ac:dyDescent="0.35">
      <c r="B46" s="95"/>
      <c r="C46" s="96"/>
      <c r="D46" s="97"/>
      <c r="E46" s="98"/>
      <c r="F46" s="90">
        <v>0.5</v>
      </c>
      <c r="G46" s="91" t="s">
        <v>23</v>
      </c>
      <c r="H46" s="92">
        <v>55</v>
      </c>
      <c r="I46" s="93">
        <v>27.5</v>
      </c>
      <c r="J46" s="83"/>
      <c r="K46" s="83"/>
      <c r="L46" s="12"/>
      <c r="M46" s="13"/>
      <c r="N46" s="14"/>
      <c r="O46" s="11"/>
      <c r="P46" s="15"/>
      <c r="Q46" s="16"/>
      <c r="R46" s="2"/>
      <c r="S46" s="12"/>
      <c r="T46" s="17"/>
      <c r="U46" s="2"/>
      <c r="V46" s="18"/>
      <c r="W46" s="8"/>
      <c r="Y46" s="149" t="s">
        <v>96</v>
      </c>
      <c r="Z46" s="152">
        <f t="shared" si="1"/>
        <v>33.5</v>
      </c>
    </row>
    <row r="47" spans="2:26" ht="18" x14ac:dyDescent="0.35">
      <c r="B47" s="95"/>
      <c r="C47" s="96"/>
      <c r="D47" s="97"/>
      <c r="E47" s="98"/>
      <c r="F47" s="90">
        <v>3</v>
      </c>
      <c r="G47" s="91" t="s">
        <v>90</v>
      </c>
      <c r="H47" s="92">
        <v>90</v>
      </c>
      <c r="I47" s="93">
        <v>270</v>
      </c>
      <c r="J47" s="83"/>
      <c r="K47" s="83"/>
      <c r="L47" s="12"/>
      <c r="M47" s="13"/>
      <c r="N47" s="14"/>
      <c r="O47" s="11"/>
      <c r="P47" s="15"/>
      <c r="Q47" s="16"/>
      <c r="R47" s="2"/>
      <c r="S47" s="12"/>
      <c r="T47" s="17"/>
      <c r="U47" s="2"/>
      <c r="V47" s="18"/>
      <c r="W47" s="8"/>
      <c r="Y47" s="149" t="s">
        <v>73</v>
      </c>
      <c r="Z47" s="152">
        <f t="shared" si="1"/>
        <v>0</v>
      </c>
    </row>
    <row r="48" spans="2:26" ht="18" x14ac:dyDescent="0.35">
      <c r="B48" s="95"/>
      <c r="C48" s="96"/>
      <c r="D48" s="97"/>
      <c r="E48" s="98"/>
      <c r="F48" s="90">
        <v>1</v>
      </c>
      <c r="G48" s="91" t="s">
        <v>90</v>
      </c>
      <c r="H48" s="92">
        <v>90</v>
      </c>
      <c r="I48" s="93">
        <v>90</v>
      </c>
      <c r="J48" s="83"/>
      <c r="K48" s="83"/>
      <c r="L48" s="12"/>
      <c r="M48" s="13"/>
      <c r="N48" s="14"/>
      <c r="O48" s="11"/>
      <c r="P48" s="15"/>
      <c r="Q48" s="16"/>
      <c r="R48" s="2"/>
      <c r="S48" s="12"/>
      <c r="T48" s="17"/>
      <c r="U48" s="2"/>
      <c r="V48" s="18"/>
      <c r="W48" s="8"/>
      <c r="Y48" s="149" t="s">
        <v>74</v>
      </c>
      <c r="Z48" s="152">
        <f t="shared" si="1"/>
        <v>1</v>
      </c>
    </row>
    <row r="49" spans="2:26" ht="18" x14ac:dyDescent="0.35">
      <c r="B49" s="95"/>
      <c r="C49" s="96"/>
      <c r="D49" s="97"/>
      <c r="E49" s="98"/>
      <c r="F49" s="90">
        <v>1</v>
      </c>
      <c r="G49" s="91" t="s">
        <v>94</v>
      </c>
      <c r="H49" s="92">
        <v>10</v>
      </c>
      <c r="I49" s="93">
        <v>10</v>
      </c>
      <c r="J49" s="83"/>
      <c r="K49" s="83"/>
      <c r="L49" s="12"/>
      <c r="M49" s="13"/>
      <c r="N49" s="14"/>
      <c r="O49" s="11"/>
      <c r="P49" s="15"/>
      <c r="Q49" s="16"/>
      <c r="R49" s="2"/>
      <c r="S49" s="12"/>
      <c r="T49" s="17"/>
      <c r="U49" s="2"/>
      <c r="V49" s="18"/>
      <c r="W49" s="8"/>
      <c r="Y49" s="149" t="s">
        <v>70</v>
      </c>
      <c r="Z49" s="152">
        <f t="shared" si="1"/>
        <v>0</v>
      </c>
    </row>
    <row r="50" spans="2:26" ht="18" x14ac:dyDescent="0.35">
      <c r="B50" s="95"/>
      <c r="C50" s="96"/>
      <c r="D50" s="97"/>
      <c r="E50" s="98"/>
      <c r="F50" s="90">
        <v>0.5</v>
      </c>
      <c r="G50" s="91" t="s">
        <v>94</v>
      </c>
      <c r="H50" s="92">
        <v>10</v>
      </c>
      <c r="I50" s="93">
        <v>5</v>
      </c>
      <c r="J50" s="83"/>
      <c r="K50" s="83"/>
      <c r="L50" s="12"/>
      <c r="M50" s="13"/>
      <c r="N50" s="14"/>
      <c r="O50" s="11"/>
      <c r="P50" s="15"/>
      <c r="Q50" s="16"/>
      <c r="R50" s="2"/>
      <c r="S50" s="12"/>
      <c r="T50" s="17"/>
      <c r="U50" s="2"/>
      <c r="V50" s="18"/>
      <c r="W50" s="8"/>
      <c r="Y50" s="149" t="s">
        <v>64</v>
      </c>
      <c r="Z50" s="152">
        <f t="shared" si="1"/>
        <v>0</v>
      </c>
    </row>
    <row r="51" spans="2:26" ht="18" x14ac:dyDescent="0.35">
      <c r="B51" s="95"/>
      <c r="C51" s="96"/>
      <c r="D51" s="97"/>
      <c r="E51" s="98"/>
      <c r="F51" s="90">
        <v>0.2</v>
      </c>
      <c r="G51" s="91" t="s">
        <v>23</v>
      </c>
      <c r="H51" s="92">
        <v>55</v>
      </c>
      <c r="I51" s="93">
        <v>11</v>
      </c>
      <c r="J51" s="83"/>
      <c r="K51" s="83"/>
      <c r="L51" s="12"/>
      <c r="M51" s="13"/>
      <c r="N51" s="14"/>
      <c r="O51" s="11"/>
      <c r="P51" s="15"/>
      <c r="Q51" s="16"/>
      <c r="R51" s="2"/>
      <c r="S51" s="12"/>
      <c r="T51" s="17"/>
      <c r="U51" s="2"/>
      <c r="V51" s="18"/>
      <c r="W51" s="8"/>
      <c r="Y51" s="149" t="s">
        <v>65</v>
      </c>
      <c r="Z51" s="152">
        <f t="shared" si="1"/>
        <v>0</v>
      </c>
    </row>
    <row r="52" spans="2:26" ht="18" x14ac:dyDescent="0.35">
      <c r="B52" s="95"/>
      <c r="C52" s="96"/>
      <c r="D52" s="97"/>
      <c r="E52" s="98"/>
      <c r="F52" s="90">
        <v>0.2</v>
      </c>
      <c r="G52" s="91" t="s">
        <v>90</v>
      </c>
      <c r="H52" s="92">
        <v>90</v>
      </c>
      <c r="I52" s="93">
        <v>18</v>
      </c>
      <c r="J52" s="83"/>
      <c r="K52" s="83"/>
      <c r="L52" s="12"/>
      <c r="M52" s="13"/>
      <c r="N52" s="14"/>
      <c r="O52" s="11"/>
      <c r="P52" s="15"/>
      <c r="Q52" s="16"/>
      <c r="R52" s="2"/>
      <c r="S52" s="12"/>
      <c r="T52" s="17"/>
      <c r="U52" s="2"/>
      <c r="V52" s="18"/>
      <c r="W52" s="8"/>
      <c r="Y52" s="149" t="s">
        <v>66</v>
      </c>
      <c r="Z52" s="152">
        <f t="shared" si="1"/>
        <v>0</v>
      </c>
    </row>
    <row r="53" spans="2:26" ht="18" x14ac:dyDescent="0.35">
      <c r="B53" s="95"/>
      <c r="C53" s="96"/>
      <c r="D53" s="97"/>
      <c r="E53" s="98"/>
      <c r="F53" s="90">
        <v>0.8</v>
      </c>
      <c r="G53" s="91" t="s">
        <v>86</v>
      </c>
      <c r="H53" s="92">
        <v>40</v>
      </c>
      <c r="I53" s="93">
        <v>32</v>
      </c>
      <c r="J53" s="83"/>
      <c r="K53" s="83"/>
      <c r="L53" s="12"/>
      <c r="M53" s="13"/>
      <c r="N53" s="14"/>
      <c r="O53" s="11"/>
      <c r="P53" s="15"/>
      <c r="Q53" s="16"/>
      <c r="R53" s="2"/>
      <c r="S53" s="12"/>
      <c r="T53" s="17"/>
      <c r="U53" s="2"/>
      <c r="V53" s="18"/>
      <c r="W53" s="8"/>
      <c r="Y53" s="149" t="s">
        <v>100</v>
      </c>
      <c r="Z53" s="152">
        <f t="shared" si="1"/>
        <v>0</v>
      </c>
    </row>
    <row r="54" spans="2:26" ht="18" x14ac:dyDescent="0.35">
      <c r="B54" s="95"/>
      <c r="C54" s="96"/>
      <c r="D54" s="97"/>
      <c r="E54" s="98"/>
      <c r="F54" s="90">
        <v>1.5</v>
      </c>
      <c r="G54" s="91" t="s">
        <v>84</v>
      </c>
      <c r="H54" s="92">
        <v>5</v>
      </c>
      <c r="I54" s="93">
        <v>7.5</v>
      </c>
      <c r="J54" s="83"/>
      <c r="K54" s="83"/>
      <c r="L54" s="12"/>
      <c r="M54" s="13"/>
      <c r="N54" s="14"/>
      <c r="O54" s="11"/>
      <c r="P54" s="15"/>
      <c r="Q54" s="16"/>
      <c r="R54" s="2"/>
      <c r="S54" s="12"/>
      <c r="T54" s="17"/>
      <c r="U54" s="2"/>
      <c r="V54" s="18"/>
      <c r="W54" s="8"/>
      <c r="Y54" s="149" t="s">
        <v>101</v>
      </c>
      <c r="Z54" s="152">
        <f t="shared" si="1"/>
        <v>0</v>
      </c>
    </row>
    <row r="55" spans="2:26" ht="18" x14ac:dyDescent="0.35">
      <c r="B55" s="95"/>
      <c r="C55" s="96"/>
      <c r="D55" s="97"/>
      <c r="E55" s="98"/>
      <c r="F55" s="90">
        <v>1</v>
      </c>
      <c r="G55" s="91" t="s">
        <v>74</v>
      </c>
      <c r="H55" s="92">
        <v>5</v>
      </c>
      <c r="I55" s="93">
        <v>5</v>
      </c>
      <c r="J55" s="83"/>
      <c r="K55" s="83"/>
      <c r="L55" s="12"/>
      <c r="M55" s="13"/>
      <c r="N55" s="14"/>
      <c r="O55" s="11"/>
      <c r="P55" s="15"/>
      <c r="Q55" s="16"/>
      <c r="R55" s="2"/>
      <c r="S55" s="12"/>
      <c r="T55" s="17"/>
      <c r="U55" s="2"/>
      <c r="V55" s="18"/>
      <c r="W55" s="8"/>
      <c r="Y55" s="149" t="s">
        <v>102</v>
      </c>
      <c r="Z55" s="152">
        <f t="shared" si="1"/>
        <v>0</v>
      </c>
    </row>
    <row r="56" spans="2:26" ht="18" x14ac:dyDescent="0.35">
      <c r="B56" s="95"/>
      <c r="C56" s="96"/>
      <c r="D56" s="97"/>
      <c r="E56" s="98"/>
      <c r="F56" s="90">
        <v>0.2</v>
      </c>
      <c r="G56" s="91" t="s">
        <v>87</v>
      </c>
      <c r="H56" s="92">
        <v>100</v>
      </c>
      <c r="I56" s="93">
        <v>20</v>
      </c>
      <c r="J56" s="83"/>
      <c r="K56" s="83"/>
      <c r="L56" s="12"/>
      <c r="M56" s="13"/>
      <c r="N56" s="14"/>
      <c r="O56" s="11"/>
      <c r="P56" s="15"/>
      <c r="Q56" s="16"/>
      <c r="R56" s="2"/>
      <c r="S56" s="12"/>
      <c r="T56" s="17"/>
      <c r="U56" s="2"/>
      <c r="V56" s="18"/>
      <c r="W56" s="8"/>
      <c r="Y56" s="149" t="s">
        <v>26</v>
      </c>
      <c r="Z56" s="152">
        <f t="shared" si="1"/>
        <v>0</v>
      </c>
    </row>
    <row r="57" spans="2:26" ht="18" x14ac:dyDescent="0.35">
      <c r="B57" s="95"/>
      <c r="C57" s="96"/>
      <c r="D57" s="97"/>
      <c r="E57" s="98"/>
      <c r="F57" s="90">
        <v>0.2</v>
      </c>
      <c r="G57" s="91" t="s">
        <v>86</v>
      </c>
      <c r="H57" s="92">
        <v>40</v>
      </c>
      <c r="I57" s="93">
        <v>8</v>
      </c>
      <c r="J57" s="83"/>
      <c r="K57" s="83"/>
      <c r="L57" s="12"/>
      <c r="M57" s="13"/>
      <c r="N57" s="14"/>
      <c r="O57" s="11"/>
      <c r="P57" s="15"/>
      <c r="Q57" s="16"/>
      <c r="R57" s="2"/>
      <c r="S57" s="12"/>
      <c r="T57" s="17"/>
      <c r="U57" s="2"/>
      <c r="V57" s="18"/>
      <c r="W57" s="8"/>
      <c r="Y57" s="149" t="s">
        <v>27</v>
      </c>
      <c r="Z57" s="152">
        <f t="shared" si="1"/>
        <v>0</v>
      </c>
    </row>
    <row r="58" spans="2:26" ht="18" x14ac:dyDescent="0.35">
      <c r="B58" s="95"/>
      <c r="C58" s="96"/>
      <c r="D58" s="97"/>
      <c r="E58" s="98"/>
      <c r="F58" s="90">
        <v>0.2</v>
      </c>
      <c r="G58" s="91" t="s">
        <v>84</v>
      </c>
      <c r="H58" s="92">
        <v>5</v>
      </c>
      <c r="I58" s="93">
        <v>1</v>
      </c>
      <c r="J58" s="83"/>
      <c r="K58" s="83"/>
      <c r="L58" s="12"/>
      <c r="M58" s="13"/>
      <c r="N58" s="14"/>
      <c r="O58" s="11"/>
      <c r="P58" s="15"/>
      <c r="Q58" s="16"/>
      <c r="R58" s="2"/>
      <c r="S58" s="12"/>
      <c r="T58" s="17"/>
      <c r="U58" s="2"/>
      <c r="V58" s="18"/>
      <c r="W58" s="8"/>
      <c r="Y58" s="149" t="s">
        <v>28</v>
      </c>
      <c r="Z58" s="152">
        <f t="shared" si="1"/>
        <v>0</v>
      </c>
    </row>
    <row r="59" spans="2:26" ht="18" x14ac:dyDescent="0.35">
      <c r="B59" s="95"/>
      <c r="C59" s="96"/>
      <c r="D59" s="97"/>
      <c r="E59" s="98"/>
      <c r="F59" s="90">
        <v>1</v>
      </c>
      <c r="G59" s="91" t="s">
        <v>94</v>
      </c>
      <c r="H59" s="92">
        <v>10</v>
      </c>
      <c r="I59" s="93">
        <v>10</v>
      </c>
      <c r="J59" s="83"/>
      <c r="K59" s="83"/>
      <c r="L59" s="12"/>
      <c r="M59" s="13"/>
      <c r="N59" s="14"/>
      <c r="O59" s="11"/>
      <c r="P59" s="15"/>
      <c r="Q59" s="16"/>
      <c r="R59" s="2"/>
      <c r="S59" s="12"/>
      <c r="T59" s="17"/>
      <c r="U59" s="2"/>
      <c r="V59" s="18"/>
      <c r="W59" s="8"/>
      <c r="Y59" s="149" t="s">
        <v>29</v>
      </c>
      <c r="Z59" s="152">
        <f t="shared" si="1"/>
        <v>0</v>
      </c>
    </row>
    <row r="60" spans="2:26" ht="18" x14ac:dyDescent="0.35">
      <c r="B60" s="95"/>
      <c r="C60" s="96"/>
      <c r="D60" s="97"/>
      <c r="E60" s="98"/>
      <c r="F60" s="90">
        <v>1</v>
      </c>
      <c r="G60" s="91" t="s">
        <v>92</v>
      </c>
      <c r="H60" s="92">
        <v>75</v>
      </c>
      <c r="I60" s="93">
        <v>75</v>
      </c>
      <c r="J60" s="83"/>
      <c r="K60" s="83"/>
      <c r="L60" s="12"/>
      <c r="M60" s="13"/>
      <c r="N60" s="14"/>
      <c r="O60" s="11"/>
      <c r="P60" s="15"/>
      <c r="Q60" s="16"/>
      <c r="R60" s="2"/>
      <c r="S60" s="12"/>
      <c r="T60" s="17"/>
      <c r="U60" s="2"/>
      <c r="V60" s="18"/>
      <c r="W60" s="8"/>
      <c r="Y60" s="149" t="s">
        <v>34</v>
      </c>
      <c r="Z60" s="152">
        <f t="shared" si="1"/>
        <v>0</v>
      </c>
    </row>
    <row r="61" spans="2:26" ht="18" x14ac:dyDescent="0.35">
      <c r="B61" s="95"/>
      <c r="C61" s="96"/>
      <c r="D61" s="97"/>
      <c r="E61" s="98"/>
      <c r="F61" s="90">
        <v>8</v>
      </c>
      <c r="G61" s="91" t="s">
        <v>94</v>
      </c>
      <c r="H61" s="92">
        <v>10</v>
      </c>
      <c r="I61" s="93">
        <v>80</v>
      </c>
      <c r="J61" s="83"/>
      <c r="K61" s="83"/>
      <c r="L61" s="12"/>
      <c r="M61" s="13"/>
      <c r="N61" s="14"/>
      <c r="O61" s="11"/>
      <c r="P61" s="15"/>
      <c r="Q61" s="16"/>
      <c r="R61" s="2"/>
      <c r="S61" s="12"/>
      <c r="T61" s="17"/>
      <c r="U61" s="2"/>
      <c r="V61" s="18"/>
      <c r="W61" s="8"/>
      <c r="Y61" s="149" t="s">
        <v>35</v>
      </c>
      <c r="Z61" s="152">
        <f t="shared" si="1"/>
        <v>0</v>
      </c>
    </row>
    <row r="62" spans="2:26" ht="18" x14ac:dyDescent="0.35">
      <c r="B62" s="95"/>
      <c r="C62" s="96"/>
      <c r="D62" s="97"/>
      <c r="E62" s="98"/>
      <c r="F62" s="90">
        <v>0.2</v>
      </c>
      <c r="G62" s="91" t="s">
        <v>90</v>
      </c>
      <c r="H62" s="92">
        <v>90</v>
      </c>
      <c r="I62" s="93">
        <v>18</v>
      </c>
      <c r="J62" s="83"/>
      <c r="K62" s="83"/>
      <c r="L62" s="12"/>
      <c r="M62" s="13"/>
      <c r="N62" s="14"/>
      <c r="O62" s="11"/>
      <c r="P62" s="15"/>
      <c r="Q62" s="16"/>
      <c r="R62" s="2"/>
      <c r="S62" s="12"/>
      <c r="T62" s="17"/>
      <c r="U62" s="2"/>
      <c r="V62" s="18"/>
      <c r="W62" s="8"/>
      <c r="Y62" s="149" t="s">
        <v>36</v>
      </c>
      <c r="Z62" s="152">
        <f t="shared" si="1"/>
        <v>0</v>
      </c>
    </row>
    <row r="63" spans="2:26" ht="18" x14ac:dyDescent="0.35">
      <c r="B63" s="95"/>
      <c r="C63" s="96"/>
      <c r="D63" s="97"/>
      <c r="E63" s="98"/>
      <c r="F63" s="90">
        <v>0.5</v>
      </c>
      <c r="G63" s="91" t="s">
        <v>23</v>
      </c>
      <c r="H63" s="92">
        <v>55</v>
      </c>
      <c r="I63" s="93">
        <v>27.5</v>
      </c>
      <c r="J63" s="83"/>
      <c r="K63" s="83"/>
      <c r="L63" s="12"/>
      <c r="M63" s="13"/>
      <c r="N63" s="14"/>
      <c r="O63" s="11"/>
      <c r="P63" s="15"/>
      <c r="Q63" s="16"/>
      <c r="R63" s="2"/>
      <c r="S63" s="12"/>
      <c r="T63" s="17"/>
      <c r="U63" s="2"/>
      <c r="V63" s="18"/>
      <c r="W63" s="8"/>
      <c r="Y63" s="149" t="s">
        <v>37</v>
      </c>
      <c r="Z63" s="152">
        <f t="shared" si="1"/>
        <v>0</v>
      </c>
    </row>
    <row r="64" spans="2:26" ht="18" x14ac:dyDescent="0.35">
      <c r="B64" s="95"/>
      <c r="C64" s="96"/>
      <c r="D64" s="97"/>
      <c r="E64" s="98"/>
      <c r="F64" s="90">
        <v>10</v>
      </c>
      <c r="G64" s="91" t="s">
        <v>84</v>
      </c>
      <c r="H64" s="92">
        <v>5</v>
      </c>
      <c r="I64" s="93">
        <v>50</v>
      </c>
      <c r="J64" s="83"/>
      <c r="K64" s="83"/>
      <c r="L64" s="12"/>
      <c r="M64" s="13"/>
      <c r="N64" s="14"/>
      <c r="O64" s="11"/>
      <c r="P64" s="15"/>
      <c r="Q64" s="16"/>
      <c r="R64" s="2"/>
      <c r="S64" s="12"/>
      <c r="T64" s="17"/>
      <c r="U64" s="2"/>
      <c r="V64" s="18"/>
      <c r="W64" s="8"/>
      <c r="Y64" s="149" t="s">
        <v>38</v>
      </c>
      <c r="Z64" s="152">
        <f t="shared" si="1"/>
        <v>0</v>
      </c>
    </row>
    <row r="65" spans="2:26" ht="18" x14ac:dyDescent="0.35">
      <c r="B65" s="95"/>
      <c r="C65" s="96"/>
      <c r="D65" s="97"/>
      <c r="E65" s="98"/>
      <c r="F65" s="99">
        <v>1.5</v>
      </c>
      <c r="G65" s="100" t="s">
        <v>90</v>
      </c>
      <c r="H65" s="101">
        <v>90</v>
      </c>
      <c r="I65" s="102">
        <v>135</v>
      </c>
      <c r="J65" s="83"/>
      <c r="K65" s="83"/>
      <c r="L65" s="12"/>
      <c r="M65" s="13"/>
      <c r="N65" s="14"/>
      <c r="O65" s="11"/>
      <c r="P65" s="15"/>
      <c r="Q65" s="16"/>
      <c r="R65" s="2"/>
      <c r="S65" s="12"/>
      <c r="T65" s="17"/>
      <c r="U65" s="2"/>
      <c r="V65" s="18"/>
      <c r="W65" s="8"/>
      <c r="Y65" s="149" t="s">
        <v>40</v>
      </c>
      <c r="Z65" s="152">
        <f t="shared" si="1"/>
        <v>0</v>
      </c>
    </row>
    <row r="66" spans="2:26" ht="18" x14ac:dyDescent="0.35">
      <c r="B66" s="95"/>
      <c r="C66" s="96"/>
      <c r="D66" s="97"/>
      <c r="E66" s="98"/>
      <c r="F66" s="90">
        <v>2.5</v>
      </c>
      <c r="G66" s="91" t="s">
        <v>96</v>
      </c>
      <c r="H66" s="92">
        <v>12</v>
      </c>
      <c r="I66" s="93">
        <v>30</v>
      </c>
      <c r="J66" s="83"/>
      <c r="K66" s="83"/>
      <c r="L66" s="12"/>
      <c r="M66" s="13"/>
      <c r="N66" s="14"/>
      <c r="O66" s="11"/>
      <c r="P66" s="15"/>
      <c r="Q66" s="16"/>
      <c r="R66" s="2"/>
      <c r="S66" s="12"/>
      <c r="T66" s="17"/>
      <c r="U66" s="2"/>
      <c r="V66" s="18"/>
      <c r="W66" s="8"/>
      <c r="Y66" s="149" t="s">
        <v>41</v>
      </c>
      <c r="Z66" s="152">
        <f t="shared" si="1"/>
        <v>0</v>
      </c>
    </row>
    <row r="67" spans="2:26" ht="18" x14ac:dyDescent="0.35">
      <c r="B67" s="95"/>
      <c r="C67" s="96"/>
      <c r="D67" s="97"/>
      <c r="E67" s="98"/>
      <c r="F67" s="103">
        <v>1</v>
      </c>
      <c r="G67" s="94" t="s">
        <v>23</v>
      </c>
      <c r="H67" s="104">
        <v>55</v>
      </c>
      <c r="I67" s="105">
        <v>55</v>
      </c>
      <c r="J67" s="83"/>
      <c r="K67" s="83"/>
      <c r="L67" s="12"/>
      <c r="M67" s="13"/>
      <c r="N67" s="14"/>
      <c r="O67" s="11"/>
      <c r="P67" s="15"/>
      <c r="Q67" s="16"/>
      <c r="R67" s="2"/>
      <c r="S67" s="12"/>
      <c r="T67" s="17"/>
      <c r="U67" s="2"/>
      <c r="V67" s="18"/>
      <c r="W67" s="8"/>
      <c r="Y67" s="149" t="s">
        <v>69</v>
      </c>
      <c r="Z67" s="152">
        <f t="shared" si="1"/>
        <v>0</v>
      </c>
    </row>
    <row r="68" spans="2:26" ht="18" x14ac:dyDescent="0.35">
      <c r="B68" s="95"/>
      <c r="C68" s="96"/>
      <c r="D68" s="97"/>
      <c r="E68" s="98"/>
      <c r="F68" s="90">
        <v>1</v>
      </c>
      <c r="G68" s="91" t="s">
        <v>90</v>
      </c>
      <c r="H68" s="92">
        <v>90</v>
      </c>
      <c r="I68" s="105">
        <v>90</v>
      </c>
      <c r="J68" s="83"/>
      <c r="K68" s="83"/>
      <c r="L68" s="12"/>
      <c r="M68" s="13"/>
      <c r="N68" s="14"/>
      <c r="O68" s="11"/>
      <c r="P68" s="15"/>
      <c r="Q68" s="16"/>
      <c r="R68" s="2"/>
      <c r="S68" s="12"/>
      <c r="T68" s="17"/>
      <c r="U68" s="2"/>
      <c r="V68" s="18"/>
      <c r="W68" s="8"/>
      <c r="Y68" s="149" t="s">
        <v>108</v>
      </c>
      <c r="Z68" s="152">
        <f t="shared" si="1"/>
        <v>0</v>
      </c>
    </row>
    <row r="69" spans="2:26" ht="18" x14ac:dyDescent="0.35">
      <c r="B69" s="95"/>
      <c r="C69" s="96"/>
      <c r="D69" s="97"/>
      <c r="E69" s="98"/>
      <c r="F69" s="90">
        <v>9.5</v>
      </c>
      <c r="G69" s="91" t="s">
        <v>94</v>
      </c>
      <c r="H69" s="92">
        <v>10</v>
      </c>
      <c r="I69" s="105">
        <v>95</v>
      </c>
      <c r="J69" s="83"/>
      <c r="K69" s="83"/>
      <c r="L69" s="12"/>
      <c r="M69" s="13"/>
      <c r="N69" s="14"/>
      <c r="O69" s="11"/>
      <c r="P69" s="15"/>
      <c r="Q69" s="16"/>
      <c r="R69" s="2"/>
      <c r="S69" s="12"/>
      <c r="T69" s="17"/>
      <c r="U69" s="2"/>
      <c r="V69" s="18"/>
      <c r="W69" s="8"/>
      <c r="Y69" s="149" t="s">
        <v>44</v>
      </c>
      <c r="Z69" s="152">
        <f t="shared" si="1"/>
        <v>0</v>
      </c>
    </row>
    <row r="70" spans="2:26" ht="18" x14ac:dyDescent="0.35">
      <c r="B70" s="95"/>
      <c r="C70" s="96"/>
      <c r="D70" s="97"/>
      <c r="E70" s="98"/>
      <c r="F70" s="90">
        <v>13</v>
      </c>
      <c r="G70" s="91" t="s">
        <v>18</v>
      </c>
      <c r="H70" s="92">
        <v>10</v>
      </c>
      <c r="I70" s="105">
        <v>130</v>
      </c>
      <c r="J70" s="83"/>
      <c r="K70" s="83"/>
      <c r="L70" s="12"/>
      <c r="M70" s="13"/>
      <c r="N70" s="14"/>
      <c r="O70" s="11"/>
      <c r="P70" s="15"/>
      <c r="Q70" s="16"/>
      <c r="R70" s="2"/>
      <c r="S70" s="12"/>
      <c r="T70" s="17"/>
      <c r="U70" s="2"/>
      <c r="V70" s="18"/>
      <c r="W70" s="8"/>
      <c r="Y70" s="149" t="s">
        <v>45</v>
      </c>
      <c r="Z70" s="152">
        <f t="shared" si="1"/>
        <v>0</v>
      </c>
    </row>
    <row r="71" spans="2:26" ht="18" x14ac:dyDescent="0.35">
      <c r="B71" s="95"/>
      <c r="C71" s="96"/>
      <c r="D71" s="97"/>
      <c r="E71" s="98"/>
      <c r="F71" s="90">
        <v>1.5</v>
      </c>
      <c r="G71" s="91" t="s">
        <v>18</v>
      </c>
      <c r="H71" s="92">
        <v>10</v>
      </c>
      <c r="I71" s="105">
        <v>15</v>
      </c>
      <c r="J71" s="83"/>
      <c r="K71" s="83"/>
      <c r="L71" s="12"/>
      <c r="M71" s="13"/>
      <c r="N71" s="14"/>
      <c r="O71" s="11"/>
      <c r="P71" s="15"/>
      <c r="Q71" s="16"/>
      <c r="R71" s="2"/>
      <c r="S71" s="12"/>
      <c r="T71" s="17"/>
      <c r="U71" s="2"/>
      <c r="V71" s="18"/>
      <c r="W71" s="8"/>
      <c r="Y71" s="149" t="s">
        <v>49</v>
      </c>
      <c r="Z71" s="152">
        <f t="shared" si="1"/>
        <v>0</v>
      </c>
    </row>
    <row r="72" spans="2:26" ht="18" x14ac:dyDescent="0.35">
      <c r="B72" s="106"/>
      <c r="C72" s="107"/>
      <c r="D72" s="108"/>
      <c r="E72" s="109"/>
      <c r="F72" s="90">
        <v>0.5</v>
      </c>
      <c r="G72" s="91" t="s">
        <v>84</v>
      </c>
      <c r="H72" s="92">
        <v>5</v>
      </c>
      <c r="I72" s="105">
        <v>2.5</v>
      </c>
      <c r="J72" s="83"/>
      <c r="K72" s="83"/>
      <c r="L72" s="12"/>
      <c r="M72" s="13"/>
      <c r="N72" s="14"/>
      <c r="O72" s="11"/>
      <c r="P72" s="15"/>
      <c r="Q72" s="16"/>
      <c r="R72" s="2"/>
      <c r="S72" s="12"/>
      <c r="T72" s="17"/>
      <c r="U72" s="2"/>
      <c r="V72" s="18"/>
      <c r="W72" s="8"/>
      <c r="Y72" s="149" t="s">
        <v>50</v>
      </c>
      <c r="Z72" s="152">
        <f t="shared" si="1"/>
        <v>0</v>
      </c>
    </row>
    <row r="73" spans="2:26" ht="18" x14ac:dyDescent="0.35">
      <c r="B73" s="95"/>
      <c r="C73" s="96"/>
      <c r="D73" s="97"/>
      <c r="E73" s="98"/>
      <c r="F73" s="90">
        <v>0.5</v>
      </c>
      <c r="G73" s="91" t="s">
        <v>90</v>
      </c>
      <c r="H73" s="92">
        <v>90</v>
      </c>
      <c r="I73" s="105">
        <v>45</v>
      </c>
      <c r="J73" s="83"/>
      <c r="K73" s="83"/>
      <c r="L73" s="20"/>
      <c r="M73" s="21"/>
      <c r="N73" s="22"/>
      <c r="O73" s="19"/>
      <c r="P73" s="23"/>
      <c r="Q73" s="24"/>
      <c r="R73" s="2"/>
      <c r="S73" s="20"/>
      <c r="T73" s="25"/>
      <c r="U73" s="2"/>
      <c r="V73" s="26"/>
      <c r="W73" s="27"/>
      <c r="Y73" s="149" t="s">
        <v>51</v>
      </c>
      <c r="Z73" s="152">
        <f t="shared" si="1"/>
        <v>0</v>
      </c>
    </row>
    <row r="74" spans="2:26" ht="18" x14ac:dyDescent="0.35">
      <c r="B74" s="110"/>
      <c r="C74" s="111"/>
      <c r="D74" s="112"/>
      <c r="E74" s="113"/>
      <c r="F74" s="90">
        <v>2</v>
      </c>
      <c r="G74" s="91" t="s">
        <v>90</v>
      </c>
      <c r="H74" s="92">
        <v>90</v>
      </c>
      <c r="I74" s="105">
        <v>180</v>
      </c>
      <c r="J74" s="83"/>
      <c r="K74" s="83"/>
      <c r="L74" s="12"/>
      <c r="M74" s="28"/>
      <c r="N74" s="14"/>
      <c r="O74" s="11"/>
      <c r="P74" s="11"/>
      <c r="Q74" s="16"/>
      <c r="R74" s="2"/>
      <c r="S74" s="12"/>
      <c r="T74" s="17"/>
      <c r="U74" s="2"/>
      <c r="V74" s="18"/>
      <c r="W74" s="16"/>
      <c r="Y74" s="149" t="s">
        <v>52</v>
      </c>
      <c r="Z74" s="152">
        <f t="shared" si="1"/>
        <v>0</v>
      </c>
    </row>
    <row r="75" spans="2:26" ht="18" x14ac:dyDescent="0.35">
      <c r="B75" s="95"/>
      <c r="C75" s="96"/>
      <c r="D75" s="97"/>
      <c r="E75" s="113"/>
      <c r="F75" s="90">
        <v>0.5</v>
      </c>
      <c r="G75" s="91" t="s">
        <v>92</v>
      </c>
      <c r="H75" s="92">
        <v>75</v>
      </c>
      <c r="I75" s="105">
        <v>37.5</v>
      </c>
      <c r="J75" s="83"/>
      <c r="K75" s="83"/>
      <c r="L75" s="12"/>
      <c r="M75" s="28"/>
      <c r="N75" s="14"/>
      <c r="O75" s="11"/>
      <c r="P75" s="11"/>
      <c r="Q75" s="16"/>
      <c r="R75" s="2"/>
      <c r="S75" s="12"/>
      <c r="T75" s="17"/>
      <c r="U75" s="2"/>
      <c r="V75" s="18"/>
      <c r="W75" s="16"/>
      <c r="Y75" s="149" t="s">
        <v>72</v>
      </c>
      <c r="Z75" s="152">
        <f t="shared" si="1"/>
        <v>0</v>
      </c>
    </row>
    <row r="76" spans="2:26" ht="18" x14ac:dyDescent="0.35">
      <c r="B76" s="95"/>
      <c r="C76" s="96"/>
      <c r="D76" s="97"/>
      <c r="E76" s="113"/>
      <c r="F76" s="90">
        <v>1</v>
      </c>
      <c r="G76" s="91" t="s">
        <v>67</v>
      </c>
      <c r="H76" s="92">
        <v>92</v>
      </c>
      <c r="I76" s="105">
        <v>92</v>
      </c>
      <c r="J76" s="83"/>
      <c r="K76" s="83"/>
      <c r="L76" s="12"/>
      <c r="M76" s="28"/>
      <c r="N76" s="14"/>
      <c r="O76" s="11"/>
      <c r="P76" s="11"/>
      <c r="Q76" s="16"/>
      <c r="R76" s="2"/>
      <c r="S76" s="12"/>
      <c r="T76" s="17"/>
      <c r="U76" s="2"/>
      <c r="V76" s="18"/>
      <c r="W76" s="16"/>
      <c r="Y76" s="149" t="s">
        <v>71</v>
      </c>
      <c r="Z76" s="152">
        <f t="shared" si="1"/>
        <v>0</v>
      </c>
    </row>
    <row r="77" spans="2:26" ht="18" x14ac:dyDescent="0.35">
      <c r="B77" s="95"/>
      <c r="C77" s="96"/>
      <c r="D77" s="97"/>
      <c r="E77" s="113"/>
      <c r="F77" s="90">
        <v>4.5</v>
      </c>
      <c r="G77" s="91" t="s">
        <v>67</v>
      </c>
      <c r="H77" s="92">
        <v>92</v>
      </c>
      <c r="I77" s="105">
        <v>414</v>
      </c>
      <c r="J77" s="83"/>
      <c r="K77" s="83"/>
      <c r="L77" s="12"/>
      <c r="M77" s="28"/>
      <c r="N77" s="14"/>
      <c r="O77" s="11"/>
      <c r="P77" s="11"/>
      <c r="Q77" s="16"/>
      <c r="R77" s="2"/>
      <c r="S77" s="12"/>
      <c r="T77" s="17"/>
      <c r="U77" s="2"/>
      <c r="V77" s="18"/>
      <c r="W77" s="16"/>
      <c r="Y77" s="149" t="s">
        <v>53</v>
      </c>
      <c r="Z77" s="152">
        <f t="shared" ref="Z77:Z79" si="2">SUMIF($G$9:$G$129, Y77, $F$9:$F$129)</f>
        <v>0</v>
      </c>
    </row>
    <row r="78" spans="2:26" ht="18" x14ac:dyDescent="0.35">
      <c r="B78" s="95"/>
      <c r="C78" s="96"/>
      <c r="D78" s="97"/>
      <c r="E78" s="113"/>
      <c r="F78" s="90">
        <v>0.5</v>
      </c>
      <c r="G78" s="91" t="s">
        <v>90</v>
      </c>
      <c r="H78" s="92">
        <v>90</v>
      </c>
      <c r="I78" s="105">
        <v>45</v>
      </c>
      <c r="J78" s="83"/>
      <c r="K78" s="83"/>
      <c r="L78" s="12"/>
      <c r="M78" s="28"/>
      <c r="N78" s="14"/>
      <c r="O78" s="11"/>
      <c r="P78" s="11"/>
      <c r="Q78" s="16"/>
      <c r="R78" s="2"/>
      <c r="S78" s="12"/>
      <c r="T78" s="17"/>
      <c r="U78" s="2"/>
      <c r="V78" s="18"/>
      <c r="W78" s="16"/>
      <c r="Y78" s="149" t="s">
        <v>54</v>
      </c>
      <c r="Z78" s="152">
        <f t="shared" si="2"/>
        <v>0</v>
      </c>
    </row>
    <row r="79" spans="2:26" ht="18.600000000000001" thickBot="1" x14ac:dyDescent="0.4">
      <c r="B79" s="95"/>
      <c r="C79" s="96"/>
      <c r="D79" s="97"/>
      <c r="E79" s="113"/>
      <c r="F79" s="90">
        <v>1</v>
      </c>
      <c r="G79" s="91" t="s">
        <v>23</v>
      </c>
      <c r="H79" s="92">
        <v>55</v>
      </c>
      <c r="I79" s="105">
        <v>55</v>
      </c>
      <c r="J79" s="83"/>
      <c r="K79" s="83"/>
      <c r="L79" s="12"/>
      <c r="M79" s="28"/>
      <c r="N79" s="14"/>
      <c r="O79" s="11"/>
      <c r="P79" s="11"/>
      <c r="Q79" s="16"/>
      <c r="R79" s="2"/>
      <c r="S79" s="12"/>
      <c r="T79" s="17"/>
      <c r="U79" s="2"/>
      <c r="V79" s="18"/>
      <c r="W79" s="16"/>
      <c r="Y79" s="150" t="s">
        <v>55</v>
      </c>
      <c r="Z79" s="153">
        <f t="shared" si="2"/>
        <v>0</v>
      </c>
    </row>
    <row r="80" spans="2:26" ht="18" x14ac:dyDescent="0.35">
      <c r="B80" s="95"/>
      <c r="C80" s="96"/>
      <c r="D80" s="97"/>
      <c r="E80" s="113"/>
      <c r="F80" s="90">
        <v>0.2</v>
      </c>
      <c r="G80" s="91" t="s">
        <v>92</v>
      </c>
      <c r="H80" s="92">
        <v>75</v>
      </c>
      <c r="I80" s="105">
        <v>15</v>
      </c>
      <c r="J80" s="83"/>
      <c r="K80" s="83"/>
      <c r="L80" s="12"/>
      <c r="M80" s="28"/>
      <c r="N80" s="14"/>
      <c r="O80" s="11"/>
      <c r="P80" s="11"/>
      <c r="Q80" s="16"/>
      <c r="R80" s="2"/>
      <c r="S80" s="12"/>
      <c r="T80" s="17"/>
      <c r="U80" s="2"/>
      <c r="V80" s="18"/>
      <c r="W80" s="16"/>
    </row>
    <row r="81" spans="2:23" ht="18" x14ac:dyDescent="0.35">
      <c r="B81" s="95"/>
      <c r="C81" s="96"/>
      <c r="D81" s="97"/>
      <c r="E81" s="113"/>
      <c r="F81" s="90">
        <v>0.2</v>
      </c>
      <c r="G81" s="91" t="s">
        <v>47</v>
      </c>
      <c r="H81" s="92">
        <v>13</v>
      </c>
      <c r="I81" s="105">
        <v>2.6</v>
      </c>
      <c r="J81" s="83"/>
      <c r="K81" s="83"/>
      <c r="L81" s="12"/>
      <c r="M81" s="28"/>
      <c r="N81" s="14"/>
      <c r="O81" s="11"/>
      <c r="P81" s="11"/>
      <c r="Q81" s="16"/>
      <c r="R81" s="2"/>
      <c r="S81" s="12"/>
      <c r="T81" s="17"/>
      <c r="U81" s="2"/>
      <c r="V81" s="18"/>
      <c r="W81" s="16"/>
    </row>
    <row r="82" spans="2:23" ht="18" x14ac:dyDescent="0.35">
      <c r="B82" s="95"/>
      <c r="C82" s="96"/>
      <c r="D82" s="97"/>
      <c r="E82" s="113"/>
      <c r="F82" s="90">
        <v>0.5</v>
      </c>
      <c r="G82" s="91" t="s">
        <v>92</v>
      </c>
      <c r="H82" s="92">
        <v>75</v>
      </c>
      <c r="I82" s="105">
        <v>37.5</v>
      </c>
      <c r="J82" s="83"/>
      <c r="K82" s="83"/>
      <c r="L82" s="12"/>
      <c r="M82" s="28"/>
      <c r="N82" s="14"/>
      <c r="O82" s="11"/>
      <c r="P82" s="11"/>
      <c r="Q82" s="16"/>
      <c r="R82" s="2"/>
      <c r="S82" s="12"/>
      <c r="T82" s="17"/>
      <c r="U82" s="2"/>
      <c r="V82" s="18"/>
      <c r="W82" s="16"/>
    </row>
    <row r="83" spans="2:23" ht="18" x14ac:dyDescent="0.35">
      <c r="B83" s="95"/>
      <c r="C83" s="96"/>
      <c r="D83" s="97"/>
      <c r="E83" s="113"/>
      <c r="F83" s="90">
        <v>0.5</v>
      </c>
      <c r="G83" s="91" t="s">
        <v>90</v>
      </c>
      <c r="H83" s="92">
        <v>90</v>
      </c>
      <c r="I83" s="105">
        <v>45</v>
      </c>
      <c r="J83" s="83"/>
      <c r="K83" s="83"/>
      <c r="L83" s="12"/>
      <c r="M83" s="28"/>
      <c r="N83" s="14"/>
      <c r="O83" s="11"/>
      <c r="P83" s="11"/>
      <c r="Q83" s="16"/>
      <c r="R83" s="2"/>
      <c r="S83" s="12"/>
      <c r="T83" s="17"/>
      <c r="U83" s="2"/>
      <c r="V83" s="18"/>
      <c r="W83" s="16"/>
    </row>
    <row r="84" spans="2:23" ht="18" x14ac:dyDescent="0.35">
      <c r="B84" s="95"/>
      <c r="C84" s="96"/>
      <c r="D84" s="97"/>
      <c r="E84" s="113"/>
      <c r="F84" s="90">
        <v>2.5</v>
      </c>
      <c r="G84" s="91" t="s">
        <v>19</v>
      </c>
      <c r="H84" s="92">
        <v>2</v>
      </c>
      <c r="I84" s="105">
        <v>5</v>
      </c>
      <c r="J84" s="83"/>
      <c r="K84" s="83"/>
      <c r="L84" s="12"/>
      <c r="M84" s="28"/>
      <c r="N84" s="14"/>
      <c r="O84" s="11"/>
      <c r="P84" s="11"/>
      <c r="Q84" s="16"/>
      <c r="R84" s="2"/>
      <c r="S84" s="12"/>
      <c r="T84" s="17"/>
      <c r="U84" s="2"/>
      <c r="V84" s="18"/>
      <c r="W84" s="16"/>
    </row>
    <row r="85" spans="2:23" ht="18" x14ac:dyDescent="0.35">
      <c r="B85" s="95"/>
      <c r="C85" s="96"/>
      <c r="D85" s="97"/>
      <c r="E85" s="113"/>
      <c r="F85" s="90">
        <v>3</v>
      </c>
      <c r="G85" s="91" t="s">
        <v>94</v>
      </c>
      <c r="H85" s="92">
        <v>10</v>
      </c>
      <c r="I85" s="105">
        <v>30</v>
      </c>
      <c r="J85" s="83"/>
      <c r="K85" s="83"/>
      <c r="L85" s="12"/>
      <c r="M85" s="28"/>
      <c r="N85" s="14"/>
      <c r="O85" s="11"/>
      <c r="P85" s="11"/>
      <c r="Q85" s="16"/>
      <c r="R85" s="2"/>
      <c r="S85" s="12"/>
      <c r="T85" s="17"/>
      <c r="U85" s="2"/>
      <c r="V85" s="18"/>
      <c r="W85" s="16"/>
    </row>
    <row r="86" spans="2:23" ht="18" x14ac:dyDescent="0.35">
      <c r="B86" s="95"/>
      <c r="C86" s="96"/>
      <c r="D86" s="97"/>
      <c r="E86" s="113"/>
      <c r="F86" s="90">
        <v>1.2</v>
      </c>
      <c r="G86" s="91" t="s">
        <v>23</v>
      </c>
      <c r="H86" s="92">
        <v>55</v>
      </c>
      <c r="I86" s="105">
        <v>66</v>
      </c>
      <c r="J86" s="83"/>
      <c r="K86" s="83"/>
      <c r="L86" s="12"/>
      <c r="M86" s="28"/>
      <c r="N86" s="14"/>
      <c r="O86" s="11"/>
      <c r="P86" s="11"/>
      <c r="Q86" s="16"/>
      <c r="R86" s="2"/>
      <c r="S86" s="12"/>
      <c r="T86" s="17"/>
      <c r="U86" s="2"/>
      <c r="V86" s="18"/>
      <c r="W86" s="16"/>
    </row>
    <row r="87" spans="2:23" ht="18" x14ac:dyDescent="0.35">
      <c r="B87" s="95"/>
      <c r="C87" s="96"/>
      <c r="D87" s="97"/>
      <c r="E87" s="113"/>
      <c r="F87" s="90">
        <v>1.5</v>
      </c>
      <c r="G87" s="91" t="s">
        <v>92</v>
      </c>
      <c r="H87" s="92">
        <v>75</v>
      </c>
      <c r="I87" s="105">
        <v>112.5</v>
      </c>
      <c r="J87" s="83"/>
      <c r="K87" s="83"/>
      <c r="L87" s="12"/>
      <c r="M87" s="28"/>
      <c r="N87" s="14"/>
      <c r="O87" s="11"/>
      <c r="P87" s="11"/>
      <c r="Q87" s="16"/>
      <c r="R87" s="2"/>
      <c r="S87" s="12"/>
      <c r="T87" s="17"/>
      <c r="U87" s="2"/>
      <c r="V87" s="18"/>
      <c r="W87" s="16"/>
    </row>
    <row r="88" spans="2:23" ht="18" x14ac:dyDescent="0.35">
      <c r="B88" s="95"/>
      <c r="C88" s="96"/>
      <c r="D88" s="97"/>
      <c r="E88" s="113"/>
      <c r="F88" s="90">
        <v>2.5</v>
      </c>
      <c r="G88" s="91" t="s">
        <v>94</v>
      </c>
      <c r="H88" s="92">
        <v>10</v>
      </c>
      <c r="I88" s="105">
        <v>25</v>
      </c>
      <c r="J88" s="83"/>
      <c r="K88" s="83"/>
      <c r="L88" s="12"/>
      <c r="M88" s="28"/>
      <c r="N88" s="14"/>
      <c r="O88" s="11"/>
      <c r="P88" s="11"/>
      <c r="Q88" s="16"/>
      <c r="R88" s="2"/>
      <c r="S88" s="12"/>
      <c r="T88" s="17"/>
      <c r="U88" s="2"/>
      <c r="V88" s="18"/>
      <c r="W88" s="16"/>
    </row>
    <row r="89" spans="2:23" ht="18" x14ac:dyDescent="0.35">
      <c r="B89" s="95"/>
      <c r="C89" s="96"/>
      <c r="D89" s="97"/>
      <c r="E89" s="113"/>
      <c r="F89" s="90">
        <v>0.5</v>
      </c>
      <c r="G89" s="91" t="s">
        <v>96</v>
      </c>
      <c r="H89" s="92">
        <v>12</v>
      </c>
      <c r="I89" s="105">
        <v>6</v>
      </c>
      <c r="J89" s="83"/>
      <c r="K89" s="83"/>
      <c r="L89" s="12"/>
      <c r="M89" s="28"/>
      <c r="N89" s="14"/>
      <c r="O89" s="11"/>
      <c r="P89" s="11"/>
      <c r="Q89" s="16"/>
      <c r="R89" s="2"/>
      <c r="S89" s="12"/>
      <c r="T89" s="17"/>
      <c r="U89" s="2"/>
      <c r="V89" s="18"/>
      <c r="W89" s="16"/>
    </row>
    <row r="90" spans="2:23" ht="18" x14ac:dyDescent="0.35">
      <c r="B90" s="95"/>
      <c r="C90" s="96"/>
      <c r="D90" s="97"/>
      <c r="E90" s="113"/>
      <c r="F90" s="90">
        <v>1.5</v>
      </c>
      <c r="G90" s="91" t="s">
        <v>92</v>
      </c>
      <c r="H90" s="92">
        <v>75</v>
      </c>
      <c r="I90" s="105">
        <v>112.5</v>
      </c>
      <c r="J90" s="83"/>
      <c r="K90" s="83"/>
      <c r="L90" s="12"/>
      <c r="M90" s="28"/>
      <c r="N90" s="14"/>
      <c r="O90" s="11"/>
      <c r="P90" s="11"/>
      <c r="Q90" s="16"/>
      <c r="R90" s="2"/>
      <c r="S90" s="12"/>
      <c r="T90" s="17"/>
      <c r="U90" s="2"/>
      <c r="V90" s="18"/>
      <c r="W90" s="16"/>
    </row>
    <row r="91" spans="2:23" ht="18" x14ac:dyDescent="0.35">
      <c r="B91" s="95"/>
      <c r="C91" s="96"/>
      <c r="D91" s="97"/>
      <c r="E91" s="113"/>
      <c r="F91" s="90">
        <v>5.5</v>
      </c>
      <c r="G91" s="91" t="s">
        <v>94</v>
      </c>
      <c r="H91" s="92">
        <v>10</v>
      </c>
      <c r="I91" s="105">
        <v>55</v>
      </c>
      <c r="J91" s="83"/>
      <c r="K91" s="83"/>
      <c r="L91" s="12"/>
      <c r="M91" s="28"/>
      <c r="N91" s="14"/>
      <c r="O91" s="11"/>
      <c r="P91" s="11"/>
      <c r="Q91" s="16"/>
      <c r="R91" s="2"/>
      <c r="S91" s="12"/>
      <c r="T91" s="17"/>
      <c r="U91" s="2"/>
      <c r="V91" s="18"/>
      <c r="W91" s="16"/>
    </row>
    <row r="92" spans="2:23" ht="18" x14ac:dyDescent="0.35">
      <c r="B92" s="95"/>
      <c r="C92" s="96"/>
      <c r="D92" s="97"/>
      <c r="E92" s="113"/>
      <c r="F92" s="90">
        <v>30.5</v>
      </c>
      <c r="G92" s="91" t="s">
        <v>96</v>
      </c>
      <c r="H92" s="92">
        <v>12</v>
      </c>
      <c r="I92" s="105">
        <v>366</v>
      </c>
      <c r="J92" s="83"/>
      <c r="K92" s="83"/>
      <c r="L92" s="12"/>
      <c r="M92" s="28"/>
      <c r="N92" s="14"/>
      <c r="O92" s="11"/>
      <c r="P92" s="11"/>
      <c r="Q92" s="16"/>
      <c r="R92" s="2"/>
      <c r="S92" s="12"/>
      <c r="T92" s="17"/>
      <c r="U92" s="2"/>
      <c r="V92" s="18"/>
      <c r="W92" s="16"/>
    </row>
    <row r="93" spans="2:23" ht="18" x14ac:dyDescent="0.35">
      <c r="B93" s="95"/>
      <c r="C93" s="96"/>
      <c r="D93" s="97"/>
      <c r="E93" s="113"/>
      <c r="F93" s="90">
        <v>5</v>
      </c>
      <c r="G93" s="91" t="s">
        <v>90</v>
      </c>
      <c r="H93" s="92">
        <v>90</v>
      </c>
      <c r="I93" s="105">
        <v>450</v>
      </c>
      <c r="J93" s="83"/>
      <c r="K93" s="83"/>
      <c r="L93" s="12"/>
      <c r="M93" s="28"/>
      <c r="N93" s="14"/>
      <c r="O93" s="11"/>
      <c r="P93" s="11"/>
      <c r="Q93" s="16"/>
      <c r="R93" s="2"/>
      <c r="S93" s="12"/>
      <c r="T93" s="17"/>
      <c r="U93" s="2"/>
      <c r="V93" s="18"/>
      <c r="W93" s="16"/>
    </row>
    <row r="94" spans="2:23" ht="18" x14ac:dyDescent="0.35">
      <c r="B94" s="95"/>
      <c r="C94" s="96"/>
      <c r="D94" s="97"/>
      <c r="E94" s="113"/>
      <c r="F94" s="90">
        <v>1.5</v>
      </c>
      <c r="G94" s="91" t="s">
        <v>18</v>
      </c>
      <c r="H94" s="92">
        <v>10</v>
      </c>
      <c r="I94" s="105">
        <v>15</v>
      </c>
      <c r="J94" s="83"/>
      <c r="K94" s="83"/>
      <c r="L94" s="12"/>
      <c r="M94" s="28"/>
      <c r="N94" s="14"/>
      <c r="O94" s="11"/>
      <c r="P94" s="11"/>
      <c r="Q94" s="16"/>
      <c r="R94" s="2"/>
      <c r="S94" s="12"/>
      <c r="T94" s="17"/>
      <c r="U94" s="2"/>
      <c r="V94" s="18"/>
      <c r="W94" s="16"/>
    </row>
    <row r="95" spans="2:23" ht="18" x14ac:dyDescent="0.35">
      <c r="B95" s="95"/>
      <c r="C95" s="96"/>
      <c r="D95" s="97"/>
      <c r="E95" s="113"/>
      <c r="F95" s="90"/>
      <c r="G95" s="91"/>
      <c r="H95" s="92"/>
      <c r="I95" s="105"/>
      <c r="J95" s="83"/>
      <c r="K95" s="83"/>
      <c r="L95" s="12"/>
      <c r="M95" s="28"/>
      <c r="N95" s="14"/>
      <c r="O95" s="11"/>
      <c r="P95" s="11"/>
      <c r="Q95" s="16"/>
      <c r="R95" s="2"/>
      <c r="S95" s="12"/>
      <c r="T95" s="17"/>
      <c r="U95" s="2"/>
      <c r="V95" s="18"/>
      <c r="W95" s="16"/>
    </row>
    <row r="96" spans="2:23" ht="18" x14ac:dyDescent="0.35">
      <c r="B96" s="95"/>
      <c r="C96" s="96"/>
      <c r="D96" s="97"/>
      <c r="E96" s="113"/>
      <c r="F96" s="90"/>
      <c r="G96" s="91"/>
      <c r="H96" s="92"/>
      <c r="I96" s="105"/>
      <c r="J96" s="83"/>
      <c r="K96" s="83"/>
      <c r="L96" s="12"/>
      <c r="M96" s="28"/>
      <c r="N96" s="14"/>
      <c r="O96" s="11"/>
      <c r="P96" s="11"/>
      <c r="Q96" s="16"/>
      <c r="R96" s="2"/>
      <c r="S96" s="12"/>
      <c r="T96" s="17"/>
      <c r="U96" s="2"/>
      <c r="V96" s="18"/>
      <c r="W96" s="16"/>
    </row>
    <row r="97" spans="2:23" ht="18" x14ac:dyDescent="0.35">
      <c r="B97" s="95"/>
      <c r="C97" s="96"/>
      <c r="D97" s="97"/>
      <c r="E97" s="113"/>
      <c r="F97" s="90"/>
      <c r="G97" s="91"/>
      <c r="H97" s="92"/>
      <c r="I97" s="105"/>
      <c r="J97" s="83"/>
      <c r="K97" s="83"/>
      <c r="L97" s="12"/>
      <c r="M97" s="28"/>
      <c r="N97" s="14"/>
      <c r="O97" s="11"/>
      <c r="P97" s="11"/>
      <c r="Q97" s="16"/>
      <c r="R97" s="2"/>
      <c r="S97" s="12"/>
      <c r="T97" s="17"/>
      <c r="U97" s="2"/>
      <c r="V97" s="18"/>
      <c r="W97" s="16"/>
    </row>
    <row r="98" spans="2:23" ht="18" x14ac:dyDescent="0.35">
      <c r="B98" s="95"/>
      <c r="C98" s="96"/>
      <c r="D98" s="97"/>
      <c r="E98" s="113"/>
      <c r="F98" s="90"/>
      <c r="G98" s="91"/>
      <c r="H98" s="92"/>
      <c r="I98" s="105"/>
      <c r="J98" s="83"/>
      <c r="K98" s="83"/>
      <c r="L98" s="12"/>
      <c r="M98" s="28"/>
      <c r="N98" s="14"/>
      <c r="O98" s="11"/>
      <c r="P98" s="11"/>
      <c r="Q98" s="16"/>
      <c r="R98" s="2"/>
      <c r="S98" s="12"/>
      <c r="T98" s="17"/>
      <c r="U98" s="2"/>
      <c r="V98" s="18"/>
      <c r="W98" s="16"/>
    </row>
    <row r="99" spans="2:23" ht="18" x14ac:dyDescent="0.35">
      <c r="B99" s="95"/>
      <c r="C99" s="96"/>
      <c r="D99" s="97"/>
      <c r="E99" s="113"/>
      <c r="F99" s="90"/>
      <c r="G99" s="91"/>
      <c r="H99" s="92"/>
      <c r="I99" s="105"/>
      <c r="J99" s="83"/>
      <c r="K99" s="83"/>
      <c r="L99" s="12"/>
      <c r="M99" s="28"/>
      <c r="N99" s="14"/>
      <c r="O99" s="11"/>
      <c r="P99" s="11"/>
      <c r="Q99" s="16"/>
      <c r="R99" s="2"/>
      <c r="S99" s="12"/>
      <c r="T99" s="17"/>
      <c r="U99" s="2"/>
      <c r="V99" s="18"/>
      <c r="W99" s="16"/>
    </row>
    <row r="100" spans="2:23" ht="18" x14ac:dyDescent="0.35">
      <c r="B100" s="95"/>
      <c r="C100" s="96"/>
      <c r="D100" s="97"/>
      <c r="E100" s="113"/>
      <c r="F100" s="90"/>
      <c r="G100" s="91"/>
      <c r="H100" s="92"/>
      <c r="I100" s="105"/>
      <c r="J100" s="83"/>
      <c r="K100" s="83"/>
      <c r="L100" s="12"/>
      <c r="M100" s="28"/>
      <c r="N100" s="14"/>
      <c r="O100" s="11"/>
      <c r="P100" s="11"/>
      <c r="Q100" s="16"/>
      <c r="R100" s="2"/>
      <c r="S100" s="12"/>
      <c r="T100" s="17"/>
      <c r="U100" s="2"/>
      <c r="V100" s="18"/>
      <c r="W100" s="16"/>
    </row>
    <row r="101" spans="2:23" ht="18" x14ac:dyDescent="0.35">
      <c r="B101" s="95"/>
      <c r="C101" s="96"/>
      <c r="D101" s="97"/>
      <c r="E101" s="113"/>
      <c r="F101" s="90"/>
      <c r="G101" s="91"/>
      <c r="H101" s="92"/>
      <c r="I101" s="105"/>
      <c r="J101" s="83"/>
      <c r="K101" s="83"/>
      <c r="L101" s="12"/>
      <c r="M101" s="28"/>
      <c r="N101" s="14"/>
      <c r="O101" s="11"/>
      <c r="P101" s="11"/>
      <c r="Q101" s="16"/>
      <c r="R101" s="2"/>
      <c r="S101" s="12"/>
      <c r="T101" s="17"/>
      <c r="U101" s="2"/>
      <c r="V101" s="18"/>
      <c r="W101" s="16"/>
    </row>
    <row r="102" spans="2:23" ht="18" x14ac:dyDescent="0.35">
      <c r="B102" s="95"/>
      <c r="C102" s="96"/>
      <c r="D102" s="97"/>
      <c r="E102" s="113"/>
      <c r="F102" s="90"/>
      <c r="G102" s="91"/>
      <c r="H102" s="92"/>
      <c r="I102" s="105"/>
      <c r="J102" s="83"/>
      <c r="K102" s="83"/>
      <c r="L102" s="12"/>
      <c r="M102" s="28"/>
      <c r="N102" s="14"/>
      <c r="O102" s="11"/>
      <c r="P102" s="11"/>
      <c r="Q102" s="16"/>
      <c r="R102" s="2"/>
      <c r="S102" s="12"/>
      <c r="T102" s="17"/>
      <c r="U102" s="2"/>
      <c r="V102" s="18"/>
      <c r="W102" s="16"/>
    </row>
    <row r="103" spans="2:23" ht="18" x14ac:dyDescent="0.35">
      <c r="B103" s="95"/>
      <c r="C103" s="96"/>
      <c r="D103" s="97"/>
      <c r="E103" s="113"/>
      <c r="F103" s="90"/>
      <c r="G103" s="91"/>
      <c r="H103" s="92"/>
      <c r="I103" s="105"/>
      <c r="J103" s="83"/>
      <c r="K103" s="83"/>
      <c r="L103" s="12"/>
      <c r="M103" s="28"/>
      <c r="N103" s="14"/>
      <c r="O103" s="11"/>
      <c r="P103" s="11"/>
      <c r="Q103" s="16"/>
      <c r="R103" s="2"/>
      <c r="S103" s="12"/>
      <c r="T103" s="17"/>
      <c r="U103" s="2"/>
      <c r="V103" s="18"/>
      <c r="W103" s="16"/>
    </row>
    <row r="104" spans="2:23" ht="18" x14ac:dyDescent="0.35">
      <c r="B104" s="95"/>
      <c r="C104" s="96"/>
      <c r="D104" s="97"/>
      <c r="E104" s="113"/>
      <c r="F104" s="90"/>
      <c r="G104" s="91"/>
      <c r="H104" s="92"/>
      <c r="I104" s="105"/>
      <c r="J104" s="83"/>
      <c r="K104" s="83"/>
      <c r="L104" s="12"/>
      <c r="M104" s="28"/>
      <c r="N104" s="14"/>
      <c r="O104" s="11"/>
      <c r="P104" s="11"/>
      <c r="Q104" s="16"/>
      <c r="R104" s="2"/>
      <c r="S104" s="12"/>
      <c r="T104" s="17"/>
      <c r="U104" s="2"/>
      <c r="V104" s="18"/>
      <c r="W104" s="16"/>
    </row>
    <row r="105" spans="2:23" ht="18" x14ac:dyDescent="0.35">
      <c r="B105" s="95"/>
      <c r="C105" s="96"/>
      <c r="D105" s="97"/>
      <c r="E105" s="113"/>
      <c r="F105" s="90"/>
      <c r="G105" s="91"/>
      <c r="H105" s="92"/>
      <c r="I105" s="105"/>
      <c r="J105" s="83"/>
      <c r="K105" s="83"/>
      <c r="L105" s="12"/>
      <c r="M105" s="28"/>
      <c r="N105" s="14"/>
      <c r="O105" s="11"/>
      <c r="P105" s="11"/>
      <c r="Q105" s="16"/>
      <c r="R105" s="2"/>
      <c r="S105" s="12"/>
      <c r="T105" s="17"/>
      <c r="U105" s="2"/>
      <c r="V105" s="18"/>
      <c r="W105" s="16"/>
    </row>
    <row r="106" spans="2:23" ht="18" x14ac:dyDescent="0.35">
      <c r="B106" s="95"/>
      <c r="C106" s="96"/>
      <c r="D106" s="97"/>
      <c r="E106" s="113"/>
      <c r="F106" s="90"/>
      <c r="G106" s="91"/>
      <c r="H106" s="92"/>
      <c r="I106" s="105"/>
      <c r="J106" s="83"/>
      <c r="K106" s="83"/>
      <c r="L106" s="12"/>
      <c r="M106" s="28"/>
      <c r="N106" s="14"/>
      <c r="O106" s="11"/>
      <c r="P106" s="11"/>
      <c r="Q106" s="16"/>
      <c r="R106" s="2"/>
      <c r="S106" s="12"/>
      <c r="T106" s="17"/>
      <c r="U106" s="2"/>
      <c r="V106" s="18"/>
      <c r="W106" s="16"/>
    </row>
    <row r="107" spans="2:23" ht="18" x14ac:dyDescent="0.35">
      <c r="B107" s="95"/>
      <c r="C107" s="96"/>
      <c r="D107" s="97"/>
      <c r="E107" s="113"/>
      <c r="F107" s="90"/>
      <c r="G107" s="91"/>
      <c r="H107" s="92"/>
      <c r="I107" s="105"/>
      <c r="J107" s="83"/>
      <c r="K107" s="83"/>
      <c r="L107" s="12"/>
      <c r="M107" s="28"/>
      <c r="N107" s="14"/>
      <c r="O107" s="11"/>
      <c r="P107" s="11"/>
      <c r="Q107" s="16"/>
      <c r="R107" s="2"/>
      <c r="S107" s="12"/>
      <c r="T107" s="17"/>
      <c r="U107" s="2"/>
      <c r="V107" s="18"/>
      <c r="W107" s="16"/>
    </row>
    <row r="108" spans="2:23" ht="18" x14ac:dyDescent="0.35">
      <c r="B108" s="95"/>
      <c r="C108" s="96"/>
      <c r="D108" s="97"/>
      <c r="E108" s="113"/>
      <c r="F108" s="90"/>
      <c r="G108" s="91"/>
      <c r="H108" s="92"/>
      <c r="I108" s="105"/>
      <c r="J108" s="83"/>
      <c r="K108" s="83"/>
      <c r="L108" s="12"/>
      <c r="M108" s="28"/>
      <c r="N108" s="14"/>
      <c r="O108" s="11"/>
      <c r="P108" s="11"/>
      <c r="Q108" s="16"/>
      <c r="R108" s="2"/>
      <c r="S108" s="12"/>
      <c r="T108" s="17"/>
      <c r="U108" s="2"/>
      <c r="V108" s="18"/>
      <c r="W108" s="16"/>
    </row>
    <row r="109" spans="2:23" ht="18" x14ac:dyDescent="0.35">
      <c r="B109" s="95"/>
      <c r="C109" s="96"/>
      <c r="D109" s="97"/>
      <c r="E109" s="113"/>
      <c r="F109" s="90"/>
      <c r="G109" s="91"/>
      <c r="H109" s="92"/>
      <c r="I109" s="105"/>
      <c r="J109" s="83"/>
      <c r="K109" s="83"/>
      <c r="L109" s="12"/>
      <c r="M109" s="28"/>
      <c r="N109" s="14"/>
      <c r="O109" s="11"/>
      <c r="P109" s="11"/>
      <c r="Q109" s="16"/>
      <c r="R109" s="2"/>
      <c r="S109" s="12"/>
      <c r="T109" s="17"/>
      <c r="U109" s="2"/>
      <c r="V109" s="18"/>
      <c r="W109" s="16"/>
    </row>
    <row r="110" spans="2:23" ht="18" x14ac:dyDescent="0.35">
      <c r="B110" s="95"/>
      <c r="C110" s="96"/>
      <c r="D110" s="97"/>
      <c r="E110" s="113"/>
      <c r="F110" s="90"/>
      <c r="G110" s="91"/>
      <c r="H110" s="92"/>
      <c r="I110" s="105"/>
      <c r="J110" s="83"/>
      <c r="K110" s="83"/>
      <c r="L110" s="12"/>
      <c r="M110" s="28"/>
      <c r="N110" s="14"/>
      <c r="O110" s="11"/>
      <c r="P110" s="11"/>
      <c r="Q110" s="16"/>
      <c r="R110" s="2"/>
      <c r="S110" s="12"/>
      <c r="T110" s="17"/>
      <c r="U110" s="2"/>
      <c r="V110" s="18"/>
      <c r="W110" s="16"/>
    </row>
    <row r="111" spans="2:23" ht="18" x14ac:dyDescent="0.35">
      <c r="B111" s="95"/>
      <c r="C111" s="96"/>
      <c r="D111" s="97"/>
      <c r="E111" s="113"/>
      <c r="F111" s="90"/>
      <c r="G111" s="91"/>
      <c r="H111" s="92"/>
      <c r="I111" s="105"/>
      <c r="J111" s="83"/>
      <c r="K111" s="83"/>
      <c r="L111" s="12"/>
      <c r="M111" s="28"/>
      <c r="N111" s="14"/>
      <c r="O111" s="11"/>
      <c r="P111" s="11"/>
      <c r="Q111" s="16"/>
      <c r="R111" s="2"/>
      <c r="S111" s="12"/>
      <c r="T111" s="17"/>
      <c r="U111" s="2"/>
      <c r="V111" s="18"/>
      <c r="W111" s="16"/>
    </row>
    <row r="112" spans="2:23" ht="18" x14ac:dyDescent="0.35">
      <c r="B112" s="95"/>
      <c r="C112" s="96"/>
      <c r="D112" s="97"/>
      <c r="E112" s="113"/>
      <c r="F112" s="90"/>
      <c r="G112" s="91"/>
      <c r="H112" s="92"/>
      <c r="I112" s="105"/>
      <c r="J112" s="83"/>
      <c r="K112" s="83"/>
      <c r="L112" s="12"/>
      <c r="M112" s="28"/>
      <c r="N112" s="14"/>
      <c r="O112" s="11"/>
      <c r="P112" s="11"/>
      <c r="Q112" s="16"/>
      <c r="R112" s="2"/>
      <c r="S112" s="12"/>
      <c r="T112" s="17"/>
      <c r="U112" s="2"/>
      <c r="V112" s="18"/>
      <c r="W112" s="16"/>
    </row>
    <row r="113" spans="2:23" ht="18" x14ac:dyDescent="0.35">
      <c r="B113" s="95"/>
      <c r="C113" s="96"/>
      <c r="D113" s="97"/>
      <c r="E113" s="113"/>
      <c r="F113" s="90"/>
      <c r="G113" s="91"/>
      <c r="H113" s="92"/>
      <c r="I113" s="105"/>
      <c r="J113" s="83"/>
      <c r="K113" s="83"/>
      <c r="L113" s="12"/>
      <c r="M113" s="28"/>
      <c r="N113" s="14"/>
      <c r="O113" s="11"/>
      <c r="P113" s="11"/>
      <c r="Q113" s="16"/>
      <c r="R113" s="2"/>
      <c r="S113" s="12"/>
      <c r="T113" s="17"/>
      <c r="U113" s="2"/>
      <c r="V113" s="18"/>
      <c r="W113" s="16"/>
    </row>
    <row r="114" spans="2:23" ht="18" x14ac:dyDescent="0.35">
      <c r="B114" s="95"/>
      <c r="C114" s="96"/>
      <c r="D114" s="97"/>
      <c r="E114" s="113"/>
      <c r="F114" s="90"/>
      <c r="G114" s="91"/>
      <c r="H114" s="92"/>
      <c r="I114" s="105"/>
      <c r="J114" s="83"/>
      <c r="K114" s="83"/>
      <c r="L114" s="12"/>
      <c r="M114" s="28"/>
      <c r="N114" s="14"/>
      <c r="O114" s="11"/>
      <c r="P114" s="11"/>
      <c r="Q114" s="16"/>
      <c r="R114" s="2"/>
      <c r="S114" s="12"/>
      <c r="T114" s="17"/>
      <c r="U114" s="2"/>
      <c r="V114" s="18"/>
      <c r="W114" s="16"/>
    </row>
    <row r="115" spans="2:23" ht="18" x14ac:dyDescent="0.35">
      <c r="B115" s="95"/>
      <c r="C115" s="96"/>
      <c r="D115" s="97"/>
      <c r="E115" s="113"/>
      <c r="F115" s="90"/>
      <c r="G115" s="91"/>
      <c r="H115" s="92"/>
      <c r="I115" s="105"/>
      <c r="J115" s="83"/>
      <c r="K115" s="83"/>
      <c r="L115" s="12"/>
      <c r="M115" s="28"/>
      <c r="N115" s="14"/>
      <c r="O115" s="11"/>
      <c r="P115" s="11"/>
      <c r="Q115" s="16"/>
      <c r="R115" s="2"/>
      <c r="S115" s="12"/>
      <c r="T115" s="17"/>
      <c r="U115" s="2"/>
      <c r="V115" s="18"/>
      <c r="W115" s="16"/>
    </row>
    <row r="116" spans="2:23" ht="18" x14ac:dyDescent="0.35">
      <c r="B116" s="95"/>
      <c r="C116" s="96"/>
      <c r="D116" s="97"/>
      <c r="E116" s="113"/>
      <c r="F116" s="90"/>
      <c r="G116" s="91"/>
      <c r="H116" s="92"/>
      <c r="I116" s="105"/>
      <c r="J116" s="83"/>
      <c r="K116" s="83"/>
      <c r="L116" s="12"/>
      <c r="M116" s="28"/>
      <c r="N116" s="14"/>
      <c r="O116" s="11"/>
      <c r="P116" s="11"/>
      <c r="Q116" s="16"/>
      <c r="R116" s="2"/>
      <c r="S116" s="12"/>
      <c r="T116" s="17"/>
      <c r="U116" s="2"/>
      <c r="V116" s="18"/>
      <c r="W116" s="16"/>
    </row>
    <row r="117" spans="2:23" ht="18" x14ac:dyDescent="0.35">
      <c r="B117" s="95"/>
      <c r="C117" s="96"/>
      <c r="D117" s="97"/>
      <c r="E117" s="113"/>
      <c r="F117" s="90"/>
      <c r="G117" s="91"/>
      <c r="H117" s="92"/>
      <c r="I117" s="105"/>
      <c r="J117" s="83"/>
      <c r="K117" s="83"/>
      <c r="L117" s="12"/>
      <c r="M117" s="28"/>
      <c r="N117" s="14"/>
      <c r="O117" s="11"/>
      <c r="P117" s="11"/>
      <c r="Q117" s="16"/>
      <c r="R117" s="2"/>
      <c r="S117" s="12"/>
      <c r="T117" s="17"/>
      <c r="U117" s="2"/>
      <c r="V117" s="18"/>
      <c r="W117" s="16"/>
    </row>
    <row r="118" spans="2:23" ht="18" x14ac:dyDescent="0.35">
      <c r="B118" s="95"/>
      <c r="C118" s="96"/>
      <c r="D118" s="97"/>
      <c r="E118" s="113"/>
      <c r="F118" s="90"/>
      <c r="G118" s="91"/>
      <c r="H118" s="92"/>
      <c r="I118" s="105"/>
      <c r="J118" s="83"/>
      <c r="K118" s="83"/>
      <c r="L118" s="12"/>
      <c r="M118" s="28"/>
      <c r="N118" s="14"/>
      <c r="O118" s="11"/>
      <c r="P118" s="11"/>
      <c r="Q118" s="16"/>
      <c r="R118" s="2"/>
      <c r="S118" s="12"/>
      <c r="T118" s="17"/>
      <c r="U118" s="2"/>
      <c r="V118" s="18"/>
      <c r="W118" s="16"/>
    </row>
    <row r="119" spans="2:23" ht="18" x14ac:dyDescent="0.35">
      <c r="B119" s="95"/>
      <c r="C119" s="96"/>
      <c r="D119" s="97"/>
      <c r="E119" s="113"/>
      <c r="F119" s="90"/>
      <c r="G119" s="91"/>
      <c r="H119" s="92"/>
      <c r="I119" s="105"/>
      <c r="J119" s="83"/>
      <c r="K119" s="83"/>
      <c r="L119" s="12"/>
      <c r="M119" s="28"/>
      <c r="N119" s="14"/>
      <c r="O119" s="11"/>
      <c r="P119" s="11"/>
      <c r="Q119" s="16"/>
      <c r="R119" s="2"/>
      <c r="S119" s="12"/>
      <c r="T119" s="17"/>
      <c r="U119" s="2"/>
      <c r="V119" s="18"/>
      <c r="W119" s="16"/>
    </row>
    <row r="120" spans="2:23" ht="18" x14ac:dyDescent="0.35">
      <c r="B120" s="95"/>
      <c r="C120" s="96"/>
      <c r="D120" s="97"/>
      <c r="E120" s="113"/>
      <c r="F120" s="90"/>
      <c r="G120" s="91"/>
      <c r="H120" s="92"/>
      <c r="I120" s="105"/>
      <c r="J120" s="83"/>
      <c r="K120" s="83"/>
      <c r="L120" s="12"/>
      <c r="M120" s="28"/>
      <c r="N120" s="14"/>
      <c r="O120" s="11"/>
      <c r="P120" s="11"/>
      <c r="Q120" s="16"/>
      <c r="R120" s="2"/>
      <c r="S120" s="12"/>
      <c r="T120" s="17"/>
      <c r="U120" s="2"/>
      <c r="V120" s="18"/>
      <c r="W120" s="16"/>
    </row>
    <row r="121" spans="2:23" ht="18" x14ac:dyDescent="0.35">
      <c r="B121" s="95"/>
      <c r="C121" s="96"/>
      <c r="D121" s="97"/>
      <c r="E121" s="113"/>
      <c r="F121" s="90"/>
      <c r="G121" s="91"/>
      <c r="H121" s="92"/>
      <c r="I121" s="105"/>
      <c r="J121" s="83"/>
      <c r="K121" s="83"/>
      <c r="L121" s="12"/>
      <c r="M121" s="28"/>
      <c r="N121" s="14"/>
      <c r="O121" s="11"/>
      <c r="P121" s="11"/>
      <c r="Q121" s="16"/>
      <c r="R121" s="2"/>
      <c r="S121" s="12"/>
      <c r="T121" s="17"/>
      <c r="U121" s="2"/>
      <c r="V121" s="18"/>
      <c r="W121" s="16"/>
    </row>
    <row r="122" spans="2:23" ht="18" x14ac:dyDescent="0.35">
      <c r="B122" s="95"/>
      <c r="C122" s="96"/>
      <c r="D122" s="97"/>
      <c r="E122" s="113"/>
      <c r="F122" s="99"/>
      <c r="G122" s="100"/>
      <c r="H122" s="101"/>
      <c r="I122" s="105"/>
      <c r="J122" s="83"/>
      <c r="K122" s="83"/>
      <c r="L122" s="12"/>
      <c r="M122" s="28"/>
      <c r="N122" s="14"/>
      <c r="O122" s="11"/>
      <c r="P122" s="11"/>
      <c r="Q122" s="16"/>
      <c r="R122" s="2"/>
      <c r="S122" s="12"/>
      <c r="T122" s="17"/>
      <c r="U122" s="2"/>
      <c r="V122" s="18"/>
      <c r="W122" s="16"/>
    </row>
    <row r="123" spans="2:23" ht="18" x14ac:dyDescent="0.35">
      <c r="B123" s="95"/>
      <c r="C123" s="96"/>
      <c r="D123" s="97"/>
      <c r="E123" s="113"/>
      <c r="F123" s="99"/>
      <c r="G123" s="100"/>
      <c r="H123" s="101"/>
      <c r="I123" s="105"/>
      <c r="J123" s="83"/>
      <c r="K123" s="83"/>
      <c r="L123" s="12"/>
      <c r="M123" s="28"/>
      <c r="N123" s="14"/>
      <c r="O123" s="11"/>
      <c r="P123" s="11"/>
      <c r="Q123" s="16"/>
      <c r="R123" s="2"/>
      <c r="S123" s="12"/>
      <c r="T123" s="17"/>
      <c r="U123" s="2"/>
      <c r="V123" s="18"/>
      <c r="W123" s="16"/>
    </row>
    <row r="124" spans="2:23" ht="18" x14ac:dyDescent="0.35">
      <c r="B124" s="95"/>
      <c r="C124" s="96"/>
      <c r="D124" s="97"/>
      <c r="E124" s="113"/>
      <c r="F124" s="99"/>
      <c r="G124" s="100"/>
      <c r="H124" s="101"/>
      <c r="I124" s="105"/>
      <c r="J124" s="83"/>
      <c r="K124" s="83"/>
      <c r="L124" s="12"/>
      <c r="M124" s="28"/>
      <c r="N124" s="14"/>
      <c r="O124" s="11"/>
      <c r="P124" s="11"/>
      <c r="Q124" s="16"/>
      <c r="R124" s="2"/>
      <c r="S124" s="12"/>
      <c r="T124" s="17"/>
      <c r="U124" s="2"/>
      <c r="V124" s="18"/>
      <c r="W124" s="16"/>
    </row>
    <row r="125" spans="2:23" ht="18" x14ac:dyDescent="0.35">
      <c r="B125" s="95"/>
      <c r="C125" s="96"/>
      <c r="D125" s="97"/>
      <c r="E125" s="113"/>
      <c r="F125" s="99"/>
      <c r="G125" s="100"/>
      <c r="H125" s="101"/>
      <c r="I125" s="105"/>
      <c r="J125" s="83"/>
      <c r="K125" s="83"/>
      <c r="L125" s="12"/>
      <c r="M125" s="28"/>
      <c r="N125" s="14"/>
      <c r="O125" s="11"/>
      <c r="P125" s="11"/>
      <c r="Q125" s="16"/>
      <c r="R125" s="2"/>
      <c r="S125" s="12"/>
      <c r="T125" s="17"/>
      <c r="U125" s="2"/>
      <c r="V125" s="18"/>
      <c r="W125" s="16"/>
    </row>
    <row r="126" spans="2:23" ht="18" x14ac:dyDescent="0.35">
      <c r="B126" s="95"/>
      <c r="C126" s="96"/>
      <c r="D126" s="97"/>
      <c r="E126" s="113"/>
      <c r="F126" s="99"/>
      <c r="G126" s="100"/>
      <c r="H126" s="101"/>
      <c r="I126" s="105"/>
      <c r="J126" s="83"/>
      <c r="K126" s="83"/>
      <c r="L126" s="12"/>
      <c r="M126" s="28"/>
      <c r="N126" s="14"/>
      <c r="O126" s="11"/>
      <c r="P126" s="11"/>
      <c r="Q126" s="16"/>
      <c r="R126" s="2"/>
      <c r="S126" s="12"/>
      <c r="T126" s="17"/>
      <c r="U126" s="2"/>
      <c r="V126" s="18"/>
      <c r="W126" s="16"/>
    </row>
    <row r="127" spans="2:23" ht="18" x14ac:dyDescent="0.35">
      <c r="B127" s="95"/>
      <c r="C127" s="96"/>
      <c r="D127" s="97"/>
      <c r="E127" s="113"/>
      <c r="F127" s="99"/>
      <c r="G127" s="100"/>
      <c r="H127" s="101"/>
      <c r="I127" s="105"/>
      <c r="J127" s="83"/>
      <c r="K127" s="83"/>
      <c r="L127" s="12"/>
      <c r="M127" s="28"/>
      <c r="N127" s="14"/>
      <c r="O127" s="11"/>
      <c r="P127" s="11"/>
      <c r="Q127" s="16"/>
      <c r="R127" s="2"/>
      <c r="S127" s="12"/>
      <c r="T127" s="17"/>
      <c r="U127" s="2"/>
      <c r="V127" s="18"/>
      <c r="W127" s="16"/>
    </row>
    <row r="128" spans="2:23" ht="18" x14ac:dyDescent="0.35">
      <c r="B128" s="95"/>
      <c r="C128" s="96"/>
      <c r="D128" s="97"/>
      <c r="E128" s="113"/>
      <c r="F128" s="99"/>
      <c r="G128" s="100"/>
      <c r="H128" s="101"/>
      <c r="I128" s="105"/>
      <c r="J128" s="83"/>
      <c r="K128" s="83"/>
      <c r="L128" s="12"/>
      <c r="M128" s="28"/>
      <c r="N128" s="14"/>
      <c r="O128" s="11"/>
      <c r="P128" s="11"/>
      <c r="Q128" s="16"/>
      <c r="R128" s="2"/>
      <c r="S128" s="12"/>
      <c r="T128" s="17"/>
      <c r="U128" s="2"/>
      <c r="V128" s="18"/>
      <c r="W128" s="16"/>
    </row>
    <row r="129" spans="1:23" ht="18.600000000000001" thickBot="1" x14ac:dyDescent="0.4">
      <c r="B129" s="114"/>
      <c r="C129" s="115"/>
      <c r="D129" s="116"/>
      <c r="E129" s="113"/>
      <c r="F129" s="117"/>
      <c r="G129" s="118"/>
      <c r="H129" s="119"/>
      <c r="I129" s="105"/>
      <c r="J129" s="83"/>
      <c r="K129" s="83"/>
      <c r="L129" s="30"/>
      <c r="M129" s="31"/>
      <c r="N129" s="32"/>
      <c r="O129" s="29"/>
      <c r="P129" s="29"/>
      <c r="Q129" s="33"/>
      <c r="R129" s="2"/>
      <c r="S129" s="30"/>
      <c r="T129" s="34"/>
      <c r="U129" s="2"/>
      <c r="V129" s="35"/>
      <c r="W129" s="33"/>
    </row>
    <row r="130" spans="1:23" ht="18.600000000000001" thickBot="1" x14ac:dyDescent="0.4">
      <c r="A130" s="120" t="s">
        <v>15</v>
      </c>
      <c r="B130" s="121">
        <f>SUM(B9:B129)</f>
        <v>462</v>
      </c>
      <c r="C130" s="122"/>
      <c r="D130" s="121"/>
      <c r="E130" s="123">
        <f>SUM(E9:E129)</f>
        <v>875.55000000000018</v>
      </c>
      <c r="F130" s="124">
        <f>SUM(F9:F129)</f>
        <v>202.64</v>
      </c>
      <c r="G130" s="82"/>
      <c r="H130" s="125"/>
      <c r="I130" s="125">
        <f>SUM(I9:I129)</f>
        <v>5199.7000000000007</v>
      </c>
      <c r="J130" s="83"/>
      <c r="K130" s="83"/>
      <c r="L130" s="126"/>
      <c r="M130" s="126">
        <f>SUM(M9:M129)</f>
        <v>0</v>
      </c>
      <c r="N130" s="127">
        <f>SUM(N9:N129)</f>
        <v>0</v>
      </c>
      <c r="O130" s="82"/>
      <c r="P130" s="82">
        <f>SUM(P9:P129)</f>
        <v>0</v>
      </c>
      <c r="Q130" s="128">
        <f>SUM(Q9:Q129)</f>
        <v>0</v>
      </c>
      <c r="R130" s="83"/>
      <c r="S130" s="84"/>
      <c r="T130" s="129">
        <f>SUM(T9:T129)</f>
        <v>400</v>
      </c>
      <c r="U130" s="83"/>
      <c r="V130" s="82"/>
      <c r="W130" s="130">
        <f>SUM(W9:W129)</f>
        <v>0</v>
      </c>
    </row>
  </sheetData>
  <sheetProtection algorithmName="SHA-512" hashValue="Zurz1Ogbs42PfQYPz6mveFsIi+ZWU4aJUDuZBuJhBfs28Hucdz4pluchDV/3xOEZ+Ykmgn6dTQKvz2aT/D86XQ==" saltValue="xcaiALfhUXLVciTvVeyf/A==" spinCount="100000" sheet="1" objects="1" scenarios="1"/>
  <mergeCells count="8">
    <mergeCell ref="V5:W5"/>
    <mergeCell ref="Y5:Z5"/>
    <mergeCell ref="E1:G1"/>
    <mergeCell ref="B2:C2"/>
    <mergeCell ref="B3:C3"/>
    <mergeCell ref="B5:I5"/>
    <mergeCell ref="L5:Q5"/>
    <mergeCell ref="S5:T5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97D56-BA7E-47B4-8A26-423EC41FE4A7}">
  <sheetPr codeName="Sheet55"/>
  <dimension ref="A1:Z130"/>
  <sheetViews>
    <sheetView topLeftCell="P1" zoomScale="80" zoomScaleNormal="80" workbookViewId="0">
      <selection activeCell="V13" sqref="V13"/>
    </sheetView>
  </sheetViews>
  <sheetFormatPr defaultColWidth="9.109375" defaultRowHeight="14.4" x14ac:dyDescent="0.3"/>
  <cols>
    <col min="1" max="1" width="15.5546875" style="36" customWidth="1"/>
    <col min="2" max="2" width="15.88671875" style="36" customWidth="1"/>
    <col min="3" max="3" width="20" style="76" customWidth="1"/>
    <col min="4" max="4" width="20.33203125" style="36" customWidth="1"/>
    <col min="5" max="5" width="22.33203125" style="36" customWidth="1"/>
    <col min="6" max="6" width="14.6640625" style="36" customWidth="1"/>
    <col min="7" max="7" width="22" style="76" customWidth="1"/>
    <col min="8" max="8" width="18.88671875" style="36" customWidth="1"/>
    <col min="9" max="9" width="23" style="36" customWidth="1"/>
    <col min="10" max="11" width="9.109375" style="36"/>
    <col min="12" max="12" width="20.6640625" style="76" customWidth="1"/>
    <col min="13" max="13" width="15.44140625" style="76" customWidth="1"/>
    <col min="14" max="14" width="22.6640625" style="36" customWidth="1"/>
    <col min="15" max="15" width="20.5546875" style="76" customWidth="1"/>
    <col min="16" max="16" width="13.33203125" style="76" customWidth="1"/>
    <col min="17" max="17" width="21.5546875" style="76" customWidth="1"/>
    <col min="18" max="18" width="9.109375" style="36"/>
    <col min="19" max="19" width="22" style="76" customWidth="1"/>
    <col min="20" max="20" width="22.33203125" style="76" customWidth="1"/>
    <col min="21" max="21" width="9.109375" style="36"/>
    <col min="22" max="22" width="21.88671875" style="76" customWidth="1"/>
    <col min="23" max="23" width="23.109375" style="76" customWidth="1"/>
    <col min="24" max="24" width="9.109375" style="36"/>
    <col min="25" max="25" width="21.33203125" style="36" customWidth="1"/>
    <col min="26" max="26" width="21.88671875" style="36" customWidth="1"/>
    <col min="27" max="16384" width="9.109375" style="36"/>
  </cols>
  <sheetData>
    <row r="1" spans="2:26" ht="21" x14ac:dyDescent="0.4">
      <c r="E1" s="189">
        <v>44169</v>
      </c>
      <c r="F1" s="189"/>
      <c r="G1" s="189"/>
    </row>
    <row r="2" spans="2:26" ht="18" x14ac:dyDescent="0.35">
      <c r="B2" s="190" t="s">
        <v>0</v>
      </c>
      <c r="C2" s="190"/>
      <c r="D2" s="1">
        <v>8870</v>
      </c>
    </row>
    <row r="3" spans="2:26" ht="18" x14ac:dyDescent="0.35">
      <c r="B3" s="190" t="s">
        <v>1</v>
      </c>
      <c r="C3" s="190"/>
      <c r="D3" s="77">
        <f>(D2-E130-I130)</f>
        <v>477.54999999999927</v>
      </c>
    </row>
    <row r="5" spans="2:26" ht="36.6" x14ac:dyDescent="0.7">
      <c r="B5" s="187" t="s">
        <v>2</v>
      </c>
      <c r="C5" s="187"/>
      <c r="D5" s="187"/>
      <c r="E5" s="187"/>
      <c r="F5" s="187"/>
      <c r="G5" s="187"/>
      <c r="H5" s="187"/>
      <c r="I5" s="187"/>
      <c r="L5" s="187" t="s">
        <v>3</v>
      </c>
      <c r="M5" s="187"/>
      <c r="N5" s="187"/>
      <c r="O5" s="187"/>
      <c r="P5" s="187"/>
      <c r="Q5" s="187"/>
      <c r="S5" s="191" t="s">
        <v>4</v>
      </c>
      <c r="T5" s="191"/>
      <c r="V5" s="187" t="s">
        <v>5</v>
      </c>
      <c r="W5" s="187"/>
      <c r="Y5" s="188" t="s">
        <v>105</v>
      </c>
      <c r="Z5" s="187"/>
    </row>
    <row r="7" spans="2:26" ht="15" thickBot="1" x14ac:dyDescent="0.35"/>
    <row r="8" spans="2:26" ht="18.600000000000001" thickBot="1" x14ac:dyDescent="0.4">
      <c r="B8" s="78" t="s">
        <v>6</v>
      </c>
      <c r="C8" s="79" t="s">
        <v>7</v>
      </c>
      <c r="D8" s="78" t="s">
        <v>8</v>
      </c>
      <c r="E8" s="80" t="s">
        <v>9</v>
      </c>
      <c r="F8" s="81" t="s">
        <v>6</v>
      </c>
      <c r="G8" s="81" t="s">
        <v>10</v>
      </c>
      <c r="H8" s="81" t="s">
        <v>8</v>
      </c>
      <c r="I8" s="82" t="s">
        <v>9</v>
      </c>
      <c r="J8" s="83"/>
      <c r="K8" s="83"/>
      <c r="L8" s="84" t="s">
        <v>11</v>
      </c>
      <c r="M8" s="84" t="s">
        <v>6</v>
      </c>
      <c r="N8" s="84" t="s">
        <v>9</v>
      </c>
      <c r="O8" s="82" t="s">
        <v>12</v>
      </c>
      <c r="P8" s="82" t="s">
        <v>6</v>
      </c>
      <c r="Q8" s="82" t="s">
        <v>9</v>
      </c>
      <c r="R8" s="83"/>
      <c r="S8" s="84" t="s">
        <v>13</v>
      </c>
      <c r="T8" s="85" t="s">
        <v>9</v>
      </c>
      <c r="U8" s="83"/>
      <c r="V8" s="82" t="s">
        <v>14</v>
      </c>
      <c r="W8" s="82" t="s">
        <v>9</v>
      </c>
      <c r="Y8" s="146" t="s">
        <v>106</v>
      </c>
      <c r="Z8" s="147" t="s">
        <v>107</v>
      </c>
    </row>
    <row r="9" spans="2:26" ht="18" x14ac:dyDescent="0.35">
      <c r="B9" s="86">
        <v>10.5</v>
      </c>
      <c r="C9" s="87" t="s">
        <v>76</v>
      </c>
      <c r="D9" s="88">
        <v>2.4</v>
      </c>
      <c r="E9" s="89">
        <v>25.2</v>
      </c>
      <c r="F9" s="90">
        <v>6</v>
      </c>
      <c r="G9" s="91" t="s">
        <v>23</v>
      </c>
      <c r="H9" s="92">
        <v>55</v>
      </c>
      <c r="I9" s="93">
        <v>330</v>
      </c>
      <c r="J9" s="83"/>
      <c r="K9" s="83"/>
      <c r="L9" s="3"/>
      <c r="M9" s="4"/>
      <c r="N9" s="5"/>
      <c r="O9" s="6"/>
      <c r="P9" s="7"/>
      <c r="Q9" s="8"/>
      <c r="R9" s="2"/>
      <c r="S9" s="3" t="s">
        <v>120</v>
      </c>
      <c r="T9" s="9">
        <v>400</v>
      </c>
      <c r="U9" s="2"/>
      <c r="V9" s="10" t="s">
        <v>121</v>
      </c>
      <c r="W9" s="8">
        <v>1350</v>
      </c>
      <c r="Y9" s="148" t="s">
        <v>88</v>
      </c>
      <c r="Z9" s="151">
        <f>SUMIF($C$9:$C$129, Y9, $B$9:$B$129)</f>
        <v>102.5</v>
      </c>
    </row>
    <row r="10" spans="2:26" ht="18" x14ac:dyDescent="0.35">
      <c r="B10" s="95">
        <v>2</v>
      </c>
      <c r="C10" s="96" t="s">
        <v>76</v>
      </c>
      <c r="D10" s="97">
        <v>2.4</v>
      </c>
      <c r="E10" s="98">
        <v>4.8</v>
      </c>
      <c r="F10" s="90">
        <v>0.6</v>
      </c>
      <c r="G10" s="91" t="s">
        <v>90</v>
      </c>
      <c r="H10" s="92">
        <v>90</v>
      </c>
      <c r="I10" s="93">
        <v>54</v>
      </c>
      <c r="J10" s="83"/>
      <c r="K10" s="83"/>
      <c r="L10" s="12"/>
      <c r="M10" s="13"/>
      <c r="N10" s="14"/>
      <c r="O10" s="11"/>
      <c r="P10" s="15"/>
      <c r="Q10" s="16"/>
      <c r="R10" s="2"/>
      <c r="S10" s="12"/>
      <c r="T10" s="17"/>
      <c r="U10" s="2"/>
      <c r="V10" s="18" t="s">
        <v>122</v>
      </c>
      <c r="W10" s="8">
        <v>1250</v>
      </c>
      <c r="Y10" s="149" t="s">
        <v>76</v>
      </c>
      <c r="Z10" s="151">
        <f t="shared" ref="Z10:Z11" si="0">SUMIF($C$9:$C$129, Y10, $B$9:$B$129)</f>
        <v>110</v>
      </c>
    </row>
    <row r="11" spans="2:26" ht="18" x14ac:dyDescent="0.35">
      <c r="B11" s="95">
        <v>16</v>
      </c>
      <c r="C11" s="96" t="s">
        <v>77</v>
      </c>
      <c r="D11" s="97">
        <v>2.1</v>
      </c>
      <c r="E11" s="98">
        <v>33.6</v>
      </c>
      <c r="F11" s="90">
        <v>0.5</v>
      </c>
      <c r="G11" s="91" t="s">
        <v>90</v>
      </c>
      <c r="H11" s="92">
        <v>90</v>
      </c>
      <c r="I11" s="93">
        <v>45</v>
      </c>
      <c r="J11" s="83"/>
      <c r="K11" s="83"/>
      <c r="L11" s="12"/>
      <c r="M11" s="13"/>
      <c r="N11" s="14"/>
      <c r="O11" s="11"/>
      <c r="P11" s="15"/>
      <c r="Q11" s="16"/>
      <c r="R11" s="2"/>
      <c r="S11" s="12"/>
      <c r="T11" s="17"/>
      <c r="U11" s="2"/>
      <c r="V11" s="18"/>
      <c r="W11" s="8"/>
      <c r="Y11" s="149" t="s">
        <v>77</v>
      </c>
      <c r="Z11" s="151">
        <f t="shared" si="0"/>
        <v>323.5</v>
      </c>
    </row>
    <row r="12" spans="2:26" ht="18" x14ac:dyDescent="0.35">
      <c r="B12" s="95">
        <v>4</v>
      </c>
      <c r="C12" s="96" t="s">
        <v>76</v>
      </c>
      <c r="D12" s="97">
        <v>2.4</v>
      </c>
      <c r="E12" s="98">
        <v>9.6</v>
      </c>
      <c r="F12" s="90">
        <v>1</v>
      </c>
      <c r="G12" s="91" t="s">
        <v>94</v>
      </c>
      <c r="H12" s="92">
        <v>10</v>
      </c>
      <c r="I12" s="93">
        <v>10</v>
      </c>
      <c r="J12" s="83"/>
      <c r="K12" s="83"/>
      <c r="L12" s="12"/>
      <c r="M12" s="13"/>
      <c r="N12" s="14"/>
      <c r="O12" s="11"/>
      <c r="P12" s="15"/>
      <c r="Q12" s="16"/>
      <c r="R12" s="2"/>
      <c r="S12" s="12"/>
      <c r="T12" s="17"/>
      <c r="U12" s="2"/>
      <c r="V12" s="18"/>
      <c r="W12" s="8"/>
      <c r="Y12" s="149" t="s">
        <v>89</v>
      </c>
      <c r="Z12" s="152">
        <f>SUMIF($G$9:$G$129, Y12, $F$9:$F$129)</f>
        <v>0</v>
      </c>
    </row>
    <row r="13" spans="2:26" ht="18" x14ac:dyDescent="0.35">
      <c r="B13" s="95">
        <v>2.5</v>
      </c>
      <c r="C13" s="96" t="s">
        <v>76</v>
      </c>
      <c r="D13" s="97">
        <v>2.4</v>
      </c>
      <c r="E13" s="98">
        <v>6</v>
      </c>
      <c r="F13" s="90">
        <v>0.5</v>
      </c>
      <c r="G13" s="91" t="s">
        <v>90</v>
      </c>
      <c r="H13" s="92">
        <v>90</v>
      </c>
      <c r="I13" s="93">
        <v>45</v>
      </c>
      <c r="J13" s="83"/>
      <c r="K13" s="83"/>
      <c r="L13" s="12"/>
      <c r="M13" s="13"/>
      <c r="N13" s="14"/>
      <c r="O13" s="11"/>
      <c r="P13" s="15"/>
      <c r="Q13" s="16"/>
      <c r="R13" s="2"/>
      <c r="S13" s="12"/>
      <c r="T13" s="17"/>
      <c r="U13" s="2"/>
      <c r="V13" s="18"/>
      <c r="W13" s="8"/>
      <c r="Y13" s="149" t="s">
        <v>20</v>
      </c>
      <c r="Z13" s="152">
        <f t="shared" ref="Z13:Z76" si="1">SUMIF($G$9:$G$129, Y13, $F$9:$F$129)</f>
        <v>17</v>
      </c>
    </row>
    <row r="14" spans="2:26" ht="18" x14ac:dyDescent="0.35">
      <c r="B14" s="95">
        <v>5.5</v>
      </c>
      <c r="C14" s="96" t="s">
        <v>77</v>
      </c>
      <c r="D14" s="97">
        <v>2.1</v>
      </c>
      <c r="E14" s="98">
        <v>11.55</v>
      </c>
      <c r="F14" s="90">
        <v>1</v>
      </c>
      <c r="G14" s="91" t="s">
        <v>18</v>
      </c>
      <c r="H14" s="92">
        <v>10</v>
      </c>
      <c r="I14" s="93">
        <v>10</v>
      </c>
      <c r="J14" s="83"/>
      <c r="K14" s="83"/>
      <c r="L14" s="12"/>
      <c r="M14" s="13"/>
      <c r="N14" s="14"/>
      <c r="O14" s="11"/>
      <c r="P14" s="15"/>
      <c r="Q14" s="16"/>
      <c r="R14" s="2"/>
      <c r="S14" s="12"/>
      <c r="T14" s="17"/>
      <c r="U14" s="2"/>
      <c r="V14" s="18"/>
      <c r="W14" s="8"/>
      <c r="Y14" s="149" t="s">
        <v>19</v>
      </c>
      <c r="Z14" s="152">
        <f t="shared" si="1"/>
        <v>0</v>
      </c>
    </row>
    <row r="15" spans="2:26" ht="18" x14ac:dyDescent="0.35">
      <c r="B15" s="95">
        <v>4.5</v>
      </c>
      <c r="C15" s="96" t="s">
        <v>76</v>
      </c>
      <c r="D15" s="97">
        <v>2.4</v>
      </c>
      <c r="E15" s="98">
        <v>10.799999999999999</v>
      </c>
      <c r="F15" s="90">
        <v>1.4</v>
      </c>
      <c r="G15" s="91" t="s">
        <v>18</v>
      </c>
      <c r="H15" s="92">
        <v>10</v>
      </c>
      <c r="I15" s="93">
        <v>14</v>
      </c>
      <c r="J15" s="83"/>
      <c r="K15" s="83"/>
      <c r="L15" s="12"/>
      <c r="M15" s="13"/>
      <c r="N15" s="14"/>
      <c r="O15" s="11"/>
      <c r="P15" s="15"/>
      <c r="Q15" s="16"/>
      <c r="R15" s="2"/>
      <c r="S15" s="12"/>
      <c r="T15" s="17"/>
      <c r="U15" s="2"/>
      <c r="V15" s="18"/>
      <c r="W15" s="8"/>
      <c r="Y15" s="149" t="s">
        <v>18</v>
      </c>
      <c r="Z15" s="152">
        <f t="shared" si="1"/>
        <v>58</v>
      </c>
    </row>
    <row r="16" spans="2:26" ht="18" x14ac:dyDescent="0.35">
      <c r="B16" s="95">
        <v>15</v>
      </c>
      <c r="C16" s="96" t="s">
        <v>77</v>
      </c>
      <c r="D16" s="97">
        <v>2.1</v>
      </c>
      <c r="E16" s="98">
        <v>31.5</v>
      </c>
      <c r="F16" s="90">
        <v>4.5999999999999996</v>
      </c>
      <c r="G16" s="91" t="s">
        <v>18</v>
      </c>
      <c r="H16" s="92">
        <v>10</v>
      </c>
      <c r="I16" s="93">
        <v>46</v>
      </c>
      <c r="J16" s="83"/>
      <c r="K16" s="83"/>
      <c r="L16" s="12"/>
      <c r="M16" s="13"/>
      <c r="N16" s="14"/>
      <c r="O16" s="11"/>
      <c r="P16" s="15"/>
      <c r="Q16" s="16"/>
      <c r="R16" s="2"/>
      <c r="S16" s="12"/>
      <c r="T16" s="17"/>
      <c r="U16" s="2"/>
      <c r="V16" s="18"/>
      <c r="W16" s="8"/>
      <c r="Y16" s="149" t="s">
        <v>22</v>
      </c>
      <c r="Z16" s="152">
        <f t="shared" si="1"/>
        <v>9</v>
      </c>
    </row>
    <row r="17" spans="2:26" ht="18" x14ac:dyDescent="0.35">
      <c r="B17" s="95">
        <v>1</v>
      </c>
      <c r="C17" s="96" t="s">
        <v>77</v>
      </c>
      <c r="D17" s="97">
        <v>2.1</v>
      </c>
      <c r="E17" s="98">
        <v>2.1</v>
      </c>
      <c r="F17" s="90">
        <v>0.5</v>
      </c>
      <c r="G17" s="91" t="s">
        <v>90</v>
      </c>
      <c r="H17" s="92">
        <v>90</v>
      </c>
      <c r="I17" s="93">
        <v>45</v>
      </c>
      <c r="J17" s="83"/>
      <c r="K17" s="83"/>
      <c r="L17" s="12"/>
      <c r="M17" s="13"/>
      <c r="N17" s="14"/>
      <c r="O17" s="11"/>
      <c r="P17" s="15"/>
      <c r="Q17" s="16"/>
      <c r="R17" s="2"/>
      <c r="S17" s="12"/>
      <c r="T17" s="17"/>
      <c r="U17" s="2"/>
      <c r="V17" s="18"/>
      <c r="W17" s="8"/>
      <c r="Y17" s="149" t="s">
        <v>67</v>
      </c>
      <c r="Z17" s="152">
        <f t="shared" si="1"/>
        <v>10.5</v>
      </c>
    </row>
    <row r="18" spans="2:26" ht="18" x14ac:dyDescent="0.35">
      <c r="B18" s="95">
        <v>3</v>
      </c>
      <c r="C18" s="96" t="s">
        <v>77</v>
      </c>
      <c r="D18" s="97">
        <v>2.1</v>
      </c>
      <c r="E18" s="98">
        <v>6.3000000000000007</v>
      </c>
      <c r="F18" s="90">
        <v>0.5</v>
      </c>
      <c r="G18" s="91" t="s">
        <v>94</v>
      </c>
      <c r="H18" s="92">
        <v>10</v>
      </c>
      <c r="I18" s="93">
        <v>5</v>
      </c>
      <c r="J18" s="83"/>
      <c r="K18" s="83"/>
      <c r="L18" s="12"/>
      <c r="M18" s="13"/>
      <c r="N18" s="14"/>
      <c r="O18" s="11"/>
      <c r="P18" s="15"/>
      <c r="Q18" s="16"/>
      <c r="R18" s="2"/>
      <c r="S18" s="12"/>
      <c r="T18" s="17"/>
      <c r="U18" s="2"/>
      <c r="V18" s="18"/>
      <c r="W18" s="8"/>
      <c r="Y18" s="149" t="s">
        <v>90</v>
      </c>
      <c r="Z18" s="152">
        <f t="shared" si="1"/>
        <v>19.200000000000003</v>
      </c>
    </row>
    <row r="19" spans="2:26" ht="18" x14ac:dyDescent="0.35">
      <c r="B19" s="95">
        <v>6</v>
      </c>
      <c r="C19" s="96" t="s">
        <v>77</v>
      </c>
      <c r="D19" s="97">
        <v>2.1</v>
      </c>
      <c r="E19" s="98">
        <v>12.600000000000001</v>
      </c>
      <c r="F19" s="90">
        <v>0.5</v>
      </c>
      <c r="G19" s="91" t="s">
        <v>23</v>
      </c>
      <c r="H19" s="92">
        <v>55</v>
      </c>
      <c r="I19" s="93">
        <v>27.5</v>
      </c>
      <c r="J19" s="83"/>
      <c r="K19" s="83"/>
      <c r="L19" s="12"/>
      <c r="M19" s="13"/>
      <c r="N19" s="14"/>
      <c r="O19" s="11"/>
      <c r="P19" s="15"/>
      <c r="Q19" s="16"/>
      <c r="R19" s="2"/>
      <c r="S19" s="12"/>
      <c r="T19" s="17"/>
      <c r="U19" s="2"/>
      <c r="V19" s="18"/>
      <c r="W19" s="8"/>
      <c r="Y19" s="149" t="s">
        <v>91</v>
      </c>
      <c r="Z19" s="152">
        <f t="shared" si="1"/>
        <v>0.5</v>
      </c>
    </row>
    <row r="20" spans="2:26" ht="18" x14ac:dyDescent="0.35">
      <c r="B20" s="95">
        <v>11</v>
      </c>
      <c r="C20" s="96" t="s">
        <v>88</v>
      </c>
      <c r="D20" s="97">
        <v>0.9</v>
      </c>
      <c r="E20" s="98">
        <v>9.9</v>
      </c>
      <c r="F20" s="90">
        <v>0.5</v>
      </c>
      <c r="G20" s="91" t="s">
        <v>92</v>
      </c>
      <c r="H20" s="92">
        <v>75</v>
      </c>
      <c r="I20" s="93">
        <v>37.5</v>
      </c>
      <c r="J20" s="83"/>
      <c r="K20" s="83"/>
      <c r="L20" s="12"/>
      <c r="M20" s="13"/>
      <c r="N20" s="14"/>
      <c r="O20" s="11"/>
      <c r="P20" s="15"/>
      <c r="Q20" s="16"/>
      <c r="R20" s="2"/>
      <c r="S20" s="12"/>
      <c r="T20" s="17"/>
      <c r="U20" s="2"/>
      <c r="V20" s="18"/>
      <c r="W20" s="8"/>
      <c r="Y20" s="149" t="s">
        <v>92</v>
      </c>
      <c r="Z20" s="152">
        <f t="shared" si="1"/>
        <v>2.5</v>
      </c>
    </row>
    <row r="21" spans="2:26" ht="18" x14ac:dyDescent="0.35">
      <c r="B21" s="95">
        <v>8.5</v>
      </c>
      <c r="C21" s="96" t="s">
        <v>77</v>
      </c>
      <c r="D21" s="97">
        <v>2.1</v>
      </c>
      <c r="E21" s="98">
        <v>17.850000000000001</v>
      </c>
      <c r="F21" s="90">
        <v>1.5</v>
      </c>
      <c r="G21" s="91" t="s">
        <v>90</v>
      </c>
      <c r="H21" s="92">
        <v>90</v>
      </c>
      <c r="I21" s="93">
        <v>135</v>
      </c>
      <c r="J21" s="83"/>
      <c r="K21" s="83"/>
      <c r="L21" s="12"/>
      <c r="M21" s="13"/>
      <c r="N21" s="14"/>
      <c r="O21" s="11"/>
      <c r="P21" s="15"/>
      <c r="Q21" s="16"/>
      <c r="R21" s="2"/>
      <c r="S21" s="12"/>
      <c r="T21" s="17"/>
      <c r="U21" s="2"/>
      <c r="V21" s="18"/>
      <c r="W21" s="8"/>
      <c r="Y21" s="149" t="s">
        <v>68</v>
      </c>
      <c r="Z21" s="152">
        <f t="shared" si="1"/>
        <v>0</v>
      </c>
    </row>
    <row r="22" spans="2:26" ht="18" x14ac:dyDescent="0.35">
      <c r="B22" s="95">
        <v>3</v>
      </c>
      <c r="C22" s="96" t="s">
        <v>76</v>
      </c>
      <c r="D22" s="97">
        <v>2.4</v>
      </c>
      <c r="E22" s="98">
        <v>7.1999999999999993</v>
      </c>
      <c r="F22" s="90">
        <v>0.5</v>
      </c>
      <c r="G22" s="91" t="s">
        <v>18</v>
      </c>
      <c r="H22" s="92">
        <v>10</v>
      </c>
      <c r="I22" s="93">
        <v>5</v>
      </c>
      <c r="J22" s="83"/>
      <c r="K22" s="83"/>
      <c r="L22" s="12"/>
      <c r="M22" s="13"/>
      <c r="N22" s="14"/>
      <c r="O22" s="11"/>
      <c r="P22" s="15"/>
      <c r="Q22" s="16"/>
      <c r="R22" s="2"/>
      <c r="S22" s="12"/>
      <c r="T22" s="17"/>
      <c r="U22" s="2"/>
      <c r="V22" s="18"/>
      <c r="W22" s="8"/>
      <c r="Y22" s="149" t="s">
        <v>93</v>
      </c>
      <c r="Z22" s="152">
        <f t="shared" si="1"/>
        <v>0</v>
      </c>
    </row>
    <row r="23" spans="2:26" ht="18" x14ac:dyDescent="0.35">
      <c r="B23" s="95">
        <v>4.5</v>
      </c>
      <c r="C23" s="96" t="s">
        <v>76</v>
      </c>
      <c r="D23" s="97">
        <v>2.4</v>
      </c>
      <c r="E23" s="98">
        <v>10.799999999999999</v>
      </c>
      <c r="F23" s="90">
        <v>4.5</v>
      </c>
      <c r="G23" s="91" t="s">
        <v>94</v>
      </c>
      <c r="H23" s="92">
        <v>10</v>
      </c>
      <c r="I23" s="93">
        <v>45</v>
      </c>
      <c r="J23" s="83"/>
      <c r="K23" s="83"/>
      <c r="L23" s="12"/>
      <c r="M23" s="13"/>
      <c r="N23" s="14"/>
      <c r="O23" s="11"/>
      <c r="P23" s="15"/>
      <c r="Q23" s="16"/>
      <c r="R23" s="2"/>
      <c r="S23" s="12"/>
      <c r="T23" s="17"/>
      <c r="U23" s="2"/>
      <c r="V23" s="18"/>
      <c r="W23" s="8"/>
      <c r="Y23" s="149" t="s">
        <v>23</v>
      </c>
      <c r="Z23" s="152">
        <f t="shared" si="1"/>
        <v>16.600000000000001</v>
      </c>
    </row>
    <row r="24" spans="2:26" ht="18" x14ac:dyDescent="0.35">
      <c r="B24" s="95">
        <v>46</v>
      </c>
      <c r="C24" s="96" t="s">
        <v>88</v>
      </c>
      <c r="D24" s="97">
        <v>0.9</v>
      </c>
      <c r="E24" s="98">
        <v>41.4</v>
      </c>
      <c r="F24" s="90">
        <v>2</v>
      </c>
      <c r="G24" s="91" t="s">
        <v>67</v>
      </c>
      <c r="H24" s="92">
        <v>92</v>
      </c>
      <c r="I24" s="93">
        <v>184</v>
      </c>
      <c r="J24" s="83"/>
      <c r="K24" s="83"/>
      <c r="L24" s="12"/>
      <c r="M24" s="13"/>
      <c r="N24" s="14"/>
      <c r="O24" s="11"/>
      <c r="P24" s="15"/>
      <c r="Q24" s="16"/>
      <c r="R24" s="2"/>
      <c r="S24" s="12"/>
      <c r="T24" s="17"/>
      <c r="U24" s="2"/>
      <c r="V24" s="18"/>
      <c r="W24" s="8"/>
      <c r="Y24" s="149" t="s">
        <v>24</v>
      </c>
      <c r="Z24" s="152">
        <f t="shared" si="1"/>
        <v>0</v>
      </c>
    </row>
    <row r="25" spans="2:26" ht="18" x14ac:dyDescent="0.35">
      <c r="B25" s="95">
        <v>23.5</v>
      </c>
      <c r="C25" s="96" t="s">
        <v>88</v>
      </c>
      <c r="D25" s="97">
        <v>0.9</v>
      </c>
      <c r="E25" s="98">
        <v>21.150000000000002</v>
      </c>
      <c r="F25" s="90">
        <v>1</v>
      </c>
      <c r="G25" s="91" t="s">
        <v>92</v>
      </c>
      <c r="H25" s="92">
        <v>75</v>
      </c>
      <c r="I25" s="93">
        <v>75</v>
      </c>
      <c r="J25" s="83"/>
      <c r="K25" s="83"/>
      <c r="L25" s="12"/>
      <c r="M25" s="13"/>
      <c r="N25" s="14"/>
      <c r="O25" s="11"/>
      <c r="P25" s="15"/>
      <c r="Q25" s="16"/>
      <c r="R25" s="2"/>
      <c r="S25" s="12"/>
      <c r="T25" s="17"/>
      <c r="U25" s="2"/>
      <c r="V25" s="18"/>
      <c r="W25" s="8"/>
      <c r="Y25" s="149" t="s">
        <v>25</v>
      </c>
      <c r="Z25" s="152">
        <f t="shared" si="1"/>
        <v>35</v>
      </c>
    </row>
    <row r="26" spans="2:26" ht="18" x14ac:dyDescent="0.35">
      <c r="B26" s="95">
        <v>25.5</v>
      </c>
      <c r="C26" s="96" t="s">
        <v>76</v>
      </c>
      <c r="D26" s="97">
        <v>2.4</v>
      </c>
      <c r="E26" s="98">
        <v>61.199999999999996</v>
      </c>
      <c r="F26" s="90">
        <v>3.5</v>
      </c>
      <c r="G26" s="91" t="s">
        <v>94</v>
      </c>
      <c r="H26" s="92">
        <v>10</v>
      </c>
      <c r="I26" s="93">
        <v>35</v>
      </c>
      <c r="J26" s="83"/>
      <c r="K26" s="83"/>
      <c r="L26" s="12"/>
      <c r="M26" s="13"/>
      <c r="N26" s="14"/>
      <c r="O26" s="11"/>
      <c r="P26" s="15"/>
      <c r="Q26" s="16"/>
      <c r="R26" s="2"/>
      <c r="S26" s="12"/>
      <c r="T26" s="17"/>
      <c r="U26" s="2"/>
      <c r="V26" s="18"/>
      <c r="W26" s="8"/>
      <c r="Y26" s="149" t="s">
        <v>98</v>
      </c>
      <c r="Z26" s="152">
        <f t="shared" si="1"/>
        <v>0</v>
      </c>
    </row>
    <row r="27" spans="2:26" ht="18" x14ac:dyDescent="0.35">
      <c r="B27" s="95">
        <v>24</v>
      </c>
      <c r="C27" s="96" t="s">
        <v>76</v>
      </c>
      <c r="D27" s="97">
        <v>2.4</v>
      </c>
      <c r="E27" s="98">
        <v>57.599999999999994</v>
      </c>
      <c r="F27" s="90">
        <v>16.5</v>
      </c>
      <c r="G27" s="91" t="s">
        <v>18</v>
      </c>
      <c r="H27" s="92">
        <v>10</v>
      </c>
      <c r="I27" s="93">
        <v>165</v>
      </c>
      <c r="J27" s="83"/>
      <c r="K27" s="83"/>
      <c r="L27" s="12"/>
      <c r="M27" s="13"/>
      <c r="N27" s="14"/>
      <c r="O27" s="11"/>
      <c r="P27" s="15"/>
      <c r="Q27" s="16"/>
      <c r="R27" s="2"/>
      <c r="S27" s="12"/>
      <c r="T27" s="17"/>
      <c r="U27" s="2"/>
      <c r="V27" s="18"/>
      <c r="W27" s="8"/>
      <c r="Y27" s="149" t="s">
        <v>94</v>
      </c>
      <c r="Z27" s="152">
        <f t="shared" si="1"/>
        <v>29.5</v>
      </c>
    </row>
    <row r="28" spans="2:26" ht="18" x14ac:dyDescent="0.35">
      <c r="B28" s="95">
        <v>30</v>
      </c>
      <c r="C28" s="96" t="s">
        <v>77</v>
      </c>
      <c r="D28" s="97">
        <v>2.1</v>
      </c>
      <c r="E28" s="98">
        <v>63</v>
      </c>
      <c r="F28" s="90">
        <v>0.5</v>
      </c>
      <c r="G28" s="91" t="s">
        <v>84</v>
      </c>
      <c r="H28" s="92">
        <v>5</v>
      </c>
      <c r="I28" s="93">
        <v>2.5</v>
      </c>
      <c r="J28" s="83"/>
      <c r="K28" s="83"/>
      <c r="L28" s="12"/>
      <c r="M28" s="13"/>
      <c r="N28" s="14"/>
      <c r="O28" s="11"/>
      <c r="P28" s="15"/>
      <c r="Q28" s="16"/>
      <c r="R28" s="2"/>
      <c r="S28" s="12"/>
      <c r="T28" s="17"/>
      <c r="U28" s="2"/>
      <c r="V28" s="18"/>
      <c r="W28" s="8"/>
      <c r="Y28" s="149" t="s">
        <v>42</v>
      </c>
      <c r="Z28" s="152">
        <f t="shared" si="1"/>
        <v>0</v>
      </c>
    </row>
    <row r="29" spans="2:26" ht="18" x14ac:dyDescent="0.35">
      <c r="B29" s="95">
        <v>15</v>
      </c>
      <c r="C29" s="96" t="s">
        <v>88</v>
      </c>
      <c r="D29" s="97">
        <v>0.9</v>
      </c>
      <c r="E29" s="98">
        <v>13.5</v>
      </c>
      <c r="F29" s="90">
        <v>2</v>
      </c>
      <c r="G29" s="91" t="s">
        <v>90</v>
      </c>
      <c r="H29" s="92">
        <v>90</v>
      </c>
      <c r="I29" s="93">
        <v>180</v>
      </c>
      <c r="J29" s="83"/>
      <c r="K29" s="83"/>
      <c r="L29" s="12"/>
      <c r="M29" s="13"/>
      <c r="N29" s="14"/>
      <c r="O29" s="11"/>
      <c r="P29" s="15"/>
      <c r="Q29" s="16"/>
      <c r="R29" s="2"/>
      <c r="S29" s="12"/>
      <c r="T29" s="17"/>
      <c r="U29" s="2"/>
      <c r="V29" s="18"/>
      <c r="W29" s="8"/>
      <c r="Y29" s="149" t="s">
        <v>39</v>
      </c>
      <c r="Z29" s="152">
        <f t="shared" si="1"/>
        <v>0</v>
      </c>
    </row>
    <row r="30" spans="2:26" ht="18" x14ac:dyDescent="0.35">
      <c r="B30" s="95">
        <v>3.5</v>
      </c>
      <c r="C30" s="96" t="s">
        <v>76</v>
      </c>
      <c r="D30" s="97">
        <v>2.4</v>
      </c>
      <c r="E30" s="98">
        <v>8.4</v>
      </c>
      <c r="F30" s="90">
        <v>1</v>
      </c>
      <c r="G30" s="91" t="s">
        <v>18</v>
      </c>
      <c r="H30" s="92">
        <v>10</v>
      </c>
      <c r="I30" s="93">
        <v>10</v>
      </c>
      <c r="J30" s="83"/>
      <c r="K30" s="83"/>
      <c r="L30" s="12"/>
      <c r="M30" s="13"/>
      <c r="N30" s="14"/>
      <c r="O30" s="11"/>
      <c r="P30" s="15"/>
      <c r="Q30" s="16"/>
      <c r="R30" s="2"/>
      <c r="S30" s="12"/>
      <c r="T30" s="17"/>
      <c r="U30" s="2"/>
      <c r="V30" s="18"/>
      <c r="W30" s="8"/>
      <c r="Y30" s="149" t="s">
        <v>99</v>
      </c>
      <c r="Z30" s="152">
        <f t="shared" si="1"/>
        <v>0</v>
      </c>
    </row>
    <row r="31" spans="2:26" ht="18" x14ac:dyDescent="0.35">
      <c r="B31" s="95">
        <v>3</v>
      </c>
      <c r="C31" s="96" t="s">
        <v>77</v>
      </c>
      <c r="D31" s="97">
        <v>2.1</v>
      </c>
      <c r="E31" s="98">
        <v>6.3000000000000007</v>
      </c>
      <c r="F31" s="90">
        <v>1</v>
      </c>
      <c r="G31" s="91" t="s">
        <v>94</v>
      </c>
      <c r="H31" s="92">
        <v>10</v>
      </c>
      <c r="I31" s="93">
        <v>10</v>
      </c>
      <c r="J31" s="83"/>
      <c r="K31" s="83"/>
      <c r="L31" s="12"/>
      <c r="M31" s="13"/>
      <c r="N31" s="14"/>
      <c r="O31" s="11"/>
      <c r="P31" s="15"/>
      <c r="Q31" s="16"/>
      <c r="R31" s="2"/>
      <c r="S31" s="12"/>
      <c r="T31" s="17"/>
      <c r="U31" s="2"/>
      <c r="V31" s="18"/>
      <c r="W31" s="8"/>
      <c r="Y31" s="149" t="s">
        <v>95</v>
      </c>
      <c r="Z31" s="152">
        <f t="shared" si="1"/>
        <v>0</v>
      </c>
    </row>
    <row r="32" spans="2:26" ht="18" x14ac:dyDescent="0.35">
      <c r="B32" s="95">
        <v>7</v>
      </c>
      <c r="C32" s="96" t="s">
        <v>88</v>
      </c>
      <c r="D32" s="97">
        <v>0.9</v>
      </c>
      <c r="E32" s="98">
        <v>6.3</v>
      </c>
      <c r="F32" s="90">
        <v>0.5</v>
      </c>
      <c r="G32" s="91" t="s">
        <v>92</v>
      </c>
      <c r="H32" s="92">
        <v>75</v>
      </c>
      <c r="I32" s="93">
        <v>37.5</v>
      </c>
      <c r="J32" s="83"/>
      <c r="K32" s="83"/>
      <c r="L32" s="12"/>
      <c r="M32" s="13"/>
      <c r="N32" s="14"/>
      <c r="O32" s="11"/>
      <c r="P32" s="15"/>
      <c r="Q32" s="16"/>
      <c r="R32" s="2"/>
      <c r="S32" s="12"/>
      <c r="T32" s="17"/>
      <c r="U32" s="2"/>
      <c r="V32" s="18"/>
      <c r="W32" s="8"/>
      <c r="Y32" s="149" t="s">
        <v>97</v>
      </c>
      <c r="Z32" s="152">
        <f t="shared" si="1"/>
        <v>0</v>
      </c>
    </row>
    <row r="33" spans="2:26" ht="18" x14ac:dyDescent="0.35">
      <c r="B33" s="95">
        <v>36</v>
      </c>
      <c r="C33" s="96" t="s">
        <v>77</v>
      </c>
      <c r="D33" s="97">
        <v>2.1</v>
      </c>
      <c r="E33" s="98">
        <v>75.600000000000009</v>
      </c>
      <c r="F33" s="90">
        <v>2</v>
      </c>
      <c r="G33" s="91" t="s">
        <v>18</v>
      </c>
      <c r="H33" s="92">
        <v>10</v>
      </c>
      <c r="I33" s="93">
        <v>20</v>
      </c>
      <c r="J33" s="83"/>
      <c r="K33" s="83"/>
      <c r="L33" s="12"/>
      <c r="M33" s="13"/>
      <c r="N33" s="14"/>
      <c r="O33" s="11"/>
      <c r="P33" s="15"/>
      <c r="Q33" s="16"/>
      <c r="R33" s="2"/>
      <c r="S33" s="12"/>
      <c r="T33" s="17"/>
      <c r="U33" s="2"/>
      <c r="V33" s="18"/>
      <c r="W33" s="8"/>
      <c r="Y33" s="149" t="s">
        <v>43</v>
      </c>
      <c r="Z33" s="152">
        <f t="shared" si="1"/>
        <v>0</v>
      </c>
    </row>
    <row r="34" spans="2:26" ht="18" x14ac:dyDescent="0.35">
      <c r="B34" s="95">
        <v>3</v>
      </c>
      <c r="C34" s="96" t="s">
        <v>77</v>
      </c>
      <c r="D34" s="97">
        <v>2.1</v>
      </c>
      <c r="E34" s="98">
        <v>6.3000000000000007</v>
      </c>
      <c r="F34" s="90">
        <v>4.5</v>
      </c>
      <c r="G34" s="91" t="s">
        <v>90</v>
      </c>
      <c r="H34" s="92">
        <v>90</v>
      </c>
      <c r="I34" s="93">
        <v>405</v>
      </c>
      <c r="J34" s="83"/>
      <c r="K34" s="83"/>
      <c r="L34" s="12"/>
      <c r="M34" s="13"/>
      <c r="N34" s="14"/>
      <c r="O34" s="11"/>
      <c r="P34" s="15"/>
      <c r="Q34" s="16"/>
      <c r="R34" s="2"/>
      <c r="S34" s="12"/>
      <c r="T34" s="17"/>
      <c r="U34" s="2"/>
      <c r="V34" s="18"/>
      <c r="W34" s="8"/>
      <c r="Y34" s="149" t="s">
        <v>32</v>
      </c>
      <c r="Z34" s="152">
        <f t="shared" si="1"/>
        <v>0</v>
      </c>
    </row>
    <row r="35" spans="2:26" ht="18" x14ac:dyDescent="0.35">
      <c r="B35" s="95">
        <v>5.5</v>
      </c>
      <c r="C35" s="96" t="s">
        <v>76</v>
      </c>
      <c r="D35" s="97">
        <v>2.4</v>
      </c>
      <c r="E35" s="98">
        <v>13.2</v>
      </c>
      <c r="F35" s="90">
        <v>0.4</v>
      </c>
      <c r="G35" s="91" t="s">
        <v>23</v>
      </c>
      <c r="H35" s="92">
        <v>55</v>
      </c>
      <c r="I35" s="93">
        <v>22</v>
      </c>
      <c r="J35" s="83"/>
      <c r="K35" s="83"/>
      <c r="L35" s="12"/>
      <c r="M35" s="13"/>
      <c r="N35" s="14"/>
      <c r="O35" s="11"/>
      <c r="P35" s="15"/>
      <c r="Q35" s="16"/>
      <c r="R35" s="2"/>
      <c r="S35" s="12"/>
      <c r="T35" s="17"/>
      <c r="U35" s="2"/>
      <c r="V35" s="18"/>
      <c r="W35" s="8"/>
      <c r="Y35" s="149" t="s">
        <v>33</v>
      </c>
      <c r="Z35" s="152">
        <f t="shared" si="1"/>
        <v>0</v>
      </c>
    </row>
    <row r="36" spans="2:26" ht="18" x14ac:dyDescent="0.35">
      <c r="B36" s="95">
        <v>20.5</v>
      </c>
      <c r="C36" s="96" t="s">
        <v>76</v>
      </c>
      <c r="D36" s="97">
        <v>2.4</v>
      </c>
      <c r="E36" s="98">
        <v>49.199999999999996</v>
      </c>
      <c r="F36" s="90">
        <v>0.5</v>
      </c>
      <c r="G36" s="91" t="s">
        <v>92</v>
      </c>
      <c r="H36" s="92">
        <v>75</v>
      </c>
      <c r="I36" s="93">
        <v>37.5</v>
      </c>
      <c r="J36" s="83"/>
      <c r="K36" s="83"/>
      <c r="L36" s="12"/>
      <c r="M36" s="13"/>
      <c r="N36" s="14"/>
      <c r="O36" s="11"/>
      <c r="P36" s="15"/>
      <c r="Q36" s="16"/>
      <c r="R36" s="2"/>
      <c r="S36" s="12"/>
      <c r="T36" s="17"/>
      <c r="U36" s="2"/>
      <c r="V36" s="18"/>
      <c r="W36" s="8"/>
      <c r="Y36" s="149" t="s">
        <v>30</v>
      </c>
      <c r="Z36" s="152">
        <f t="shared" si="1"/>
        <v>0</v>
      </c>
    </row>
    <row r="37" spans="2:26" ht="18" x14ac:dyDescent="0.35">
      <c r="B37" s="95">
        <v>196.5</v>
      </c>
      <c r="C37" s="96" t="s">
        <v>77</v>
      </c>
      <c r="D37" s="97">
        <v>2.1</v>
      </c>
      <c r="E37" s="98">
        <v>412.65000000000003</v>
      </c>
      <c r="F37" s="90">
        <v>17</v>
      </c>
      <c r="G37" s="91" t="s">
        <v>20</v>
      </c>
      <c r="H37" s="92">
        <v>1</v>
      </c>
      <c r="I37" s="93">
        <v>17</v>
      </c>
      <c r="J37" s="83"/>
      <c r="K37" s="83"/>
      <c r="L37" s="12"/>
      <c r="M37" s="13"/>
      <c r="N37" s="14"/>
      <c r="O37" s="11"/>
      <c r="P37" s="15"/>
      <c r="Q37" s="16"/>
      <c r="R37" s="2"/>
      <c r="S37" s="12"/>
      <c r="T37" s="17"/>
      <c r="U37" s="2"/>
      <c r="V37" s="18"/>
      <c r="W37" s="8"/>
      <c r="Y37" s="149" t="s">
        <v>31</v>
      </c>
      <c r="Z37" s="152">
        <f t="shared" si="1"/>
        <v>0</v>
      </c>
    </row>
    <row r="38" spans="2:26" ht="18" x14ac:dyDescent="0.35">
      <c r="B38" s="95"/>
      <c r="C38" s="96"/>
      <c r="D38" s="97"/>
      <c r="E38" s="98"/>
      <c r="F38" s="90">
        <v>0.5</v>
      </c>
      <c r="G38" s="91" t="s">
        <v>23</v>
      </c>
      <c r="H38" s="92">
        <v>55</v>
      </c>
      <c r="I38" s="93">
        <v>27.5</v>
      </c>
      <c r="J38" s="83"/>
      <c r="K38" s="83"/>
      <c r="L38" s="12"/>
      <c r="M38" s="13"/>
      <c r="N38" s="14"/>
      <c r="O38" s="11"/>
      <c r="P38" s="15"/>
      <c r="Q38" s="16"/>
      <c r="R38" s="2"/>
      <c r="S38" s="12"/>
      <c r="T38" s="17"/>
      <c r="U38" s="2"/>
      <c r="V38" s="18"/>
      <c r="W38" s="8"/>
      <c r="Y38" s="149" t="s">
        <v>84</v>
      </c>
      <c r="Z38" s="152">
        <f t="shared" si="1"/>
        <v>4</v>
      </c>
    </row>
    <row r="39" spans="2:26" ht="18" x14ac:dyDescent="0.35">
      <c r="B39" s="95"/>
      <c r="C39" s="96"/>
      <c r="D39" s="97"/>
      <c r="E39" s="98"/>
      <c r="F39" s="90">
        <v>1.5</v>
      </c>
      <c r="G39" s="91" t="s">
        <v>94</v>
      </c>
      <c r="H39" s="92">
        <v>10</v>
      </c>
      <c r="I39" s="93">
        <v>15</v>
      </c>
      <c r="J39" s="83"/>
      <c r="K39" s="83"/>
      <c r="L39" s="12"/>
      <c r="M39" s="13"/>
      <c r="N39" s="14"/>
      <c r="O39" s="11"/>
      <c r="P39" s="15"/>
      <c r="Q39" s="16"/>
      <c r="R39" s="2"/>
      <c r="S39" s="12"/>
      <c r="T39" s="17"/>
      <c r="U39" s="2"/>
      <c r="V39" s="18"/>
      <c r="W39" s="8"/>
      <c r="Y39" s="149" t="s">
        <v>85</v>
      </c>
      <c r="Z39" s="152">
        <f t="shared" si="1"/>
        <v>0.5</v>
      </c>
    </row>
    <row r="40" spans="2:26" ht="18" x14ac:dyDescent="0.35">
      <c r="B40" s="95"/>
      <c r="C40" s="96"/>
      <c r="D40" s="97"/>
      <c r="E40" s="98"/>
      <c r="F40" s="90">
        <v>0.5</v>
      </c>
      <c r="G40" s="91" t="s">
        <v>84</v>
      </c>
      <c r="H40" s="92">
        <v>5</v>
      </c>
      <c r="I40" s="93">
        <v>2.5</v>
      </c>
      <c r="J40" s="83"/>
      <c r="K40" s="83"/>
      <c r="L40" s="12"/>
      <c r="M40" s="13"/>
      <c r="N40" s="14"/>
      <c r="O40" s="11"/>
      <c r="P40" s="15"/>
      <c r="Q40" s="16"/>
      <c r="R40" s="2"/>
      <c r="S40" s="12"/>
      <c r="T40" s="17"/>
      <c r="U40" s="2"/>
      <c r="V40" s="18"/>
      <c r="W40" s="8"/>
      <c r="Y40" s="149" t="s">
        <v>86</v>
      </c>
      <c r="Z40" s="152">
        <f t="shared" si="1"/>
        <v>0</v>
      </c>
    </row>
    <row r="41" spans="2:26" ht="18" x14ac:dyDescent="0.35">
      <c r="B41" s="95"/>
      <c r="C41" s="96"/>
      <c r="D41" s="97"/>
      <c r="E41" s="98"/>
      <c r="F41" s="90">
        <v>0.5</v>
      </c>
      <c r="G41" s="91" t="s">
        <v>85</v>
      </c>
      <c r="H41" s="92">
        <v>10</v>
      </c>
      <c r="I41" s="93">
        <v>5</v>
      </c>
      <c r="J41" s="83"/>
      <c r="K41" s="83"/>
      <c r="L41" s="12"/>
      <c r="M41" s="13"/>
      <c r="N41" s="14"/>
      <c r="O41" s="11"/>
      <c r="P41" s="15"/>
      <c r="Q41" s="16"/>
      <c r="R41" s="2"/>
      <c r="S41" s="12"/>
      <c r="T41" s="17"/>
      <c r="U41" s="2"/>
      <c r="V41" s="18"/>
      <c r="W41" s="8"/>
      <c r="Y41" s="149" t="s">
        <v>87</v>
      </c>
      <c r="Z41" s="152">
        <f t="shared" si="1"/>
        <v>0</v>
      </c>
    </row>
    <row r="42" spans="2:26" ht="18" x14ac:dyDescent="0.35">
      <c r="B42" s="95"/>
      <c r="C42" s="96"/>
      <c r="D42" s="97"/>
      <c r="E42" s="98"/>
      <c r="F42" s="90">
        <v>2</v>
      </c>
      <c r="G42" s="91" t="s">
        <v>84</v>
      </c>
      <c r="H42" s="92">
        <v>5</v>
      </c>
      <c r="I42" s="93">
        <v>10</v>
      </c>
      <c r="J42" s="83"/>
      <c r="K42" s="83"/>
      <c r="L42" s="12"/>
      <c r="M42" s="13"/>
      <c r="N42" s="14"/>
      <c r="O42" s="11"/>
      <c r="P42" s="15"/>
      <c r="Q42" s="16"/>
      <c r="R42" s="2"/>
      <c r="S42" s="12"/>
      <c r="T42" s="17"/>
      <c r="U42" s="2"/>
      <c r="V42" s="18"/>
      <c r="W42" s="8"/>
      <c r="Y42" s="149" t="s">
        <v>46</v>
      </c>
      <c r="Z42" s="152">
        <f t="shared" si="1"/>
        <v>0</v>
      </c>
    </row>
    <row r="43" spans="2:26" ht="18" x14ac:dyDescent="0.35">
      <c r="B43" s="95"/>
      <c r="C43" s="96"/>
      <c r="D43" s="97"/>
      <c r="E43" s="98"/>
      <c r="F43" s="90">
        <v>2</v>
      </c>
      <c r="G43" s="91" t="s">
        <v>67</v>
      </c>
      <c r="H43" s="92">
        <v>92</v>
      </c>
      <c r="I43" s="93">
        <v>184</v>
      </c>
      <c r="J43" s="83"/>
      <c r="K43" s="83"/>
      <c r="L43" s="12"/>
      <c r="M43" s="13"/>
      <c r="N43" s="14"/>
      <c r="O43" s="11"/>
      <c r="P43" s="15"/>
      <c r="Q43" s="16"/>
      <c r="R43" s="2"/>
      <c r="S43" s="12"/>
      <c r="T43" s="17"/>
      <c r="U43" s="2"/>
      <c r="V43" s="18"/>
      <c r="W43" s="8"/>
      <c r="Y43" s="149" t="s">
        <v>47</v>
      </c>
      <c r="Z43" s="152">
        <f t="shared" si="1"/>
        <v>0</v>
      </c>
    </row>
    <row r="44" spans="2:26" ht="18" x14ac:dyDescent="0.35">
      <c r="B44" s="95"/>
      <c r="C44" s="96"/>
      <c r="D44" s="97"/>
      <c r="E44" s="98"/>
      <c r="F44" s="90">
        <v>0.5</v>
      </c>
      <c r="G44" s="91" t="s">
        <v>91</v>
      </c>
      <c r="H44" s="92">
        <v>88</v>
      </c>
      <c r="I44" s="93">
        <v>44</v>
      </c>
      <c r="J44" s="83"/>
      <c r="K44" s="83"/>
      <c r="L44" s="12"/>
      <c r="M44" s="13"/>
      <c r="N44" s="14"/>
      <c r="O44" s="11"/>
      <c r="P44" s="15"/>
      <c r="Q44" s="16"/>
      <c r="R44" s="2"/>
      <c r="S44" s="12"/>
      <c r="T44" s="17"/>
      <c r="U44" s="2"/>
      <c r="V44" s="18"/>
      <c r="W44" s="8"/>
      <c r="Y44" s="149" t="s">
        <v>48</v>
      </c>
      <c r="Z44" s="152">
        <f t="shared" si="1"/>
        <v>2</v>
      </c>
    </row>
    <row r="45" spans="2:26" ht="18" x14ac:dyDescent="0.35">
      <c r="B45" s="95"/>
      <c r="C45" s="96"/>
      <c r="D45" s="97"/>
      <c r="E45" s="98"/>
      <c r="F45" s="90">
        <v>1</v>
      </c>
      <c r="G45" s="91" t="s">
        <v>23</v>
      </c>
      <c r="H45" s="92">
        <v>55</v>
      </c>
      <c r="I45" s="93">
        <v>55</v>
      </c>
      <c r="J45" s="83"/>
      <c r="K45" s="83"/>
      <c r="L45" s="12"/>
      <c r="M45" s="13"/>
      <c r="N45" s="14"/>
      <c r="O45" s="11"/>
      <c r="P45" s="15"/>
      <c r="Q45" s="16"/>
      <c r="R45" s="2"/>
      <c r="S45" s="12"/>
      <c r="T45" s="17"/>
      <c r="U45" s="2"/>
      <c r="V45" s="18"/>
      <c r="W45" s="8"/>
      <c r="Y45" s="149" t="s">
        <v>83</v>
      </c>
      <c r="Z45" s="152">
        <f t="shared" si="1"/>
        <v>0</v>
      </c>
    </row>
    <row r="46" spans="2:26" ht="18" x14ac:dyDescent="0.35">
      <c r="B46" s="95"/>
      <c r="C46" s="96"/>
      <c r="D46" s="97"/>
      <c r="E46" s="98"/>
      <c r="F46" s="90">
        <v>2.5</v>
      </c>
      <c r="G46" s="91" t="s">
        <v>23</v>
      </c>
      <c r="H46" s="92">
        <v>55</v>
      </c>
      <c r="I46" s="93">
        <v>137.5</v>
      </c>
      <c r="J46" s="83"/>
      <c r="K46" s="83"/>
      <c r="L46" s="12"/>
      <c r="M46" s="13"/>
      <c r="N46" s="14"/>
      <c r="O46" s="11"/>
      <c r="P46" s="15"/>
      <c r="Q46" s="16"/>
      <c r="R46" s="2"/>
      <c r="S46" s="12"/>
      <c r="T46" s="17"/>
      <c r="U46" s="2"/>
      <c r="V46" s="18"/>
      <c r="W46" s="8"/>
      <c r="Y46" s="149" t="s">
        <v>96</v>
      </c>
      <c r="Z46" s="152">
        <f t="shared" si="1"/>
        <v>53</v>
      </c>
    </row>
    <row r="47" spans="2:26" ht="18" x14ac:dyDescent="0.35">
      <c r="B47" s="95"/>
      <c r="C47" s="96"/>
      <c r="D47" s="97"/>
      <c r="E47" s="98"/>
      <c r="F47" s="90">
        <v>0.5</v>
      </c>
      <c r="G47" s="91" t="s">
        <v>96</v>
      </c>
      <c r="H47" s="92">
        <v>12</v>
      </c>
      <c r="I47" s="93">
        <v>6</v>
      </c>
      <c r="J47" s="83"/>
      <c r="K47" s="83"/>
      <c r="L47" s="12"/>
      <c r="M47" s="13"/>
      <c r="N47" s="14"/>
      <c r="O47" s="11"/>
      <c r="P47" s="15"/>
      <c r="Q47" s="16"/>
      <c r="R47" s="2"/>
      <c r="S47" s="12"/>
      <c r="T47" s="17"/>
      <c r="U47" s="2"/>
      <c r="V47" s="18"/>
      <c r="W47" s="8"/>
      <c r="Y47" s="149" t="s">
        <v>73</v>
      </c>
      <c r="Z47" s="152">
        <f t="shared" si="1"/>
        <v>3.5</v>
      </c>
    </row>
    <row r="48" spans="2:26" ht="18" x14ac:dyDescent="0.35">
      <c r="B48" s="95"/>
      <c r="C48" s="96"/>
      <c r="D48" s="97"/>
      <c r="E48" s="98"/>
      <c r="F48" s="90">
        <v>6.5</v>
      </c>
      <c r="G48" s="91" t="s">
        <v>90</v>
      </c>
      <c r="H48" s="92">
        <v>90</v>
      </c>
      <c r="I48" s="93">
        <v>585</v>
      </c>
      <c r="J48" s="83"/>
      <c r="K48" s="83"/>
      <c r="L48" s="12"/>
      <c r="M48" s="13"/>
      <c r="N48" s="14"/>
      <c r="O48" s="11"/>
      <c r="P48" s="15"/>
      <c r="Q48" s="16"/>
      <c r="R48" s="2"/>
      <c r="S48" s="12"/>
      <c r="T48" s="17"/>
      <c r="U48" s="2"/>
      <c r="V48" s="18"/>
      <c r="W48" s="8"/>
      <c r="Y48" s="149" t="s">
        <v>74</v>
      </c>
      <c r="Z48" s="152">
        <f t="shared" si="1"/>
        <v>0</v>
      </c>
    </row>
    <row r="49" spans="2:26" ht="18" x14ac:dyDescent="0.35">
      <c r="B49" s="95"/>
      <c r="C49" s="96"/>
      <c r="D49" s="97"/>
      <c r="E49" s="98"/>
      <c r="F49" s="90">
        <v>8.5</v>
      </c>
      <c r="G49" s="91" t="s">
        <v>94</v>
      </c>
      <c r="H49" s="92">
        <v>10</v>
      </c>
      <c r="I49" s="93">
        <v>85</v>
      </c>
      <c r="J49" s="83"/>
      <c r="K49" s="83"/>
      <c r="L49" s="12"/>
      <c r="M49" s="13"/>
      <c r="N49" s="14"/>
      <c r="O49" s="11"/>
      <c r="P49" s="15"/>
      <c r="Q49" s="16"/>
      <c r="R49" s="2"/>
      <c r="S49" s="12"/>
      <c r="T49" s="17"/>
      <c r="U49" s="2"/>
      <c r="V49" s="18"/>
      <c r="W49" s="8"/>
      <c r="Y49" s="149" t="s">
        <v>70</v>
      </c>
      <c r="Z49" s="152">
        <f t="shared" si="1"/>
        <v>0</v>
      </c>
    </row>
    <row r="50" spans="2:26" ht="18" x14ac:dyDescent="0.35">
      <c r="B50" s="95"/>
      <c r="C50" s="96"/>
      <c r="D50" s="97"/>
      <c r="E50" s="98"/>
      <c r="F50" s="90">
        <v>1</v>
      </c>
      <c r="G50" s="91" t="s">
        <v>52</v>
      </c>
      <c r="H50" s="92">
        <v>2</v>
      </c>
      <c r="I50" s="93">
        <v>2</v>
      </c>
      <c r="J50" s="83"/>
      <c r="K50" s="83"/>
      <c r="L50" s="12"/>
      <c r="M50" s="13"/>
      <c r="N50" s="14"/>
      <c r="O50" s="11"/>
      <c r="P50" s="15"/>
      <c r="Q50" s="16"/>
      <c r="R50" s="2"/>
      <c r="S50" s="12"/>
      <c r="T50" s="17"/>
      <c r="U50" s="2"/>
      <c r="V50" s="18"/>
      <c r="W50" s="8"/>
      <c r="Y50" s="149" t="s">
        <v>64</v>
      </c>
      <c r="Z50" s="152">
        <f t="shared" si="1"/>
        <v>0</v>
      </c>
    </row>
    <row r="51" spans="2:26" ht="18" x14ac:dyDescent="0.35">
      <c r="B51" s="95"/>
      <c r="C51" s="96"/>
      <c r="D51" s="97"/>
      <c r="E51" s="98"/>
      <c r="F51" s="90">
        <v>2.5</v>
      </c>
      <c r="G51" s="91" t="s">
        <v>23</v>
      </c>
      <c r="H51" s="92">
        <v>55</v>
      </c>
      <c r="I51" s="93">
        <v>137.5</v>
      </c>
      <c r="J51" s="83"/>
      <c r="K51" s="83"/>
      <c r="L51" s="12"/>
      <c r="M51" s="13"/>
      <c r="N51" s="14"/>
      <c r="O51" s="11"/>
      <c r="P51" s="15"/>
      <c r="Q51" s="16"/>
      <c r="R51" s="2"/>
      <c r="S51" s="12"/>
      <c r="T51" s="17"/>
      <c r="U51" s="2"/>
      <c r="V51" s="18"/>
      <c r="W51" s="8"/>
      <c r="Y51" s="149" t="s">
        <v>65</v>
      </c>
      <c r="Z51" s="152">
        <f t="shared" si="1"/>
        <v>0</v>
      </c>
    </row>
    <row r="52" spans="2:26" ht="18" x14ac:dyDescent="0.35">
      <c r="B52" s="95"/>
      <c r="C52" s="96"/>
      <c r="D52" s="97"/>
      <c r="E52" s="98"/>
      <c r="F52" s="90">
        <v>2</v>
      </c>
      <c r="G52" s="91" t="s">
        <v>94</v>
      </c>
      <c r="H52" s="92">
        <v>10</v>
      </c>
      <c r="I52" s="93">
        <v>20</v>
      </c>
      <c r="J52" s="83"/>
      <c r="K52" s="83"/>
      <c r="L52" s="12"/>
      <c r="M52" s="13"/>
      <c r="N52" s="14"/>
      <c r="O52" s="11"/>
      <c r="P52" s="15"/>
      <c r="Q52" s="16"/>
      <c r="R52" s="2"/>
      <c r="S52" s="12"/>
      <c r="T52" s="17"/>
      <c r="U52" s="2"/>
      <c r="V52" s="18"/>
      <c r="W52" s="8"/>
      <c r="Y52" s="149" t="s">
        <v>66</v>
      </c>
      <c r="Z52" s="152">
        <f t="shared" si="1"/>
        <v>0</v>
      </c>
    </row>
    <row r="53" spans="2:26" ht="18" x14ac:dyDescent="0.35">
      <c r="B53" s="95"/>
      <c r="C53" s="96"/>
      <c r="D53" s="97"/>
      <c r="E53" s="98"/>
      <c r="F53" s="90">
        <v>9</v>
      </c>
      <c r="G53" s="91" t="s">
        <v>18</v>
      </c>
      <c r="H53" s="92">
        <v>10</v>
      </c>
      <c r="I53" s="93">
        <v>90</v>
      </c>
      <c r="J53" s="83"/>
      <c r="K53" s="83"/>
      <c r="L53" s="12"/>
      <c r="M53" s="13"/>
      <c r="N53" s="14"/>
      <c r="O53" s="11"/>
      <c r="P53" s="15"/>
      <c r="Q53" s="16"/>
      <c r="R53" s="2"/>
      <c r="S53" s="12"/>
      <c r="T53" s="17"/>
      <c r="U53" s="2"/>
      <c r="V53" s="18"/>
      <c r="W53" s="8"/>
      <c r="Y53" s="149" t="s">
        <v>100</v>
      </c>
      <c r="Z53" s="152">
        <f t="shared" si="1"/>
        <v>0</v>
      </c>
    </row>
    <row r="54" spans="2:26" ht="18" x14ac:dyDescent="0.35">
      <c r="B54" s="95"/>
      <c r="C54" s="96"/>
      <c r="D54" s="97"/>
      <c r="E54" s="98"/>
      <c r="F54" s="90">
        <v>0.5</v>
      </c>
      <c r="G54" s="91" t="s">
        <v>90</v>
      </c>
      <c r="H54" s="92">
        <v>90</v>
      </c>
      <c r="I54" s="93">
        <v>45</v>
      </c>
      <c r="J54" s="83"/>
      <c r="K54" s="83"/>
      <c r="L54" s="12"/>
      <c r="M54" s="13"/>
      <c r="N54" s="14"/>
      <c r="O54" s="11"/>
      <c r="P54" s="15"/>
      <c r="Q54" s="16"/>
      <c r="R54" s="2"/>
      <c r="S54" s="12"/>
      <c r="T54" s="17"/>
      <c r="U54" s="2"/>
      <c r="V54" s="18"/>
      <c r="W54" s="8"/>
      <c r="Y54" s="149" t="s">
        <v>101</v>
      </c>
      <c r="Z54" s="152">
        <f t="shared" si="1"/>
        <v>34.5</v>
      </c>
    </row>
    <row r="55" spans="2:26" ht="18" x14ac:dyDescent="0.35">
      <c r="B55" s="95"/>
      <c r="C55" s="96"/>
      <c r="D55" s="97"/>
      <c r="E55" s="98"/>
      <c r="F55" s="90">
        <v>3</v>
      </c>
      <c r="G55" s="91" t="s">
        <v>18</v>
      </c>
      <c r="H55" s="92">
        <v>10</v>
      </c>
      <c r="I55" s="93">
        <v>30</v>
      </c>
      <c r="J55" s="83"/>
      <c r="K55" s="83"/>
      <c r="L55" s="12"/>
      <c r="M55" s="13"/>
      <c r="N55" s="14"/>
      <c r="O55" s="11"/>
      <c r="P55" s="15"/>
      <c r="Q55" s="16"/>
      <c r="R55" s="2"/>
      <c r="S55" s="12"/>
      <c r="T55" s="17"/>
      <c r="U55" s="2"/>
      <c r="V55" s="18"/>
      <c r="W55" s="8"/>
      <c r="Y55" s="149" t="s">
        <v>102</v>
      </c>
      <c r="Z55" s="152">
        <f t="shared" si="1"/>
        <v>0</v>
      </c>
    </row>
    <row r="56" spans="2:26" ht="18" x14ac:dyDescent="0.35">
      <c r="B56" s="95"/>
      <c r="C56" s="96"/>
      <c r="D56" s="97"/>
      <c r="E56" s="98"/>
      <c r="F56" s="90">
        <v>0.5</v>
      </c>
      <c r="G56" s="91" t="s">
        <v>94</v>
      </c>
      <c r="H56" s="92">
        <v>10</v>
      </c>
      <c r="I56" s="93">
        <v>5</v>
      </c>
      <c r="J56" s="83"/>
      <c r="K56" s="83"/>
      <c r="L56" s="12"/>
      <c r="M56" s="13"/>
      <c r="N56" s="14"/>
      <c r="O56" s="11"/>
      <c r="P56" s="15"/>
      <c r="Q56" s="16"/>
      <c r="R56" s="2"/>
      <c r="S56" s="12"/>
      <c r="T56" s="17"/>
      <c r="U56" s="2"/>
      <c r="V56" s="18"/>
      <c r="W56" s="8"/>
      <c r="Y56" s="149" t="s">
        <v>26</v>
      </c>
      <c r="Z56" s="152">
        <f t="shared" si="1"/>
        <v>0</v>
      </c>
    </row>
    <row r="57" spans="2:26" ht="18" x14ac:dyDescent="0.35">
      <c r="B57" s="95"/>
      <c r="C57" s="96"/>
      <c r="D57" s="97"/>
      <c r="E57" s="98"/>
      <c r="F57" s="90">
        <v>0.2</v>
      </c>
      <c r="G57" s="91" t="s">
        <v>23</v>
      </c>
      <c r="H57" s="92">
        <v>55</v>
      </c>
      <c r="I57" s="93">
        <v>11</v>
      </c>
      <c r="J57" s="83"/>
      <c r="K57" s="83"/>
      <c r="L57" s="12"/>
      <c r="M57" s="13"/>
      <c r="N57" s="14"/>
      <c r="O57" s="11"/>
      <c r="P57" s="15"/>
      <c r="Q57" s="16"/>
      <c r="R57" s="2"/>
      <c r="S57" s="12"/>
      <c r="T57" s="17"/>
      <c r="U57" s="2"/>
      <c r="V57" s="18"/>
      <c r="W57" s="8"/>
      <c r="Y57" s="149" t="s">
        <v>27</v>
      </c>
      <c r="Z57" s="152">
        <f t="shared" si="1"/>
        <v>0</v>
      </c>
    </row>
    <row r="58" spans="2:26" ht="18" x14ac:dyDescent="0.35">
      <c r="B58" s="95"/>
      <c r="C58" s="96"/>
      <c r="D58" s="97"/>
      <c r="E58" s="98"/>
      <c r="F58" s="90">
        <v>0.6</v>
      </c>
      <c r="G58" s="91" t="s">
        <v>90</v>
      </c>
      <c r="H58" s="92">
        <v>90</v>
      </c>
      <c r="I58" s="93">
        <v>54</v>
      </c>
      <c r="J58" s="83"/>
      <c r="K58" s="83"/>
      <c r="L58" s="12"/>
      <c r="M58" s="13"/>
      <c r="N58" s="14"/>
      <c r="O58" s="11"/>
      <c r="P58" s="15"/>
      <c r="Q58" s="16"/>
      <c r="R58" s="2"/>
      <c r="S58" s="12"/>
      <c r="T58" s="17"/>
      <c r="U58" s="2"/>
      <c r="V58" s="18"/>
      <c r="W58" s="8"/>
      <c r="Y58" s="149" t="s">
        <v>28</v>
      </c>
      <c r="Z58" s="152">
        <f t="shared" si="1"/>
        <v>0</v>
      </c>
    </row>
    <row r="59" spans="2:26" ht="18" x14ac:dyDescent="0.35">
      <c r="B59" s="95"/>
      <c r="C59" s="96"/>
      <c r="D59" s="97"/>
      <c r="E59" s="98"/>
      <c r="F59" s="90">
        <v>9</v>
      </c>
      <c r="G59" s="91" t="s">
        <v>22</v>
      </c>
      <c r="H59" s="92">
        <v>94</v>
      </c>
      <c r="I59" s="93">
        <v>846</v>
      </c>
      <c r="J59" s="83"/>
      <c r="K59" s="83"/>
      <c r="L59" s="12"/>
      <c r="M59" s="13"/>
      <c r="N59" s="14"/>
      <c r="O59" s="11"/>
      <c r="P59" s="15"/>
      <c r="Q59" s="16"/>
      <c r="R59" s="2"/>
      <c r="S59" s="12"/>
      <c r="T59" s="17"/>
      <c r="U59" s="2"/>
      <c r="V59" s="18"/>
      <c r="W59" s="8"/>
      <c r="Y59" s="149" t="s">
        <v>29</v>
      </c>
      <c r="Z59" s="152">
        <f t="shared" si="1"/>
        <v>0</v>
      </c>
    </row>
    <row r="60" spans="2:26" ht="18" x14ac:dyDescent="0.35">
      <c r="B60" s="95"/>
      <c r="C60" s="96"/>
      <c r="D60" s="97"/>
      <c r="E60" s="98"/>
      <c r="F60" s="90">
        <v>27.5</v>
      </c>
      <c r="G60" s="91" t="s">
        <v>96</v>
      </c>
      <c r="H60" s="92">
        <v>12</v>
      </c>
      <c r="I60" s="93">
        <v>330</v>
      </c>
      <c r="J60" s="83"/>
      <c r="K60" s="83"/>
      <c r="L60" s="12"/>
      <c r="M60" s="13"/>
      <c r="N60" s="14"/>
      <c r="O60" s="11"/>
      <c r="P60" s="15"/>
      <c r="Q60" s="16"/>
      <c r="R60" s="2"/>
      <c r="S60" s="12"/>
      <c r="T60" s="17"/>
      <c r="U60" s="2"/>
      <c r="V60" s="18"/>
      <c r="W60" s="8"/>
      <c r="Y60" s="149" t="s">
        <v>34</v>
      </c>
      <c r="Z60" s="152">
        <f t="shared" si="1"/>
        <v>0</v>
      </c>
    </row>
    <row r="61" spans="2:26" ht="18" x14ac:dyDescent="0.35">
      <c r="B61" s="95"/>
      <c r="C61" s="96"/>
      <c r="D61" s="97"/>
      <c r="E61" s="98"/>
      <c r="F61" s="90">
        <v>3</v>
      </c>
      <c r="G61" s="91" t="s">
        <v>94</v>
      </c>
      <c r="H61" s="92">
        <v>10</v>
      </c>
      <c r="I61" s="93">
        <v>30</v>
      </c>
      <c r="J61" s="83"/>
      <c r="K61" s="83"/>
      <c r="L61" s="12"/>
      <c r="M61" s="13"/>
      <c r="N61" s="14"/>
      <c r="O61" s="11"/>
      <c r="P61" s="15"/>
      <c r="Q61" s="16"/>
      <c r="R61" s="2"/>
      <c r="S61" s="12"/>
      <c r="T61" s="17"/>
      <c r="U61" s="2"/>
      <c r="V61" s="18"/>
      <c r="W61" s="8"/>
      <c r="Y61" s="149" t="s">
        <v>35</v>
      </c>
      <c r="Z61" s="152">
        <f t="shared" si="1"/>
        <v>0</v>
      </c>
    </row>
    <row r="62" spans="2:26" ht="18" x14ac:dyDescent="0.35">
      <c r="B62" s="95"/>
      <c r="C62" s="96"/>
      <c r="D62" s="97"/>
      <c r="E62" s="98"/>
      <c r="F62" s="90">
        <v>35</v>
      </c>
      <c r="G62" s="91" t="s">
        <v>25</v>
      </c>
      <c r="H62" s="92">
        <v>30</v>
      </c>
      <c r="I62" s="93">
        <v>1050</v>
      </c>
      <c r="J62" s="83"/>
      <c r="K62" s="83"/>
      <c r="L62" s="12"/>
      <c r="M62" s="13"/>
      <c r="N62" s="14"/>
      <c r="O62" s="11"/>
      <c r="P62" s="15"/>
      <c r="Q62" s="16"/>
      <c r="R62" s="2"/>
      <c r="S62" s="12"/>
      <c r="T62" s="17"/>
      <c r="U62" s="2"/>
      <c r="V62" s="18"/>
      <c r="W62" s="8"/>
      <c r="Y62" s="149" t="s">
        <v>36</v>
      </c>
      <c r="Z62" s="152">
        <f t="shared" si="1"/>
        <v>0</v>
      </c>
    </row>
    <row r="63" spans="2:26" ht="18" x14ac:dyDescent="0.35">
      <c r="B63" s="95"/>
      <c r="C63" s="96"/>
      <c r="D63" s="97"/>
      <c r="E63" s="98"/>
      <c r="F63" s="90">
        <v>34.5</v>
      </c>
      <c r="G63" s="91" t="s">
        <v>101</v>
      </c>
      <c r="H63" s="92">
        <v>1.3</v>
      </c>
      <c r="I63" s="93">
        <v>44.85</v>
      </c>
      <c r="J63" s="83"/>
      <c r="K63" s="83"/>
      <c r="L63" s="12"/>
      <c r="M63" s="13"/>
      <c r="N63" s="14"/>
      <c r="O63" s="11"/>
      <c r="P63" s="15"/>
      <c r="Q63" s="16"/>
      <c r="R63" s="2"/>
      <c r="S63" s="12"/>
      <c r="T63" s="17"/>
      <c r="U63" s="2"/>
      <c r="V63" s="18"/>
      <c r="W63" s="8"/>
      <c r="Y63" s="149" t="s">
        <v>37</v>
      </c>
      <c r="Z63" s="152">
        <f t="shared" si="1"/>
        <v>0</v>
      </c>
    </row>
    <row r="64" spans="2:26" ht="18" x14ac:dyDescent="0.35">
      <c r="B64" s="95"/>
      <c r="C64" s="96"/>
      <c r="D64" s="97"/>
      <c r="E64" s="98"/>
      <c r="F64" s="90">
        <v>1</v>
      </c>
      <c r="G64" s="91" t="s">
        <v>84</v>
      </c>
      <c r="H64" s="92">
        <v>5</v>
      </c>
      <c r="I64" s="93">
        <v>5</v>
      </c>
      <c r="J64" s="83"/>
      <c r="K64" s="83"/>
      <c r="L64" s="12"/>
      <c r="M64" s="13"/>
      <c r="N64" s="14"/>
      <c r="O64" s="11"/>
      <c r="P64" s="15"/>
      <c r="Q64" s="16"/>
      <c r="R64" s="2"/>
      <c r="S64" s="12"/>
      <c r="T64" s="17"/>
      <c r="U64" s="2"/>
      <c r="V64" s="18"/>
      <c r="W64" s="8"/>
      <c r="Y64" s="149" t="s">
        <v>38</v>
      </c>
      <c r="Z64" s="152">
        <f t="shared" si="1"/>
        <v>0</v>
      </c>
    </row>
    <row r="65" spans="2:26" ht="18" x14ac:dyDescent="0.35">
      <c r="B65" s="95"/>
      <c r="C65" s="96"/>
      <c r="D65" s="97"/>
      <c r="E65" s="98"/>
      <c r="F65" s="99">
        <v>1.5</v>
      </c>
      <c r="G65" s="100" t="s">
        <v>94</v>
      </c>
      <c r="H65" s="101">
        <v>10</v>
      </c>
      <c r="I65" s="102">
        <v>15</v>
      </c>
      <c r="J65" s="83"/>
      <c r="K65" s="83"/>
      <c r="L65" s="12"/>
      <c r="M65" s="13"/>
      <c r="N65" s="14"/>
      <c r="O65" s="11"/>
      <c r="P65" s="15"/>
      <c r="Q65" s="16"/>
      <c r="R65" s="2"/>
      <c r="S65" s="12"/>
      <c r="T65" s="17"/>
      <c r="U65" s="2"/>
      <c r="V65" s="18"/>
      <c r="W65" s="8"/>
      <c r="Y65" s="149" t="s">
        <v>40</v>
      </c>
      <c r="Z65" s="152">
        <f t="shared" si="1"/>
        <v>0</v>
      </c>
    </row>
    <row r="66" spans="2:26" ht="18" x14ac:dyDescent="0.35">
      <c r="B66" s="95"/>
      <c r="C66" s="96"/>
      <c r="D66" s="97"/>
      <c r="E66" s="98"/>
      <c r="F66" s="90">
        <v>3.5</v>
      </c>
      <c r="G66" s="91" t="s">
        <v>73</v>
      </c>
      <c r="H66" s="92">
        <v>3</v>
      </c>
      <c r="I66" s="93">
        <v>10.5</v>
      </c>
      <c r="J66" s="83"/>
      <c r="K66" s="83"/>
      <c r="L66" s="12"/>
      <c r="M66" s="13"/>
      <c r="N66" s="14"/>
      <c r="O66" s="11"/>
      <c r="P66" s="15"/>
      <c r="Q66" s="16"/>
      <c r="R66" s="2"/>
      <c r="S66" s="12"/>
      <c r="T66" s="17"/>
      <c r="U66" s="2"/>
      <c r="V66" s="18"/>
      <c r="W66" s="8"/>
      <c r="Y66" s="149" t="s">
        <v>41</v>
      </c>
      <c r="Z66" s="152">
        <f t="shared" si="1"/>
        <v>0</v>
      </c>
    </row>
    <row r="67" spans="2:26" ht="18" x14ac:dyDescent="0.35">
      <c r="B67" s="95"/>
      <c r="C67" s="96"/>
      <c r="D67" s="97"/>
      <c r="E67" s="98"/>
      <c r="F67" s="103">
        <v>2</v>
      </c>
      <c r="G67" s="94" t="s">
        <v>48</v>
      </c>
      <c r="H67" s="104">
        <v>6</v>
      </c>
      <c r="I67" s="105">
        <v>12</v>
      </c>
      <c r="J67" s="83"/>
      <c r="K67" s="83"/>
      <c r="L67" s="12"/>
      <c r="M67" s="13"/>
      <c r="N67" s="14"/>
      <c r="O67" s="11"/>
      <c r="P67" s="15"/>
      <c r="Q67" s="16"/>
      <c r="R67" s="2"/>
      <c r="S67" s="12"/>
      <c r="T67" s="17"/>
      <c r="U67" s="2"/>
      <c r="V67" s="18"/>
      <c r="W67" s="8"/>
      <c r="Y67" s="149" t="s">
        <v>69</v>
      </c>
      <c r="Z67" s="152">
        <f t="shared" si="1"/>
        <v>0</v>
      </c>
    </row>
    <row r="68" spans="2:26" ht="18" x14ac:dyDescent="0.35">
      <c r="B68" s="95"/>
      <c r="C68" s="96"/>
      <c r="D68" s="97"/>
      <c r="E68" s="98"/>
      <c r="F68" s="90">
        <v>1.5</v>
      </c>
      <c r="G68" s="91" t="s">
        <v>90</v>
      </c>
      <c r="H68" s="92">
        <v>90</v>
      </c>
      <c r="I68" s="105">
        <v>135</v>
      </c>
      <c r="J68" s="83"/>
      <c r="K68" s="83"/>
      <c r="L68" s="12"/>
      <c r="M68" s="13"/>
      <c r="N68" s="14"/>
      <c r="O68" s="11"/>
      <c r="P68" s="15"/>
      <c r="Q68" s="16"/>
      <c r="R68" s="2"/>
      <c r="S68" s="12"/>
      <c r="T68" s="17"/>
      <c r="U68" s="2"/>
      <c r="V68" s="18"/>
      <c r="W68" s="8"/>
      <c r="Y68" s="149" t="s">
        <v>108</v>
      </c>
      <c r="Z68" s="152">
        <f t="shared" si="1"/>
        <v>0</v>
      </c>
    </row>
    <row r="69" spans="2:26" ht="18" x14ac:dyDescent="0.35">
      <c r="B69" s="95"/>
      <c r="C69" s="96"/>
      <c r="D69" s="97"/>
      <c r="E69" s="98"/>
      <c r="F69" s="90">
        <v>1</v>
      </c>
      <c r="G69" s="91" t="s">
        <v>23</v>
      </c>
      <c r="H69" s="92">
        <v>55</v>
      </c>
      <c r="I69" s="105">
        <v>55</v>
      </c>
      <c r="J69" s="83"/>
      <c r="K69" s="83"/>
      <c r="L69" s="12"/>
      <c r="M69" s="13"/>
      <c r="N69" s="14"/>
      <c r="O69" s="11"/>
      <c r="P69" s="15"/>
      <c r="Q69" s="16"/>
      <c r="R69" s="2"/>
      <c r="S69" s="12"/>
      <c r="T69" s="17"/>
      <c r="U69" s="2"/>
      <c r="V69" s="18"/>
      <c r="W69" s="8"/>
      <c r="Y69" s="149" t="s">
        <v>44</v>
      </c>
      <c r="Z69" s="152">
        <f t="shared" si="1"/>
        <v>0</v>
      </c>
    </row>
    <row r="70" spans="2:26" ht="18" x14ac:dyDescent="0.35">
      <c r="B70" s="95"/>
      <c r="C70" s="96"/>
      <c r="D70" s="97"/>
      <c r="E70" s="98"/>
      <c r="F70" s="90">
        <v>2</v>
      </c>
      <c r="G70" s="91" t="s">
        <v>94</v>
      </c>
      <c r="H70" s="92">
        <v>10</v>
      </c>
      <c r="I70" s="105">
        <v>20</v>
      </c>
      <c r="J70" s="83"/>
      <c r="K70" s="83"/>
      <c r="L70" s="12"/>
      <c r="M70" s="13"/>
      <c r="N70" s="14"/>
      <c r="O70" s="11"/>
      <c r="P70" s="15"/>
      <c r="Q70" s="16"/>
      <c r="R70" s="2"/>
      <c r="S70" s="12"/>
      <c r="T70" s="17"/>
      <c r="U70" s="2"/>
      <c r="V70" s="18"/>
      <c r="W70" s="8"/>
      <c r="Y70" s="149" t="s">
        <v>45</v>
      </c>
      <c r="Z70" s="152">
        <f t="shared" si="1"/>
        <v>0</v>
      </c>
    </row>
    <row r="71" spans="2:26" ht="18" x14ac:dyDescent="0.35">
      <c r="B71" s="95"/>
      <c r="C71" s="96"/>
      <c r="D71" s="97"/>
      <c r="E71" s="98"/>
      <c r="F71" s="90">
        <v>18</v>
      </c>
      <c r="G71" s="91" t="s">
        <v>18</v>
      </c>
      <c r="H71" s="92">
        <v>10</v>
      </c>
      <c r="I71" s="105">
        <v>180</v>
      </c>
      <c r="J71" s="83"/>
      <c r="K71" s="83"/>
      <c r="L71" s="12"/>
      <c r="M71" s="13"/>
      <c r="N71" s="14"/>
      <c r="O71" s="11"/>
      <c r="P71" s="15"/>
      <c r="Q71" s="16"/>
      <c r="R71" s="2"/>
      <c r="S71" s="12"/>
      <c r="T71" s="17"/>
      <c r="U71" s="2"/>
      <c r="V71" s="18"/>
      <c r="W71" s="8"/>
      <c r="Y71" s="149" t="s">
        <v>49</v>
      </c>
      <c r="Z71" s="152">
        <f t="shared" si="1"/>
        <v>0</v>
      </c>
    </row>
    <row r="72" spans="2:26" ht="18" x14ac:dyDescent="0.35">
      <c r="B72" s="106"/>
      <c r="C72" s="107"/>
      <c r="D72" s="108"/>
      <c r="E72" s="109"/>
      <c r="F72" s="90">
        <v>1</v>
      </c>
      <c r="G72" s="91" t="s">
        <v>18</v>
      </c>
      <c r="H72" s="92">
        <v>10</v>
      </c>
      <c r="I72" s="105">
        <v>10</v>
      </c>
      <c r="J72" s="83"/>
      <c r="K72" s="83"/>
      <c r="L72" s="12"/>
      <c r="M72" s="13"/>
      <c r="N72" s="14"/>
      <c r="O72" s="11"/>
      <c r="P72" s="15"/>
      <c r="Q72" s="16"/>
      <c r="R72" s="2"/>
      <c r="S72" s="12"/>
      <c r="T72" s="17"/>
      <c r="U72" s="2"/>
      <c r="V72" s="18"/>
      <c r="W72" s="8"/>
      <c r="Y72" s="149" t="s">
        <v>50</v>
      </c>
      <c r="Z72" s="152">
        <f t="shared" si="1"/>
        <v>0</v>
      </c>
    </row>
    <row r="73" spans="2:26" ht="18" x14ac:dyDescent="0.35">
      <c r="B73" s="95"/>
      <c r="C73" s="96"/>
      <c r="D73" s="97"/>
      <c r="E73" s="98"/>
      <c r="F73" s="90">
        <v>2</v>
      </c>
      <c r="G73" s="91" t="s">
        <v>23</v>
      </c>
      <c r="H73" s="92">
        <v>55</v>
      </c>
      <c r="I73" s="105">
        <v>110</v>
      </c>
      <c r="J73" s="83"/>
      <c r="K73" s="83"/>
      <c r="L73" s="20"/>
      <c r="M73" s="21"/>
      <c r="N73" s="22"/>
      <c r="O73" s="19"/>
      <c r="P73" s="23"/>
      <c r="Q73" s="24"/>
      <c r="R73" s="2"/>
      <c r="S73" s="20"/>
      <c r="T73" s="25"/>
      <c r="U73" s="2"/>
      <c r="V73" s="26"/>
      <c r="W73" s="27"/>
      <c r="Y73" s="149" t="s">
        <v>51</v>
      </c>
      <c r="Z73" s="152">
        <f t="shared" si="1"/>
        <v>0</v>
      </c>
    </row>
    <row r="74" spans="2:26" ht="18" x14ac:dyDescent="0.35">
      <c r="B74" s="110"/>
      <c r="C74" s="111"/>
      <c r="D74" s="112"/>
      <c r="E74" s="113"/>
      <c r="F74" s="90">
        <v>6.5</v>
      </c>
      <c r="G74" s="91" t="s">
        <v>67</v>
      </c>
      <c r="H74" s="92">
        <v>92</v>
      </c>
      <c r="I74" s="105">
        <v>598</v>
      </c>
      <c r="J74" s="83"/>
      <c r="K74" s="83"/>
      <c r="L74" s="12"/>
      <c r="M74" s="28"/>
      <c r="N74" s="14"/>
      <c r="O74" s="11"/>
      <c r="P74" s="11"/>
      <c r="Q74" s="16"/>
      <c r="R74" s="2"/>
      <c r="S74" s="12"/>
      <c r="T74" s="17"/>
      <c r="U74" s="2"/>
      <c r="V74" s="18"/>
      <c r="W74" s="16"/>
      <c r="Y74" s="149" t="s">
        <v>52</v>
      </c>
      <c r="Z74" s="152">
        <f t="shared" si="1"/>
        <v>1</v>
      </c>
    </row>
    <row r="75" spans="2:26" ht="18" x14ac:dyDescent="0.35">
      <c r="B75" s="95"/>
      <c r="C75" s="96"/>
      <c r="D75" s="97"/>
      <c r="E75" s="113"/>
      <c r="F75" s="90">
        <v>25</v>
      </c>
      <c r="G75" s="91" t="s">
        <v>96</v>
      </c>
      <c r="H75" s="92">
        <v>12</v>
      </c>
      <c r="I75" s="105">
        <v>300</v>
      </c>
      <c r="J75" s="83"/>
      <c r="K75" s="83"/>
      <c r="L75" s="12"/>
      <c r="M75" s="28"/>
      <c r="N75" s="14"/>
      <c r="O75" s="11"/>
      <c r="P75" s="11"/>
      <c r="Q75" s="16"/>
      <c r="R75" s="2"/>
      <c r="S75" s="12"/>
      <c r="T75" s="17"/>
      <c r="U75" s="2"/>
      <c r="V75" s="18"/>
      <c r="W75" s="16"/>
      <c r="Y75" s="149" t="s">
        <v>72</v>
      </c>
      <c r="Z75" s="152">
        <f t="shared" si="1"/>
        <v>0</v>
      </c>
    </row>
    <row r="76" spans="2:26" ht="18" x14ac:dyDescent="0.35">
      <c r="B76" s="95"/>
      <c r="C76" s="96"/>
      <c r="D76" s="97"/>
      <c r="E76" s="113"/>
      <c r="F76" s="90"/>
      <c r="G76" s="91"/>
      <c r="H76" s="92"/>
      <c r="I76" s="105"/>
      <c r="J76" s="83"/>
      <c r="K76" s="83"/>
      <c r="L76" s="12"/>
      <c r="M76" s="28"/>
      <c r="N76" s="14"/>
      <c r="O76" s="11"/>
      <c r="P76" s="11"/>
      <c r="Q76" s="16"/>
      <c r="R76" s="2"/>
      <c r="S76" s="12"/>
      <c r="T76" s="17"/>
      <c r="U76" s="2"/>
      <c r="V76" s="18"/>
      <c r="W76" s="16"/>
      <c r="Y76" s="149" t="s">
        <v>71</v>
      </c>
      <c r="Z76" s="152">
        <f t="shared" si="1"/>
        <v>0</v>
      </c>
    </row>
    <row r="77" spans="2:26" ht="18" x14ac:dyDescent="0.35">
      <c r="B77" s="95"/>
      <c r="C77" s="96"/>
      <c r="D77" s="97"/>
      <c r="E77" s="113"/>
      <c r="F77" s="90"/>
      <c r="G77" s="91"/>
      <c r="H77" s="92"/>
      <c r="I77" s="105"/>
      <c r="J77" s="83"/>
      <c r="K77" s="83"/>
      <c r="L77" s="12"/>
      <c r="M77" s="28"/>
      <c r="N77" s="14"/>
      <c r="O77" s="11"/>
      <c r="P77" s="11"/>
      <c r="Q77" s="16"/>
      <c r="R77" s="2"/>
      <c r="S77" s="12"/>
      <c r="T77" s="17"/>
      <c r="U77" s="2"/>
      <c r="V77" s="18"/>
      <c r="W77" s="16"/>
      <c r="Y77" s="149" t="s">
        <v>53</v>
      </c>
      <c r="Z77" s="152">
        <f t="shared" ref="Z77:Z79" si="2">SUMIF($G$9:$G$129, Y77, $F$9:$F$129)</f>
        <v>0</v>
      </c>
    </row>
    <row r="78" spans="2:26" ht="18" x14ac:dyDescent="0.35">
      <c r="B78" s="95"/>
      <c r="C78" s="96"/>
      <c r="D78" s="97"/>
      <c r="E78" s="113"/>
      <c r="F78" s="90"/>
      <c r="G78" s="91"/>
      <c r="H78" s="92"/>
      <c r="I78" s="105"/>
      <c r="J78" s="83"/>
      <c r="K78" s="83"/>
      <c r="L78" s="12"/>
      <c r="M78" s="28"/>
      <c r="N78" s="14"/>
      <c r="O78" s="11"/>
      <c r="P78" s="11"/>
      <c r="Q78" s="16"/>
      <c r="R78" s="2"/>
      <c r="S78" s="12"/>
      <c r="T78" s="17"/>
      <c r="U78" s="2"/>
      <c r="V78" s="18"/>
      <c r="W78" s="16"/>
      <c r="Y78" s="149" t="s">
        <v>54</v>
      </c>
      <c r="Z78" s="152">
        <f t="shared" si="2"/>
        <v>0</v>
      </c>
    </row>
    <row r="79" spans="2:26" ht="18.600000000000001" thickBot="1" x14ac:dyDescent="0.4">
      <c r="B79" s="95"/>
      <c r="C79" s="96"/>
      <c r="D79" s="97"/>
      <c r="E79" s="113"/>
      <c r="F79" s="90"/>
      <c r="G79" s="91"/>
      <c r="H79" s="92"/>
      <c r="I79" s="105"/>
      <c r="J79" s="83"/>
      <c r="K79" s="83"/>
      <c r="L79" s="12"/>
      <c r="M79" s="28"/>
      <c r="N79" s="14"/>
      <c r="O79" s="11"/>
      <c r="P79" s="11"/>
      <c r="Q79" s="16"/>
      <c r="R79" s="2"/>
      <c r="S79" s="12"/>
      <c r="T79" s="17"/>
      <c r="U79" s="2"/>
      <c r="V79" s="18"/>
      <c r="W79" s="16"/>
      <c r="Y79" s="150" t="s">
        <v>55</v>
      </c>
      <c r="Z79" s="153">
        <f t="shared" si="2"/>
        <v>0</v>
      </c>
    </row>
    <row r="80" spans="2:26" ht="18" x14ac:dyDescent="0.35">
      <c r="B80" s="95"/>
      <c r="C80" s="96"/>
      <c r="D80" s="97"/>
      <c r="E80" s="113"/>
      <c r="F80" s="90"/>
      <c r="G80" s="91"/>
      <c r="H80" s="92"/>
      <c r="I80" s="105"/>
      <c r="J80" s="83"/>
      <c r="K80" s="83"/>
      <c r="L80" s="12"/>
      <c r="M80" s="28"/>
      <c r="N80" s="14"/>
      <c r="O80" s="11"/>
      <c r="P80" s="11"/>
      <c r="Q80" s="16"/>
      <c r="R80" s="2"/>
      <c r="S80" s="12"/>
      <c r="T80" s="17"/>
      <c r="U80" s="2"/>
      <c r="V80" s="18"/>
      <c r="W80" s="16"/>
    </row>
    <row r="81" spans="2:23" ht="18" x14ac:dyDescent="0.35">
      <c r="B81" s="95"/>
      <c r="C81" s="96"/>
      <c r="D81" s="97"/>
      <c r="E81" s="113"/>
      <c r="F81" s="90"/>
      <c r="G81" s="91"/>
      <c r="H81" s="92"/>
      <c r="I81" s="105"/>
      <c r="J81" s="83"/>
      <c r="K81" s="83"/>
      <c r="L81" s="12"/>
      <c r="M81" s="28"/>
      <c r="N81" s="14"/>
      <c r="O81" s="11"/>
      <c r="P81" s="11"/>
      <c r="Q81" s="16"/>
      <c r="R81" s="2"/>
      <c r="S81" s="12"/>
      <c r="T81" s="17"/>
      <c r="U81" s="2"/>
      <c r="V81" s="18"/>
      <c r="W81" s="16"/>
    </row>
    <row r="82" spans="2:23" ht="18" x14ac:dyDescent="0.35">
      <c r="B82" s="95"/>
      <c r="C82" s="96"/>
      <c r="D82" s="97"/>
      <c r="E82" s="113"/>
      <c r="F82" s="90"/>
      <c r="G82" s="91"/>
      <c r="H82" s="92"/>
      <c r="I82" s="105"/>
      <c r="J82" s="83"/>
      <c r="K82" s="83"/>
      <c r="L82" s="12"/>
      <c r="M82" s="28"/>
      <c r="N82" s="14"/>
      <c r="O82" s="11"/>
      <c r="P82" s="11"/>
      <c r="Q82" s="16"/>
      <c r="R82" s="2"/>
      <c r="S82" s="12"/>
      <c r="T82" s="17"/>
      <c r="U82" s="2"/>
      <c r="V82" s="18"/>
      <c r="W82" s="16"/>
    </row>
    <row r="83" spans="2:23" ht="18" x14ac:dyDescent="0.35">
      <c r="B83" s="95"/>
      <c r="C83" s="96"/>
      <c r="D83" s="97"/>
      <c r="E83" s="113"/>
      <c r="F83" s="90"/>
      <c r="G83" s="91"/>
      <c r="H83" s="92"/>
      <c r="I83" s="105"/>
      <c r="J83" s="83"/>
      <c r="K83" s="83"/>
      <c r="L83" s="12"/>
      <c r="M83" s="28"/>
      <c r="N83" s="14"/>
      <c r="O83" s="11"/>
      <c r="P83" s="11"/>
      <c r="Q83" s="16"/>
      <c r="R83" s="2"/>
      <c r="S83" s="12"/>
      <c r="T83" s="17"/>
      <c r="U83" s="2"/>
      <c r="V83" s="18"/>
      <c r="W83" s="16"/>
    </row>
    <row r="84" spans="2:23" ht="18" x14ac:dyDescent="0.35">
      <c r="B84" s="95"/>
      <c r="C84" s="96"/>
      <c r="D84" s="97"/>
      <c r="E84" s="113"/>
      <c r="F84" s="90"/>
      <c r="G84" s="91"/>
      <c r="H84" s="92"/>
      <c r="I84" s="105"/>
      <c r="J84" s="83"/>
      <c r="K84" s="83"/>
      <c r="L84" s="12"/>
      <c r="M84" s="28"/>
      <c r="N84" s="14"/>
      <c r="O84" s="11"/>
      <c r="P84" s="11"/>
      <c r="Q84" s="16"/>
      <c r="R84" s="2"/>
      <c r="S84" s="12"/>
      <c r="T84" s="17"/>
      <c r="U84" s="2"/>
      <c r="V84" s="18"/>
      <c r="W84" s="16"/>
    </row>
    <row r="85" spans="2:23" ht="18" x14ac:dyDescent="0.35">
      <c r="B85" s="95"/>
      <c r="C85" s="96"/>
      <c r="D85" s="97"/>
      <c r="E85" s="113"/>
      <c r="F85" s="90"/>
      <c r="G85" s="91"/>
      <c r="H85" s="92"/>
      <c r="I85" s="105"/>
      <c r="J85" s="83"/>
      <c r="K85" s="83"/>
      <c r="L85" s="12"/>
      <c r="M85" s="28"/>
      <c r="N85" s="14"/>
      <c r="O85" s="11"/>
      <c r="P85" s="11"/>
      <c r="Q85" s="16"/>
      <c r="R85" s="2"/>
      <c r="S85" s="12"/>
      <c r="T85" s="17"/>
      <c r="U85" s="2"/>
      <c r="V85" s="18"/>
      <c r="W85" s="16"/>
    </row>
    <row r="86" spans="2:23" ht="18" x14ac:dyDescent="0.35">
      <c r="B86" s="95"/>
      <c r="C86" s="96"/>
      <c r="D86" s="97"/>
      <c r="E86" s="113"/>
      <c r="F86" s="90"/>
      <c r="G86" s="91"/>
      <c r="H86" s="92"/>
      <c r="I86" s="105"/>
      <c r="J86" s="83"/>
      <c r="K86" s="83"/>
      <c r="L86" s="12"/>
      <c r="M86" s="28"/>
      <c r="N86" s="14"/>
      <c r="O86" s="11"/>
      <c r="P86" s="11"/>
      <c r="Q86" s="16"/>
      <c r="R86" s="2"/>
      <c r="S86" s="12"/>
      <c r="T86" s="17"/>
      <c r="U86" s="2"/>
      <c r="V86" s="18"/>
      <c r="W86" s="16"/>
    </row>
    <row r="87" spans="2:23" ht="18" x14ac:dyDescent="0.35">
      <c r="B87" s="95"/>
      <c r="C87" s="96"/>
      <c r="D87" s="97"/>
      <c r="E87" s="113"/>
      <c r="F87" s="90"/>
      <c r="G87" s="91"/>
      <c r="H87" s="92"/>
      <c r="I87" s="105"/>
      <c r="J87" s="83"/>
      <c r="K87" s="83"/>
      <c r="L87" s="12"/>
      <c r="M87" s="28"/>
      <c r="N87" s="14"/>
      <c r="O87" s="11"/>
      <c r="P87" s="11"/>
      <c r="Q87" s="16"/>
      <c r="R87" s="2"/>
      <c r="S87" s="12"/>
      <c r="T87" s="17"/>
      <c r="U87" s="2"/>
      <c r="V87" s="18"/>
      <c r="W87" s="16"/>
    </row>
    <row r="88" spans="2:23" ht="18" x14ac:dyDescent="0.35">
      <c r="B88" s="95"/>
      <c r="C88" s="96"/>
      <c r="D88" s="97"/>
      <c r="E88" s="113"/>
      <c r="F88" s="90"/>
      <c r="G88" s="91"/>
      <c r="H88" s="92"/>
      <c r="I88" s="105"/>
      <c r="J88" s="83"/>
      <c r="K88" s="83"/>
      <c r="L88" s="12"/>
      <c r="M88" s="28"/>
      <c r="N88" s="14"/>
      <c r="O88" s="11"/>
      <c r="P88" s="11"/>
      <c r="Q88" s="16"/>
      <c r="R88" s="2"/>
      <c r="S88" s="12"/>
      <c r="T88" s="17"/>
      <c r="U88" s="2"/>
      <c r="V88" s="18"/>
      <c r="W88" s="16"/>
    </row>
    <row r="89" spans="2:23" ht="18" x14ac:dyDescent="0.35">
      <c r="B89" s="95"/>
      <c r="C89" s="96"/>
      <c r="D89" s="97"/>
      <c r="E89" s="113"/>
      <c r="F89" s="90"/>
      <c r="G89" s="91"/>
      <c r="H89" s="92"/>
      <c r="I89" s="105"/>
      <c r="J89" s="83"/>
      <c r="K89" s="83"/>
      <c r="L89" s="12"/>
      <c r="M89" s="28"/>
      <c r="N89" s="14"/>
      <c r="O89" s="11"/>
      <c r="P89" s="11"/>
      <c r="Q89" s="16"/>
      <c r="R89" s="2"/>
      <c r="S89" s="12"/>
      <c r="T89" s="17"/>
      <c r="U89" s="2"/>
      <c r="V89" s="18"/>
      <c r="W89" s="16"/>
    </row>
    <row r="90" spans="2:23" ht="18" x14ac:dyDescent="0.35">
      <c r="B90" s="95"/>
      <c r="C90" s="96"/>
      <c r="D90" s="97"/>
      <c r="E90" s="113"/>
      <c r="F90" s="90"/>
      <c r="G90" s="91"/>
      <c r="H90" s="92"/>
      <c r="I90" s="105"/>
      <c r="J90" s="83"/>
      <c r="K90" s="83"/>
      <c r="L90" s="12"/>
      <c r="M90" s="28"/>
      <c r="N90" s="14"/>
      <c r="O90" s="11"/>
      <c r="P90" s="11"/>
      <c r="Q90" s="16"/>
      <c r="R90" s="2"/>
      <c r="S90" s="12"/>
      <c r="T90" s="17"/>
      <c r="U90" s="2"/>
      <c r="V90" s="18"/>
      <c r="W90" s="16"/>
    </row>
    <row r="91" spans="2:23" ht="18" x14ac:dyDescent="0.35">
      <c r="B91" s="95"/>
      <c r="C91" s="96"/>
      <c r="D91" s="97"/>
      <c r="E91" s="113"/>
      <c r="F91" s="90"/>
      <c r="G91" s="91"/>
      <c r="H91" s="92"/>
      <c r="I91" s="105"/>
      <c r="J91" s="83"/>
      <c r="K91" s="83"/>
      <c r="L91" s="12"/>
      <c r="M91" s="28"/>
      <c r="N91" s="14"/>
      <c r="O91" s="11"/>
      <c r="P91" s="11"/>
      <c r="Q91" s="16"/>
      <c r="R91" s="2"/>
      <c r="S91" s="12"/>
      <c r="T91" s="17"/>
      <c r="U91" s="2"/>
      <c r="V91" s="18"/>
      <c r="W91" s="16"/>
    </row>
    <row r="92" spans="2:23" ht="18" x14ac:dyDescent="0.35">
      <c r="B92" s="95"/>
      <c r="C92" s="96"/>
      <c r="D92" s="97"/>
      <c r="E92" s="113"/>
      <c r="F92" s="90"/>
      <c r="G92" s="91"/>
      <c r="H92" s="92"/>
      <c r="I92" s="105"/>
      <c r="J92" s="83"/>
      <c r="K92" s="83"/>
      <c r="L92" s="12"/>
      <c r="M92" s="28"/>
      <c r="N92" s="14"/>
      <c r="O92" s="11"/>
      <c r="P92" s="11"/>
      <c r="Q92" s="16"/>
      <c r="R92" s="2"/>
      <c r="S92" s="12"/>
      <c r="T92" s="17"/>
      <c r="U92" s="2"/>
      <c r="V92" s="18"/>
      <c r="W92" s="16"/>
    </row>
    <row r="93" spans="2:23" ht="18" x14ac:dyDescent="0.35">
      <c r="B93" s="95"/>
      <c r="C93" s="96"/>
      <c r="D93" s="97"/>
      <c r="E93" s="113"/>
      <c r="F93" s="90"/>
      <c r="G93" s="91"/>
      <c r="H93" s="92"/>
      <c r="I93" s="105"/>
      <c r="J93" s="83"/>
      <c r="K93" s="83"/>
      <c r="L93" s="12"/>
      <c r="M93" s="28"/>
      <c r="N93" s="14"/>
      <c r="O93" s="11"/>
      <c r="P93" s="11"/>
      <c r="Q93" s="16"/>
      <c r="R93" s="2"/>
      <c r="S93" s="12"/>
      <c r="T93" s="17"/>
      <c r="U93" s="2"/>
      <c r="V93" s="18"/>
      <c r="W93" s="16"/>
    </row>
    <row r="94" spans="2:23" ht="18" x14ac:dyDescent="0.35">
      <c r="B94" s="95"/>
      <c r="C94" s="96"/>
      <c r="D94" s="97"/>
      <c r="E94" s="113"/>
      <c r="F94" s="90"/>
      <c r="G94" s="91"/>
      <c r="H94" s="92"/>
      <c r="I94" s="105"/>
      <c r="J94" s="83"/>
      <c r="K94" s="83"/>
      <c r="L94" s="12"/>
      <c r="M94" s="28"/>
      <c r="N94" s="14"/>
      <c r="O94" s="11"/>
      <c r="P94" s="11"/>
      <c r="Q94" s="16"/>
      <c r="R94" s="2"/>
      <c r="S94" s="12"/>
      <c r="T94" s="17"/>
      <c r="U94" s="2"/>
      <c r="V94" s="18"/>
      <c r="W94" s="16"/>
    </row>
    <row r="95" spans="2:23" ht="18" x14ac:dyDescent="0.35">
      <c r="B95" s="95"/>
      <c r="C95" s="96"/>
      <c r="D95" s="97"/>
      <c r="E95" s="113"/>
      <c r="F95" s="90"/>
      <c r="G95" s="91"/>
      <c r="H95" s="92"/>
      <c r="I95" s="105"/>
      <c r="J95" s="83"/>
      <c r="K95" s="83"/>
      <c r="L95" s="12"/>
      <c r="M95" s="28"/>
      <c r="N95" s="14"/>
      <c r="O95" s="11"/>
      <c r="P95" s="11"/>
      <c r="Q95" s="16"/>
      <c r="R95" s="2"/>
      <c r="S95" s="12"/>
      <c r="T95" s="17"/>
      <c r="U95" s="2"/>
      <c r="V95" s="18"/>
      <c r="W95" s="16"/>
    </row>
    <row r="96" spans="2:23" ht="18" x14ac:dyDescent="0.35">
      <c r="B96" s="95"/>
      <c r="C96" s="96"/>
      <c r="D96" s="97"/>
      <c r="E96" s="113"/>
      <c r="F96" s="90"/>
      <c r="G96" s="91"/>
      <c r="H96" s="92"/>
      <c r="I96" s="105"/>
      <c r="J96" s="83"/>
      <c r="K96" s="83"/>
      <c r="L96" s="12"/>
      <c r="M96" s="28"/>
      <c r="N96" s="14"/>
      <c r="O96" s="11"/>
      <c r="P96" s="11"/>
      <c r="Q96" s="16"/>
      <c r="R96" s="2"/>
      <c r="S96" s="12"/>
      <c r="T96" s="17"/>
      <c r="U96" s="2"/>
      <c r="V96" s="18"/>
      <c r="W96" s="16"/>
    </row>
    <row r="97" spans="2:23" ht="18" x14ac:dyDescent="0.35">
      <c r="B97" s="95"/>
      <c r="C97" s="96"/>
      <c r="D97" s="97"/>
      <c r="E97" s="113"/>
      <c r="F97" s="90"/>
      <c r="G97" s="91"/>
      <c r="H97" s="92"/>
      <c r="I97" s="105"/>
      <c r="J97" s="83"/>
      <c r="K97" s="83"/>
      <c r="L97" s="12"/>
      <c r="M97" s="28"/>
      <c r="N97" s="14"/>
      <c r="O97" s="11"/>
      <c r="P97" s="11"/>
      <c r="Q97" s="16"/>
      <c r="R97" s="2"/>
      <c r="S97" s="12"/>
      <c r="T97" s="17"/>
      <c r="U97" s="2"/>
      <c r="V97" s="18"/>
      <c r="W97" s="16"/>
    </row>
    <row r="98" spans="2:23" ht="18" x14ac:dyDescent="0.35">
      <c r="B98" s="95"/>
      <c r="C98" s="96"/>
      <c r="D98" s="97"/>
      <c r="E98" s="113"/>
      <c r="F98" s="90"/>
      <c r="G98" s="91"/>
      <c r="H98" s="92"/>
      <c r="I98" s="105"/>
      <c r="J98" s="83"/>
      <c r="K98" s="83"/>
      <c r="L98" s="12"/>
      <c r="M98" s="28"/>
      <c r="N98" s="14"/>
      <c r="O98" s="11"/>
      <c r="P98" s="11"/>
      <c r="Q98" s="16"/>
      <c r="R98" s="2"/>
      <c r="S98" s="12"/>
      <c r="T98" s="17"/>
      <c r="U98" s="2"/>
      <c r="V98" s="18"/>
      <c r="W98" s="16"/>
    </row>
    <row r="99" spans="2:23" ht="18" x14ac:dyDescent="0.35">
      <c r="B99" s="95"/>
      <c r="C99" s="96"/>
      <c r="D99" s="97"/>
      <c r="E99" s="113"/>
      <c r="F99" s="90"/>
      <c r="G99" s="91"/>
      <c r="H99" s="92"/>
      <c r="I99" s="105"/>
      <c r="J99" s="83"/>
      <c r="K99" s="83"/>
      <c r="L99" s="12"/>
      <c r="M99" s="28"/>
      <c r="N99" s="14"/>
      <c r="O99" s="11"/>
      <c r="P99" s="11"/>
      <c r="Q99" s="16"/>
      <c r="R99" s="2"/>
      <c r="S99" s="12"/>
      <c r="T99" s="17"/>
      <c r="U99" s="2"/>
      <c r="V99" s="18"/>
      <c r="W99" s="16"/>
    </row>
    <row r="100" spans="2:23" ht="18" x14ac:dyDescent="0.35">
      <c r="B100" s="95"/>
      <c r="C100" s="96"/>
      <c r="D100" s="97"/>
      <c r="E100" s="113"/>
      <c r="F100" s="90"/>
      <c r="G100" s="91"/>
      <c r="H100" s="92"/>
      <c r="I100" s="105"/>
      <c r="J100" s="83"/>
      <c r="K100" s="83"/>
      <c r="L100" s="12"/>
      <c r="M100" s="28"/>
      <c r="N100" s="14"/>
      <c r="O100" s="11"/>
      <c r="P100" s="11"/>
      <c r="Q100" s="16"/>
      <c r="R100" s="2"/>
      <c r="S100" s="12"/>
      <c r="T100" s="17"/>
      <c r="U100" s="2"/>
      <c r="V100" s="18"/>
      <c r="W100" s="16"/>
    </row>
    <row r="101" spans="2:23" ht="18" x14ac:dyDescent="0.35">
      <c r="B101" s="95"/>
      <c r="C101" s="96"/>
      <c r="D101" s="97"/>
      <c r="E101" s="113"/>
      <c r="F101" s="90"/>
      <c r="G101" s="91"/>
      <c r="H101" s="92"/>
      <c r="I101" s="105"/>
      <c r="J101" s="83"/>
      <c r="K101" s="83"/>
      <c r="L101" s="12"/>
      <c r="M101" s="28"/>
      <c r="N101" s="14"/>
      <c r="O101" s="11"/>
      <c r="P101" s="11"/>
      <c r="Q101" s="16"/>
      <c r="R101" s="2"/>
      <c r="S101" s="12"/>
      <c r="T101" s="17"/>
      <c r="U101" s="2"/>
      <c r="V101" s="18"/>
      <c r="W101" s="16"/>
    </row>
    <row r="102" spans="2:23" ht="18" x14ac:dyDescent="0.35">
      <c r="B102" s="95"/>
      <c r="C102" s="96"/>
      <c r="D102" s="97"/>
      <c r="E102" s="113"/>
      <c r="F102" s="90"/>
      <c r="G102" s="91"/>
      <c r="H102" s="92"/>
      <c r="I102" s="105"/>
      <c r="J102" s="83"/>
      <c r="K102" s="83"/>
      <c r="L102" s="12"/>
      <c r="M102" s="28"/>
      <c r="N102" s="14"/>
      <c r="O102" s="11"/>
      <c r="P102" s="11"/>
      <c r="Q102" s="16"/>
      <c r="R102" s="2"/>
      <c r="S102" s="12"/>
      <c r="T102" s="17"/>
      <c r="U102" s="2"/>
      <c r="V102" s="18"/>
      <c r="W102" s="16"/>
    </row>
    <row r="103" spans="2:23" ht="18" x14ac:dyDescent="0.35">
      <c r="B103" s="95"/>
      <c r="C103" s="96"/>
      <c r="D103" s="97"/>
      <c r="E103" s="113"/>
      <c r="F103" s="90"/>
      <c r="G103" s="91"/>
      <c r="H103" s="92"/>
      <c r="I103" s="105"/>
      <c r="J103" s="83"/>
      <c r="K103" s="83"/>
      <c r="L103" s="12"/>
      <c r="M103" s="28"/>
      <c r="N103" s="14"/>
      <c r="O103" s="11"/>
      <c r="P103" s="11"/>
      <c r="Q103" s="16"/>
      <c r="R103" s="2"/>
      <c r="S103" s="12"/>
      <c r="T103" s="17"/>
      <c r="U103" s="2"/>
      <c r="V103" s="18"/>
      <c r="W103" s="16"/>
    </row>
    <row r="104" spans="2:23" ht="18" x14ac:dyDescent="0.35">
      <c r="B104" s="95"/>
      <c r="C104" s="96"/>
      <c r="D104" s="97"/>
      <c r="E104" s="113"/>
      <c r="F104" s="90"/>
      <c r="G104" s="91"/>
      <c r="H104" s="92"/>
      <c r="I104" s="105"/>
      <c r="J104" s="83"/>
      <c r="K104" s="83"/>
      <c r="L104" s="12"/>
      <c r="M104" s="28"/>
      <c r="N104" s="14"/>
      <c r="O104" s="11"/>
      <c r="P104" s="11"/>
      <c r="Q104" s="16"/>
      <c r="R104" s="2"/>
      <c r="S104" s="12"/>
      <c r="T104" s="17"/>
      <c r="U104" s="2"/>
      <c r="V104" s="18"/>
      <c r="W104" s="16"/>
    </row>
    <row r="105" spans="2:23" ht="18" x14ac:dyDescent="0.35">
      <c r="B105" s="95"/>
      <c r="C105" s="96"/>
      <c r="D105" s="97"/>
      <c r="E105" s="113"/>
      <c r="F105" s="90"/>
      <c r="G105" s="91"/>
      <c r="H105" s="92"/>
      <c r="I105" s="105"/>
      <c r="J105" s="83"/>
      <c r="K105" s="83"/>
      <c r="L105" s="12"/>
      <c r="M105" s="28"/>
      <c r="N105" s="14"/>
      <c r="O105" s="11"/>
      <c r="P105" s="11"/>
      <c r="Q105" s="16"/>
      <c r="R105" s="2"/>
      <c r="S105" s="12"/>
      <c r="T105" s="17"/>
      <c r="U105" s="2"/>
      <c r="V105" s="18"/>
      <c r="W105" s="16"/>
    </row>
    <row r="106" spans="2:23" ht="18" x14ac:dyDescent="0.35">
      <c r="B106" s="95"/>
      <c r="C106" s="96"/>
      <c r="D106" s="97"/>
      <c r="E106" s="113"/>
      <c r="F106" s="90"/>
      <c r="G106" s="91"/>
      <c r="H106" s="92"/>
      <c r="I106" s="105"/>
      <c r="J106" s="83"/>
      <c r="K106" s="83"/>
      <c r="L106" s="12"/>
      <c r="M106" s="28"/>
      <c r="N106" s="14"/>
      <c r="O106" s="11"/>
      <c r="P106" s="11"/>
      <c r="Q106" s="16"/>
      <c r="R106" s="2"/>
      <c r="S106" s="12"/>
      <c r="T106" s="17"/>
      <c r="U106" s="2"/>
      <c r="V106" s="18"/>
      <c r="W106" s="16"/>
    </row>
    <row r="107" spans="2:23" ht="18" x14ac:dyDescent="0.35">
      <c r="B107" s="95"/>
      <c r="C107" s="96"/>
      <c r="D107" s="97"/>
      <c r="E107" s="113"/>
      <c r="F107" s="90"/>
      <c r="G107" s="91"/>
      <c r="H107" s="92"/>
      <c r="I107" s="105"/>
      <c r="J107" s="83"/>
      <c r="K107" s="83"/>
      <c r="L107" s="12"/>
      <c r="M107" s="28"/>
      <c r="N107" s="14"/>
      <c r="O107" s="11"/>
      <c r="P107" s="11"/>
      <c r="Q107" s="16"/>
      <c r="R107" s="2"/>
      <c r="S107" s="12"/>
      <c r="T107" s="17"/>
      <c r="U107" s="2"/>
      <c r="V107" s="18"/>
      <c r="W107" s="16"/>
    </row>
    <row r="108" spans="2:23" ht="18" x14ac:dyDescent="0.35">
      <c r="B108" s="95"/>
      <c r="C108" s="96"/>
      <c r="D108" s="97"/>
      <c r="E108" s="113"/>
      <c r="F108" s="90"/>
      <c r="G108" s="91"/>
      <c r="H108" s="92"/>
      <c r="I108" s="105"/>
      <c r="J108" s="83"/>
      <c r="K108" s="83"/>
      <c r="L108" s="12"/>
      <c r="M108" s="28"/>
      <c r="N108" s="14"/>
      <c r="O108" s="11"/>
      <c r="P108" s="11"/>
      <c r="Q108" s="16"/>
      <c r="R108" s="2"/>
      <c r="S108" s="12"/>
      <c r="T108" s="17"/>
      <c r="U108" s="2"/>
      <c r="V108" s="18"/>
      <c r="W108" s="16"/>
    </row>
    <row r="109" spans="2:23" ht="18" x14ac:dyDescent="0.35">
      <c r="B109" s="95"/>
      <c r="C109" s="96"/>
      <c r="D109" s="97"/>
      <c r="E109" s="113"/>
      <c r="F109" s="90"/>
      <c r="G109" s="91"/>
      <c r="H109" s="92"/>
      <c r="I109" s="105"/>
      <c r="J109" s="83"/>
      <c r="K109" s="83"/>
      <c r="L109" s="12"/>
      <c r="M109" s="28"/>
      <c r="N109" s="14"/>
      <c r="O109" s="11"/>
      <c r="P109" s="11"/>
      <c r="Q109" s="16"/>
      <c r="R109" s="2"/>
      <c r="S109" s="12"/>
      <c r="T109" s="17"/>
      <c r="U109" s="2"/>
      <c r="V109" s="18"/>
      <c r="W109" s="16"/>
    </row>
    <row r="110" spans="2:23" ht="18" x14ac:dyDescent="0.35">
      <c r="B110" s="95"/>
      <c r="C110" s="96"/>
      <c r="D110" s="97"/>
      <c r="E110" s="113"/>
      <c r="F110" s="90"/>
      <c r="G110" s="91"/>
      <c r="H110" s="92"/>
      <c r="I110" s="105"/>
      <c r="J110" s="83"/>
      <c r="K110" s="83"/>
      <c r="L110" s="12"/>
      <c r="M110" s="28"/>
      <c r="N110" s="14"/>
      <c r="O110" s="11"/>
      <c r="P110" s="11"/>
      <c r="Q110" s="16"/>
      <c r="R110" s="2"/>
      <c r="S110" s="12"/>
      <c r="T110" s="17"/>
      <c r="U110" s="2"/>
      <c r="V110" s="18"/>
      <c r="W110" s="16"/>
    </row>
    <row r="111" spans="2:23" ht="18" x14ac:dyDescent="0.35">
      <c r="B111" s="95"/>
      <c r="C111" s="96"/>
      <c r="D111" s="97"/>
      <c r="E111" s="113"/>
      <c r="F111" s="90"/>
      <c r="G111" s="91"/>
      <c r="H111" s="92"/>
      <c r="I111" s="105"/>
      <c r="J111" s="83"/>
      <c r="K111" s="83"/>
      <c r="L111" s="12"/>
      <c r="M111" s="28"/>
      <c r="N111" s="14"/>
      <c r="O111" s="11"/>
      <c r="P111" s="11"/>
      <c r="Q111" s="16"/>
      <c r="R111" s="2"/>
      <c r="S111" s="12"/>
      <c r="T111" s="17"/>
      <c r="U111" s="2"/>
      <c r="V111" s="18"/>
      <c r="W111" s="16"/>
    </row>
    <row r="112" spans="2:23" ht="18" x14ac:dyDescent="0.35">
      <c r="B112" s="95"/>
      <c r="C112" s="96"/>
      <c r="D112" s="97"/>
      <c r="E112" s="113"/>
      <c r="F112" s="90"/>
      <c r="G112" s="91"/>
      <c r="H112" s="92"/>
      <c r="I112" s="105"/>
      <c r="J112" s="83"/>
      <c r="K112" s="83"/>
      <c r="L112" s="12"/>
      <c r="M112" s="28"/>
      <c r="N112" s="14"/>
      <c r="O112" s="11"/>
      <c r="P112" s="11"/>
      <c r="Q112" s="16"/>
      <c r="R112" s="2"/>
      <c r="S112" s="12"/>
      <c r="T112" s="17"/>
      <c r="U112" s="2"/>
      <c r="V112" s="18"/>
      <c r="W112" s="16"/>
    </row>
    <row r="113" spans="2:23" ht="18" x14ac:dyDescent="0.35">
      <c r="B113" s="95"/>
      <c r="C113" s="96"/>
      <c r="D113" s="97"/>
      <c r="E113" s="113"/>
      <c r="F113" s="90"/>
      <c r="G113" s="91"/>
      <c r="H113" s="92"/>
      <c r="I113" s="105"/>
      <c r="J113" s="83"/>
      <c r="K113" s="83"/>
      <c r="L113" s="12"/>
      <c r="M113" s="28"/>
      <c r="N113" s="14"/>
      <c r="O113" s="11"/>
      <c r="P113" s="11"/>
      <c r="Q113" s="16"/>
      <c r="R113" s="2"/>
      <c r="S113" s="12"/>
      <c r="T113" s="17"/>
      <c r="U113" s="2"/>
      <c r="V113" s="18"/>
      <c r="W113" s="16"/>
    </row>
    <row r="114" spans="2:23" ht="18" x14ac:dyDescent="0.35">
      <c r="B114" s="95"/>
      <c r="C114" s="96"/>
      <c r="D114" s="97"/>
      <c r="E114" s="113"/>
      <c r="F114" s="90"/>
      <c r="G114" s="91"/>
      <c r="H114" s="92"/>
      <c r="I114" s="105"/>
      <c r="J114" s="83"/>
      <c r="K114" s="83"/>
      <c r="L114" s="12"/>
      <c r="M114" s="28"/>
      <c r="N114" s="14"/>
      <c r="O114" s="11"/>
      <c r="P114" s="11"/>
      <c r="Q114" s="16"/>
      <c r="R114" s="2"/>
      <c r="S114" s="12"/>
      <c r="T114" s="17"/>
      <c r="U114" s="2"/>
      <c r="V114" s="18"/>
      <c r="W114" s="16"/>
    </row>
    <row r="115" spans="2:23" ht="18" x14ac:dyDescent="0.35">
      <c r="B115" s="95"/>
      <c r="C115" s="96"/>
      <c r="D115" s="97"/>
      <c r="E115" s="113"/>
      <c r="F115" s="90"/>
      <c r="G115" s="91"/>
      <c r="H115" s="92"/>
      <c r="I115" s="105"/>
      <c r="J115" s="83"/>
      <c r="K115" s="83"/>
      <c r="L115" s="12"/>
      <c r="M115" s="28"/>
      <c r="N115" s="14"/>
      <c r="O115" s="11"/>
      <c r="P115" s="11"/>
      <c r="Q115" s="16"/>
      <c r="R115" s="2"/>
      <c r="S115" s="12"/>
      <c r="T115" s="17"/>
      <c r="U115" s="2"/>
      <c r="V115" s="18"/>
      <c r="W115" s="16"/>
    </row>
    <row r="116" spans="2:23" ht="18" x14ac:dyDescent="0.35">
      <c r="B116" s="95"/>
      <c r="C116" s="96"/>
      <c r="D116" s="97"/>
      <c r="E116" s="113"/>
      <c r="F116" s="90"/>
      <c r="G116" s="91"/>
      <c r="H116" s="92"/>
      <c r="I116" s="105"/>
      <c r="J116" s="83"/>
      <c r="K116" s="83"/>
      <c r="L116" s="12"/>
      <c r="M116" s="28"/>
      <c r="N116" s="14"/>
      <c r="O116" s="11"/>
      <c r="P116" s="11"/>
      <c r="Q116" s="16"/>
      <c r="R116" s="2"/>
      <c r="S116" s="12"/>
      <c r="T116" s="17"/>
      <c r="U116" s="2"/>
      <c r="V116" s="18"/>
      <c r="W116" s="16"/>
    </row>
    <row r="117" spans="2:23" ht="18" x14ac:dyDescent="0.35">
      <c r="B117" s="95"/>
      <c r="C117" s="96"/>
      <c r="D117" s="97"/>
      <c r="E117" s="113"/>
      <c r="F117" s="90"/>
      <c r="G117" s="91"/>
      <c r="H117" s="92"/>
      <c r="I117" s="105"/>
      <c r="J117" s="83"/>
      <c r="K117" s="83"/>
      <c r="L117" s="12"/>
      <c r="M117" s="28"/>
      <c r="N117" s="14"/>
      <c r="O117" s="11"/>
      <c r="P117" s="11"/>
      <c r="Q117" s="16"/>
      <c r="R117" s="2"/>
      <c r="S117" s="12"/>
      <c r="T117" s="17"/>
      <c r="U117" s="2"/>
      <c r="V117" s="18"/>
      <c r="W117" s="16"/>
    </row>
    <row r="118" spans="2:23" ht="18" x14ac:dyDescent="0.35">
      <c r="B118" s="95"/>
      <c r="C118" s="96"/>
      <c r="D118" s="97"/>
      <c r="E118" s="113"/>
      <c r="F118" s="90"/>
      <c r="G118" s="91"/>
      <c r="H118" s="92"/>
      <c r="I118" s="105"/>
      <c r="J118" s="83"/>
      <c r="K118" s="83"/>
      <c r="L118" s="12"/>
      <c r="M118" s="28"/>
      <c r="N118" s="14"/>
      <c r="O118" s="11"/>
      <c r="P118" s="11"/>
      <c r="Q118" s="16"/>
      <c r="R118" s="2"/>
      <c r="S118" s="12"/>
      <c r="T118" s="17"/>
      <c r="U118" s="2"/>
      <c r="V118" s="18"/>
      <c r="W118" s="16"/>
    </row>
    <row r="119" spans="2:23" ht="18" x14ac:dyDescent="0.35">
      <c r="B119" s="95"/>
      <c r="C119" s="96"/>
      <c r="D119" s="97"/>
      <c r="E119" s="113"/>
      <c r="F119" s="90"/>
      <c r="G119" s="91"/>
      <c r="H119" s="92"/>
      <c r="I119" s="105"/>
      <c r="J119" s="83"/>
      <c r="K119" s="83"/>
      <c r="L119" s="12"/>
      <c r="M119" s="28"/>
      <c r="N119" s="14"/>
      <c r="O119" s="11"/>
      <c r="P119" s="11"/>
      <c r="Q119" s="16"/>
      <c r="R119" s="2"/>
      <c r="S119" s="12"/>
      <c r="T119" s="17"/>
      <c r="U119" s="2"/>
      <c r="V119" s="18"/>
      <c r="W119" s="16"/>
    </row>
    <row r="120" spans="2:23" ht="18" x14ac:dyDescent="0.35">
      <c r="B120" s="95"/>
      <c r="C120" s="96"/>
      <c r="D120" s="97"/>
      <c r="E120" s="113"/>
      <c r="F120" s="90"/>
      <c r="G120" s="91"/>
      <c r="H120" s="92"/>
      <c r="I120" s="105"/>
      <c r="J120" s="83"/>
      <c r="K120" s="83"/>
      <c r="L120" s="12"/>
      <c r="M120" s="28"/>
      <c r="N120" s="14"/>
      <c r="O120" s="11"/>
      <c r="P120" s="11"/>
      <c r="Q120" s="16"/>
      <c r="R120" s="2"/>
      <c r="S120" s="12"/>
      <c r="T120" s="17"/>
      <c r="U120" s="2"/>
      <c r="V120" s="18"/>
      <c r="W120" s="16"/>
    </row>
    <row r="121" spans="2:23" ht="18" x14ac:dyDescent="0.35">
      <c r="B121" s="95"/>
      <c r="C121" s="96"/>
      <c r="D121" s="97"/>
      <c r="E121" s="113"/>
      <c r="F121" s="90"/>
      <c r="G121" s="91"/>
      <c r="H121" s="92"/>
      <c r="I121" s="105"/>
      <c r="J121" s="83"/>
      <c r="K121" s="83"/>
      <c r="L121" s="12"/>
      <c r="M121" s="28"/>
      <c r="N121" s="14"/>
      <c r="O121" s="11"/>
      <c r="P121" s="11"/>
      <c r="Q121" s="16"/>
      <c r="R121" s="2"/>
      <c r="S121" s="12"/>
      <c r="T121" s="17"/>
      <c r="U121" s="2"/>
      <c r="V121" s="18"/>
      <c r="W121" s="16"/>
    </row>
    <row r="122" spans="2:23" ht="18" x14ac:dyDescent="0.35">
      <c r="B122" s="95"/>
      <c r="C122" s="96"/>
      <c r="D122" s="97"/>
      <c r="E122" s="113"/>
      <c r="F122" s="99"/>
      <c r="G122" s="100"/>
      <c r="H122" s="101"/>
      <c r="I122" s="105"/>
      <c r="J122" s="83"/>
      <c r="K122" s="83"/>
      <c r="L122" s="12"/>
      <c r="M122" s="28"/>
      <c r="N122" s="14"/>
      <c r="O122" s="11"/>
      <c r="P122" s="11"/>
      <c r="Q122" s="16"/>
      <c r="R122" s="2"/>
      <c r="S122" s="12"/>
      <c r="T122" s="17"/>
      <c r="U122" s="2"/>
      <c r="V122" s="18"/>
      <c r="W122" s="16"/>
    </row>
    <row r="123" spans="2:23" ht="18" x14ac:dyDescent="0.35">
      <c r="B123" s="95"/>
      <c r="C123" s="96"/>
      <c r="D123" s="97"/>
      <c r="E123" s="113"/>
      <c r="F123" s="99"/>
      <c r="G123" s="100"/>
      <c r="H123" s="101"/>
      <c r="I123" s="105"/>
      <c r="J123" s="83"/>
      <c r="K123" s="83"/>
      <c r="L123" s="12"/>
      <c r="M123" s="28"/>
      <c r="N123" s="14"/>
      <c r="O123" s="11"/>
      <c r="P123" s="11"/>
      <c r="Q123" s="16"/>
      <c r="R123" s="2"/>
      <c r="S123" s="12"/>
      <c r="T123" s="17"/>
      <c r="U123" s="2"/>
      <c r="V123" s="18"/>
      <c r="W123" s="16"/>
    </row>
    <row r="124" spans="2:23" ht="18" x14ac:dyDescent="0.35">
      <c r="B124" s="95"/>
      <c r="C124" s="96"/>
      <c r="D124" s="97"/>
      <c r="E124" s="113"/>
      <c r="F124" s="99"/>
      <c r="G124" s="100"/>
      <c r="H124" s="101"/>
      <c r="I124" s="105"/>
      <c r="J124" s="83"/>
      <c r="K124" s="83"/>
      <c r="L124" s="12"/>
      <c r="M124" s="28"/>
      <c r="N124" s="14"/>
      <c r="O124" s="11"/>
      <c r="P124" s="11"/>
      <c r="Q124" s="16"/>
      <c r="R124" s="2"/>
      <c r="S124" s="12"/>
      <c r="T124" s="17"/>
      <c r="U124" s="2"/>
      <c r="V124" s="18"/>
      <c r="W124" s="16"/>
    </row>
    <row r="125" spans="2:23" ht="18" x14ac:dyDescent="0.35">
      <c r="B125" s="95"/>
      <c r="C125" s="96"/>
      <c r="D125" s="97"/>
      <c r="E125" s="113"/>
      <c r="F125" s="99"/>
      <c r="G125" s="100"/>
      <c r="H125" s="101"/>
      <c r="I125" s="105"/>
      <c r="J125" s="83"/>
      <c r="K125" s="83"/>
      <c r="L125" s="12"/>
      <c r="M125" s="28"/>
      <c r="N125" s="14"/>
      <c r="O125" s="11"/>
      <c r="P125" s="11"/>
      <c r="Q125" s="16"/>
      <c r="R125" s="2"/>
      <c r="S125" s="12"/>
      <c r="T125" s="17"/>
      <c r="U125" s="2"/>
      <c r="V125" s="18"/>
      <c r="W125" s="16"/>
    </row>
    <row r="126" spans="2:23" ht="18" x14ac:dyDescent="0.35">
      <c r="B126" s="95"/>
      <c r="C126" s="96"/>
      <c r="D126" s="97"/>
      <c r="E126" s="113"/>
      <c r="F126" s="99"/>
      <c r="G126" s="100"/>
      <c r="H126" s="101"/>
      <c r="I126" s="105"/>
      <c r="J126" s="83"/>
      <c r="K126" s="83"/>
      <c r="L126" s="12"/>
      <c r="M126" s="28"/>
      <c r="N126" s="14"/>
      <c r="O126" s="11"/>
      <c r="P126" s="11"/>
      <c r="Q126" s="16"/>
      <c r="R126" s="2"/>
      <c r="S126" s="12"/>
      <c r="T126" s="17"/>
      <c r="U126" s="2"/>
      <c r="V126" s="18"/>
      <c r="W126" s="16"/>
    </row>
    <row r="127" spans="2:23" ht="18" x14ac:dyDescent="0.35">
      <c r="B127" s="95"/>
      <c r="C127" s="96"/>
      <c r="D127" s="97"/>
      <c r="E127" s="113"/>
      <c r="F127" s="99"/>
      <c r="G127" s="100"/>
      <c r="H127" s="101"/>
      <c r="I127" s="105"/>
      <c r="J127" s="83"/>
      <c r="K127" s="83"/>
      <c r="L127" s="12"/>
      <c r="M127" s="28"/>
      <c r="N127" s="14"/>
      <c r="O127" s="11"/>
      <c r="P127" s="11"/>
      <c r="Q127" s="16"/>
      <c r="R127" s="2"/>
      <c r="S127" s="12"/>
      <c r="T127" s="17"/>
      <c r="U127" s="2"/>
      <c r="V127" s="18"/>
      <c r="W127" s="16"/>
    </row>
    <row r="128" spans="2:23" ht="18" x14ac:dyDescent="0.35">
      <c r="B128" s="95"/>
      <c r="C128" s="96"/>
      <c r="D128" s="97"/>
      <c r="E128" s="113"/>
      <c r="F128" s="99"/>
      <c r="G128" s="100"/>
      <c r="H128" s="101"/>
      <c r="I128" s="105"/>
      <c r="J128" s="83"/>
      <c r="K128" s="83"/>
      <c r="L128" s="12"/>
      <c r="M128" s="28"/>
      <c r="N128" s="14"/>
      <c r="O128" s="11"/>
      <c r="P128" s="11"/>
      <c r="Q128" s="16"/>
      <c r="R128" s="2"/>
      <c r="S128" s="12"/>
      <c r="T128" s="17"/>
      <c r="U128" s="2"/>
      <c r="V128" s="18"/>
      <c r="W128" s="16"/>
    </row>
    <row r="129" spans="1:23" ht="18.600000000000001" thickBot="1" x14ac:dyDescent="0.4">
      <c r="B129" s="114"/>
      <c r="C129" s="115"/>
      <c r="D129" s="116"/>
      <c r="E129" s="113"/>
      <c r="F129" s="117"/>
      <c r="G129" s="118"/>
      <c r="H129" s="119"/>
      <c r="I129" s="105"/>
      <c r="J129" s="83"/>
      <c r="K129" s="83"/>
      <c r="L129" s="30"/>
      <c r="M129" s="31"/>
      <c r="N129" s="32"/>
      <c r="O129" s="29"/>
      <c r="P129" s="29"/>
      <c r="Q129" s="33"/>
      <c r="R129" s="2"/>
      <c r="S129" s="30"/>
      <c r="T129" s="34"/>
      <c r="U129" s="2"/>
      <c r="V129" s="35"/>
      <c r="W129" s="33"/>
    </row>
    <row r="130" spans="1:23" ht="18.600000000000001" thickBot="1" x14ac:dyDescent="0.4">
      <c r="A130" s="120" t="s">
        <v>15</v>
      </c>
      <c r="B130" s="121">
        <f>SUM(B9:B129)</f>
        <v>536</v>
      </c>
      <c r="C130" s="122"/>
      <c r="D130" s="121"/>
      <c r="E130" s="123">
        <f>SUM(E9:E129)</f>
        <v>1035.6000000000001</v>
      </c>
      <c r="F130" s="124">
        <f>SUM(F9:F129)</f>
        <v>296.3</v>
      </c>
      <c r="G130" s="82"/>
      <c r="H130" s="125"/>
      <c r="I130" s="125">
        <f>SUM(I9:I129)</f>
        <v>7356.85</v>
      </c>
      <c r="J130" s="83"/>
      <c r="K130" s="83"/>
      <c r="L130" s="126"/>
      <c r="M130" s="126">
        <f>SUM(M9:M129)</f>
        <v>0</v>
      </c>
      <c r="N130" s="127">
        <f>SUM(N9:N129)</f>
        <v>0</v>
      </c>
      <c r="O130" s="82"/>
      <c r="P130" s="82">
        <f>SUM(P9:P129)</f>
        <v>0</v>
      </c>
      <c r="Q130" s="128">
        <f>SUM(Q9:Q129)</f>
        <v>0</v>
      </c>
      <c r="R130" s="83"/>
      <c r="S130" s="84"/>
      <c r="T130" s="129">
        <f>SUM(T9:T129)</f>
        <v>400</v>
      </c>
      <c r="U130" s="83"/>
      <c r="V130" s="82"/>
      <c r="W130" s="130">
        <f>SUM(W9:W129)</f>
        <v>2600</v>
      </c>
    </row>
  </sheetData>
  <sheetProtection algorithmName="SHA-512" hashValue="uA4nWAb4lhspOqDrEzhKuAPKXVharwZHt5au9PxwMGvt8X34kH+hFwXg4cRD9JqhDCPWfu8Dj7NEUuBCbuBJYA==" saltValue="60y6VJRB1LGp9mQyjFUE2g==" spinCount="100000" sheet="1" objects="1" scenarios="1"/>
  <mergeCells count="8">
    <mergeCell ref="V5:W5"/>
    <mergeCell ref="Y5:Z5"/>
    <mergeCell ref="E1:G1"/>
    <mergeCell ref="B2:C2"/>
    <mergeCell ref="B3:C3"/>
    <mergeCell ref="B5:I5"/>
    <mergeCell ref="L5:Q5"/>
    <mergeCell ref="S5:T5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C5C966-231C-4C32-AE98-FF7F2BC2D817}">
  <sheetPr codeName="Sheet54"/>
  <dimension ref="A1:Z130"/>
  <sheetViews>
    <sheetView topLeftCell="O1" zoomScale="80" zoomScaleNormal="80" workbookViewId="0">
      <selection activeCell="I68" sqref="I68"/>
    </sheetView>
  </sheetViews>
  <sheetFormatPr defaultColWidth="9.109375" defaultRowHeight="14.4" x14ac:dyDescent="0.3"/>
  <cols>
    <col min="1" max="1" width="15.5546875" style="36" customWidth="1"/>
    <col min="2" max="2" width="15.88671875" style="36" customWidth="1"/>
    <col min="3" max="3" width="20" style="76" customWidth="1"/>
    <col min="4" max="4" width="20.33203125" style="36" customWidth="1"/>
    <col min="5" max="5" width="22.33203125" style="36" customWidth="1"/>
    <col min="6" max="6" width="14.6640625" style="36" customWidth="1"/>
    <col min="7" max="7" width="22" style="76" customWidth="1"/>
    <col min="8" max="8" width="18.88671875" style="36" customWidth="1"/>
    <col min="9" max="9" width="23" style="36" customWidth="1"/>
    <col min="10" max="11" width="9.109375" style="36"/>
    <col min="12" max="12" width="20.6640625" style="76" customWidth="1"/>
    <col min="13" max="13" width="15.44140625" style="76" customWidth="1"/>
    <col min="14" max="14" width="22.6640625" style="36" customWidth="1"/>
    <col min="15" max="15" width="20.5546875" style="76" customWidth="1"/>
    <col min="16" max="16" width="13.33203125" style="76" customWidth="1"/>
    <col min="17" max="17" width="21.5546875" style="76" customWidth="1"/>
    <col min="18" max="18" width="9.109375" style="36"/>
    <col min="19" max="19" width="22" style="76" customWidth="1"/>
    <col min="20" max="20" width="22.33203125" style="76" customWidth="1"/>
    <col min="21" max="21" width="9.109375" style="36"/>
    <col min="22" max="22" width="21.88671875" style="76" customWidth="1"/>
    <col min="23" max="23" width="23.109375" style="76" customWidth="1"/>
    <col min="24" max="24" width="9.109375" style="36"/>
    <col min="25" max="25" width="21.33203125" style="36" customWidth="1"/>
    <col min="26" max="26" width="21.88671875" style="36" customWidth="1"/>
    <col min="27" max="16384" width="9.109375" style="36"/>
  </cols>
  <sheetData>
    <row r="1" spans="2:26" ht="21" x14ac:dyDescent="0.4">
      <c r="E1" s="189">
        <v>44170</v>
      </c>
      <c r="F1" s="189"/>
      <c r="G1" s="189"/>
    </row>
    <row r="2" spans="2:26" ht="18" x14ac:dyDescent="0.35">
      <c r="B2" s="190" t="s">
        <v>0</v>
      </c>
      <c r="C2" s="190"/>
      <c r="D2" s="1">
        <v>19600</v>
      </c>
    </row>
    <row r="3" spans="2:26" ht="18" x14ac:dyDescent="0.35">
      <c r="B3" s="190" t="s">
        <v>1</v>
      </c>
      <c r="C3" s="190"/>
      <c r="D3" s="77">
        <f>(D2-E130-I130)</f>
        <v>9781.15</v>
      </c>
    </row>
    <row r="5" spans="2:26" ht="36.6" x14ac:dyDescent="0.7">
      <c r="B5" s="187" t="s">
        <v>2</v>
      </c>
      <c r="C5" s="187"/>
      <c r="D5" s="187"/>
      <c r="E5" s="187"/>
      <c r="F5" s="187"/>
      <c r="G5" s="187"/>
      <c r="H5" s="187"/>
      <c r="I5" s="187"/>
      <c r="L5" s="187" t="s">
        <v>3</v>
      </c>
      <c r="M5" s="187"/>
      <c r="N5" s="187"/>
      <c r="O5" s="187"/>
      <c r="P5" s="187"/>
      <c r="Q5" s="187"/>
      <c r="S5" s="191" t="s">
        <v>4</v>
      </c>
      <c r="T5" s="191"/>
      <c r="V5" s="187" t="s">
        <v>5</v>
      </c>
      <c r="W5" s="187"/>
      <c r="Y5" s="188" t="s">
        <v>105</v>
      </c>
      <c r="Z5" s="187"/>
    </row>
    <row r="7" spans="2:26" ht="15" thickBot="1" x14ac:dyDescent="0.35"/>
    <row r="8" spans="2:26" ht="18.600000000000001" thickBot="1" x14ac:dyDescent="0.4">
      <c r="B8" s="78" t="s">
        <v>6</v>
      </c>
      <c r="C8" s="79" t="s">
        <v>7</v>
      </c>
      <c r="D8" s="78" t="s">
        <v>8</v>
      </c>
      <c r="E8" s="80" t="s">
        <v>9</v>
      </c>
      <c r="F8" s="81" t="s">
        <v>6</v>
      </c>
      <c r="G8" s="81" t="s">
        <v>10</v>
      </c>
      <c r="H8" s="81" t="s">
        <v>8</v>
      </c>
      <c r="I8" s="82" t="s">
        <v>9</v>
      </c>
      <c r="J8" s="83"/>
      <c r="K8" s="83"/>
      <c r="L8" s="84" t="s">
        <v>11</v>
      </c>
      <c r="M8" s="84" t="s">
        <v>6</v>
      </c>
      <c r="N8" s="84" t="s">
        <v>9</v>
      </c>
      <c r="O8" s="82" t="s">
        <v>12</v>
      </c>
      <c r="P8" s="82" t="s">
        <v>6</v>
      </c>
      <c r="Q8" s="82" t="s">
        <v>9</v>
      </c>
      <c r="R8" s="83"/>
      <c r="S8" s="84" t="s">
        <v>13</v>
      </c>
      <c r="T8" s="85" t="s">
        <v>9</v>
      </c>
      <c r="U8" s="83"/>
      <c r="V8" s="82" t="s">
        <v>14</v>
      </c>
      <c r="W8" s="82" t="s">
        <v>9</v>
      </c>
      <c r="Y8" s="146" t="s">
        <v>106</v>
      </c>
      <c r="Z8" s="147" t="s">
        <v>107</v>
      </c>
    </row>
    <row r="9" spans="2:26" ht="18" x14ac:dyDescent="0.35">
      <c r="B9" s="86">
        <v>75</v>
      </c>
      <c r="C9" s="87" t="s">
        <v>76</v>
      </c>
      <c r="D9" s="88">
        <v>2.4</v>
      </c>
      <c r="E9" s="89">
        <v>180</v>
      </c>
      <c r="F9" s="90">
        <v>1</v>
      </c>
      <c r="G9" s="91" t="s">
        <v>90</v>
      </c>
      <c r="H9" s="92">
        <v>90</v>
      </c>
      <c r="I9" s="93">
        <v>90</v>
      </c>
      <c r="J9" s="83"/>
      <c r="K9" s="83"/>
      <c r="L9" s="3"/>
      <c r="M9" s="4"/>
      <c r="N9" s="5"/>
      <c r="O9" s="6"/>
      <c r="P9" s="7"/>
      <c r="Q9" s="8"/>
      <c r="R9" s="2"/>
      <c r="S9" s="3"/>
      <c r="T9" s="9"/>
      <c r="U9" s="2"/>
      <c r="V9" s="10"/>
      <c r="W9" s="8"/>
      <c r="Y9" s="148" t="s">
        <v>88</v>
      </c>
      <c r="Z9" s="151">
        <f>SUMIF($C$9:$C$129, Y9, $B$9:$B$129)</f>
        <v>146</v>
      </c>
    </row>
    <row r="10" spans="2:26" ht="18" x14ac:dyDescent="0.35">
      <c r="B10" s="95">
        <v>24.5</v>
      </c>
      <c r="C10" s="96" t="s">
        <v>76</v>
      </c>
      <c r="D10" s="97">
        <v>2.4</v>
      </c>
      <c r="E10" s="98">
        <v>58.8</v>
      </c>
      <c r="F10" s="90">
        <v>0.2</v>
      </c>
      <c r="G10" s="91" t="s">
        <v>47</v>
      </c>
      <c r="H10" s="92">
        <v>13</v>
      </c>
      <c r="I10" s="93">
        <v>2.6</v>
      </c>
      <c r="J10" s="83"/>
      <c r="K10" s="83"/>
      <c r="L10" s="12"/>
      <c r="M10" s="13"/>
      <c r="N10" s="14"/>
      <c r="O10" s="11"/>
      <c r="P10" s="15"/>
      <c r="Q10" s="16"/>
      <c r="R10" s="2"/>
      <c r="S10" s="12"/>
      <c r="T10" s="17"/>
      <c r="U10" s="2"/>
      <c r="V10" s="18"/>
      <c r="W10" s="8"/>
      <c r="Y10" s="149" t="s">
        <v>76</v>
      </c>
      <c r="Z10" s="151">
        <f t="shared" ref="Z10:Z11" si="0">SUMIF($C$9:$C$129, Y10, $B$9:$B$129)</f>
        <v>282.5</v>
      </c>
    </row>
    <row r="11" spans="2:26" ht="18" x14ac:dyDescent="0.35">
      <c r="B11" s="95">
        <v>72.5</v>
      </c>
      <c r="C11" s="96" t="s">
        <v>77</v>
      </c>
      <c r="D11" s="97">
        <v>2.1</v>
      </c>
      <c r="E11" s="98">
        <v>152.25</v>
      </c>
      <c r="F11" s="90">
        <v>1</v>
      </c>
      <c r="G11" s="91" t="s">
        <v>90</v>
      </c>
      <c r="H11" s="92">
        <v>90</v>
      </c>
      <c r="I11" s="93">
        <v>90</v>
      </c>
      <c r="J11" s="83"/>
      <c r="K11" s="83"/>
      <c r="L11" s="12"/>
      <c r="M11" s="13"/>
      <c r="N11" s="14"/>
      <c r="O11" s="11"/>
      <c r="P11" s="15"/>
      <c r="Q11" s="16"/>
      <c r="R11" s="2"/>
      <c r="S11" s="12"/>
      <c r="T11" s="17"/>
      <c r="U11" s="2"/>
      <c r="V11" s="18"/>
      <c r="W11" s="8"/>
      <c r="Y11" s="149" t="s">
        <v>77</v>
      </c>
      <c r="Z11" s="151">
        <f t="shared" si="0"/>
        <v>346</v>
      </c>
    </row>
    <row r="12" spans="2:26" ht="18" x14ac:dyDescent="0.35">
      <c r="B12" s="95">
        <v>57.5</v>
      </c>
      <c r="C12" s="96" t="s">
        <v>77</v>
      </c>
      <c r="D12" s="97">
        <v>2.1</v>
      </c>
      <c r="E12" s="98">
        <v>120.75</v>
      </c>
      <c r="F12" s="90">
        <v>4</v>
      </c>
      <c r="G12" s="91" t="s">
        <v>94</v>
      </c>
      <c r="H12" s="92">
        <v>10</v>
      </c>
      <c r="I12" s="93">
        <v>40</v>
      </c>
      <c r="J12" s="83"/>
      <c r="K12" s="83"/>
      <c r="L12" s="12"/>
      <c r="M12" s="13"/>
      <c r="N12" s="14"/>
      <c r="O12" s="11"/>
      <c r="P12" s="15"/>
      <c r="Q12" s="16"/>
      <c r="R12" s="2"/>
      <c r="S12" s="12"/>
      <c r="T12" s="17"/>
      <c r="U12" s="2"/>
      <c r="V12" s="18"/>
      <c r="W12" s="8"/>
      <c r="Y12" s="149" t="s">
        <v>89</v>
      </c>
      <c r="Z12" s="152">
        <f>SUMIF($G$9:$G$129, Y12, $F$9:$F$129)</f>
        <v>0</v>
      </c>
    </row>
    <row r="13" spans="2:26" ht="18" x14ac:dyDescent="0.35">
      <c r="B13" s="95">
        <v>63</v>
      </c>
      <c r="C13" s="96" t="s">
        <v>76</v>
      </c>
      <c r="D13" s="97">
        <v>2.4</v>
      </c>
      <c r="E13" s="98">
        <v>151.19999999999999</v>
      </c>
      <c r="F13" s="90">
        <v>3.5</v>
      </c>
      <c r="G13" s="91" t="s">
        <v>90</v>
      </c>
      <c r="H13" s="92">
        <v>90</v>
      </c>
      <c r="I13" s="93">
        <v>315</v>
      </c>
      <c r="J13" s="83"/>
      <c r="K13" s="83"/>
      <c r="L13" s="12"/>
      <c r="M13" s="13"/>
      <c r="N13" s="14"/>
      <c r="O13" s="11"/>
      <c r="P13" s="15"/>
      <c r="Q13" s="16"/>
      <c r="R13" s="2"/>
      <c r="S13" s="12"/>
      <c r="T13" s="17"/>
      <c r="U13" s="2"/>
      <c r="V13" s="18"/>
      <c r="W13" s="8"/>
      <c r="Y13" s="149" t="s">
        <v>20</v>
      </c>
      <c r="Z13" s="152">
        <f t="shared" ref="Z13:Z76" si="1">SUMIF($G$9:$G$129, Y13, $F$9:$F$129)</f>
        <v>3.5</v>
      </c>
    </row>
    <row r="14" spans="2:26" ht="18" x14ac:dyDescent="0.35">
      <c r="B14" s="95">
        <v>9</v>
      </c>
      <c r="C14" s="96" t="s">
        <v>76</v>
      </c>
      <c r="D14" s="97">
        <v>2.4</v>
      </c>
      <c r="E14" s="98">
        <v>21.599999999999998</v>
      </c>
      <c r="F14" s="90">
        <v>28</v>
      </c>
      <c r="G14" s="91" t="s">
        <v>90</v>
      </c>
      <c r="H14" s="92">
        <v>90</v>
      </c>
      <c r="I14" s="93">
        <v>2520</v>
      </c>
      <c r="J14" s="83"/>
      <c r="K14" s="83"/>
      <c r="L14" s="12"/>
      <c r="M14" s="13"/>
      <c r="N14" s="14"/>
      <c r="O14" s="11"/>
      <c r="P14" s="15"/>
      <c r="Q14" s="16"/>
      <c r="R14" s="2"/>
      <c r="S14" s="12"/>
      <c r="T14" s="17"/>
      <c r="U14" s="2"/>
      <c r="V14" s="18"/>
      <c r="W14" s="8"/>
      <c r="Y14" s="149" t="s">
        <v>19</v>
      </c>
      <c r="Z14" s="152">
        <f t="shared" si="1"/>
        <v>0</v>
      </c>
    </row>
    <row r="15" spans="2:26" ht="18" x14ac:dyDescent="0.35">
      <c r="B15" s="95">
        <v>18</v>
      </c>
      <c r="C15" s="96" t="s">
        <v>77</v>
      </c>
      <c r="D15" s="97">
        <v>2.1</v>
      </c>
      <c r="E15" s="98">
        <v>37.800000000000004</v>
      </c>
      <c r="F15" s="90">
        <v>24.5</v>
      </c>
      <c r="G15" s="91" t="s">
        <v>48</v>
      </c>
      <c r="H15" s="92">
        <v>6</v>
      </c>
      <c r="I15" s="93">
        <v>147</v>
      </c>
      <c r="J15" s="83"/>
      <c r="K15" s="83"/>
      <c r="L15" s="12"/>
      <c r="M15" s="13"/>
      <c r="N15" s="14"/>
      <c r="O15" s="11"/>
      <c r="P15" s="15"/>
      <c r="Q15" s="16"/>
      <c r="R15" s="2"/>
      <c r="S15" s="12"/>
      <c r="T15" s="17"/>
      <c r="U15" s="2"/>
      <c r="V15" s="18"/>
      <c r="W15" s="8"/>
      <c r="Y15" s="149" t="s">
        <v>18</v>
      </c>
      <c r="Z15" s="152">
        <f t="shared" si="1"/>
        <v>47.1</v>
      </c>
    </row>
    <row r="16" spans="2:26" ht="18" x14ac:dyDescent="0.35">
      <c r="B16" s="95">
        <v>4</v>
      </c>
      <c r="C16" s="96" t="s">
        <v>77</v>
      </c>
      <c r="D16" s="97">
        <v>2.1</v>
      </c>
      <c r="E16" s="98">
        <v>8.4</v>
      </c>
      <c r="F16" s="90">
        <v>19.5</v>
      </c>
      <c r="G16" s="91" t="s">
        <v>83</v>
      </c>
      <c r="H16" s="92">
        <v>20</v>
      </c>
      <c r="I16" s="93">
        <v>390</v>
      </c>
      <c r="J16" s="83"/>
      <c r="K16" s="83"/>
      <c r="L16" s="12"/>
      <c r="M16" s="13"/>
      <c r="N16" s="14"/>
      <c r="O16" s="11"/>
      <c r="P16" s="15"/>
      <c r="Q16" s="16"/>
      <c r="R16" s="2"/>
      <c r="S16" s="12"/>
      <c r="T16" s="17"/>
      <c r="U16" s="2"/>
      <c r="V16" s="18"/>
      <c r="W16" s="8"/>
      <c r="Y16" s="149" t="s">
        <v>22</v>
      </c>
      <c r="Z16" s="152">
        <f t="shared" si="1"/>
        <v>0</v>
      </c>
    </row>
    <row r="17" spans="2:26" ht="18" x14ac:dyDescent="0.35">
      <c r="B17" s="95">
        <v>141</v>
      </c>
      <c r="C17" s="96" t="s">
        <v>88</v>
      </c>
      <c r="D17" s="97">
        <v>0.9</v>
      </c>
      <c r="E17" s="98">
        <v>126.9</v>
      </c>
      <c r="F17" s="90">
        <v>4</v>
      </c>
      <c r="G17" s="91" t="s">
        <v>18</v>
      </c>
      <c r="H17" s="92">
        <v>10</v>
      </c>
      <c r="I17" s="93">
        <v>40</v>
      </c>
      <c r="J17" s="83"/>
      <c r="K17" s="83"/>
      <c r="L17" s="12"/>
      <c r="M17" s="13"/>
      <c r="N17" s="14"/>
      <c r="O17" s="11"/>
      <c r="P17" s="15"/>
      <c r="Q17" s="16"/>
      <c r="R17" s="2"/>
      <c r="S17" s="12"/>
      <c r="T17" s="17"/>
      <c r="U17" s="2"/>
      <c r="V17" s="18"/>
      <c r="W17" s="8"/>
      <c r="Y17" s="149" t="s">
        <v>67</v>
      </c>
      <c r="Z17" s="152">
        <f t="shared" si="1"/>
        <v>0</v>
      </c>
    </row>
    <row r="18" spans="2:26" ht="18" x14ac:dyDescent="0.35">
      <c r="B18" s="95">
        <v>5</v>
      </c>
      <c r="C18" s="96" t="s">
        <v>77</v>
      </c>
      <c r="D18" s="97">
        <v>2.1</v>
      </c>
      <c r="E18" s="98">
        <v>10.5</v>
      </c>
      <c r="F18" s="90">
        <v>1</v>
      </c>
      <c r="G18" s="91" t="s">
        <v>84</v>
      </c>
      <c r="H18" s="92">
        <v>5</v>
      </c>
      <c r="I18" s="93">
        <v>5</v>
      </c>
      <c r="J18" s="83"/>
      <c r="K18" s="83"/>
      <c r="L18" s="12"/>
      <c r="M18" s="13"/>
      <c r="N18" s="14"/>
      <c r="O18" s="11"/>
      <c r="P18" s="15"/>
      <c r="Q18" s="16"/>
      <c r="R18" s="2"/>
      <c r="S18" s="12"/>
      <c r="T18" s="17"/>
      <c r="U18" s="2"/>
      <c r="V18" s="18"/>
      <c r="W18" s="8"/>
      <c r="Y18" s="149" t="s">
        <v>90</v>
      </c>
      <c r="Z18" s="152">
        <f t="shared" si="1"/>
        <v>52.300000000000004</v>
      </c>
    </row>
    <row r="19" spans="2:26" ht="18" x14ac:dyDescent="0.35">
      <c r="B19" s="95">
        <v>5</v>
      </c>
      <c r="C19" s="96" t="s">
        <v>88</v>
      </c>
      <c r="D19" s="97">
        <v>0.9</v>
      </c>
      <c r="E19" s="98">
        <v>4.5</v>
      </c>
      <c r="F19" s="90">
        <v>1.5</v>
      </c>
      <c r="G19" s="91" t="s">
        <v>90</v>
      </c>
      <c r="H19" s="92">
        <v>90</v>
      </c>
      <c r="I19" s="93">
        <v>135</v>
      </c>
      <c r="J19" s="83"/>
      <c r="K19" s="83"/>
      <c r="L19" s="12"/>
      <c r="M19" s="13"/>
      <c r="N19" s="14"/>
      <c r="O19" s="11"/>
      <c r="P19" s="15"/>
      <c r="Q19" s="16"/>
      <c r="R19" s="2"/>
      <c r="S19" s="12"/>
      <c r="T19" s="17"/>
      <c r="U19" s="2"/>
      <c r="V19" s="18"/>
      <c r="W19" s="8"/>
      <c r="Y19" s="149" t="s">
        <v>91</v>
      </c>
      <c r="Z19" s="152">
        <f t="shared" si="1"/>
        <v>0</v>
      </c>
    </row>
    <row r="20" spans="2:26" ht="18" x14ac:dyDescent="0.35">
      <c r="B20" s="95">
        <v>5</v>
      </c>
      <c r="C20" s="96" t="s">
        <v>77</v>
      </c>
      <c r="D20" s="97">
        <v>2.1</v>
      </c>
      <c r="E20" s="98">
        <v>10.5</v>
      </c>
      <c r="F20" s="90">
        <v>0.5</v>
      </c>
      <c r="G20" s="91" t="s">
        <v>52</v>
      </c>
      <c r="H20" s="92">
        <v>2</v>
      </c>
      <c r="I20" s="93">
        <v>1</v>
      </c>
      <c r="J20" s="83"/>
      <c r="K20" s="83"/>
      <c r="L20" s="12"/>
      <c r="M20" s="13"/>
      <c r="N20" s="14"/>
      <c r="O20" s="11"/>
      <c r="P20" s="15"/>
      <c r="Q20" s="16"/>
      <c r="R20" s="2"/>
      <c r="S20" s="12"/>
      <c r="T20" s="17"/>
      <c r="U20" s="2"/>
      <c r="V20" s="18"/>
      <c r="W20" s="8"/>
      <c r="Y20" s="149" t="s">
        <v>92</v>
      </c>
      <c r="Z20" s="152">
        <f t="shared" si="1"/>
        <v>0.7</v>
      </c>
    </row>
    <row r="21" spans="2:26" ht="18" x14ac:dyDescent="0.35">
      <c r="B21" s="95">
        <v>86</v>
      </c>
      <c r="C21" s="96" t="s">
        <v>77</v>
      </c>
      <c r="D21" s="97">
        <v>2.1</v>
      </c>
      <c r="E21" s="98">
        <v>180.6</v>
      </c>
      <c r="F21" s="90">
        <v>8</v>
      </c>
      <c r="G21" s="91" t="s">
        <v>18</v>
      </c>
      <c r="H21" s="92">
        <v>10</v>
      </c>
      <c r="I21" s="93">
        <v>80</v>
      </c>
      <c r="J21" s="83"/>
      <c r="K21" s="83"/>
      <c r="L21" s="12"/>
      <c r="M21" s="13"/>
      <c r="N21" s="14"/>
      <c r="O21" s="11"/>
      <c r="P21" s="15"/>
      <c r="Q21" s="16"/>
      <c r="R21" s="2"/>
      <c r="S21" s="12"/>
      <c r="T21" s="17"/>
      <c r="U21" s="2"/>
      <c r="V21" s="18"/>
      <c r="W21" s="8"/>
      <c r="Y21" s="149" t="s">
        <v>68</v>
      </c>
      <c r="Z21" s="152">
        <f t="shared" si="1"/>
        <v>0</v>
      </c>
    </row>
    <row r="22" spans="2:26" ht="18" x14ac:dyDescent="0.35">
      <c r="B22" s="95">
        <v>23.5</v>
      </c>
      <c r="C22" s="96" t="s">
        <v>77</v>
      </c>
      <c r="D22" s="97">
        <v>2.1</v>
      </c>
      <c r="E22" s="98">
        <v>49.35</v>
      </c>
      <c r="F22" s="90">
        <v>1.5</v>
      </c>
      <c r="G22" s="91" t="s">
        <v>94</v>
      </c>
      <c r="H22" s="92">
        <v>10</v>
      </c>
      <c r="I22" s="93">
        <v>15</v>
      </c>
      <c r="J22" s="83"/>
      <c r="K22" s="83"/>
      <c r="L22" s="12"/>
      <c r="M22" s="13"/>
      <c r="N22" s="14"/>
      <c r="O22" s="11"/>
      <c r="P22" s="15"/>
      <c r="Q22" s="16"/>
      <c r="R22" s="2"/>
      <c r="S22" s="12"/>
      <c r="T22" s="17"/>
      <c r="U22" s="2"/>
      <c r="V22" s="18"/>
      <c r="W22" s="8"/>
      <c r="Y22" s="149" t="s">
        <v>93</v>
      </c>
      <c r="Z22" s="152">
        <f t="shared" si="1"/>
        <v>0</v>
      </c>
    </row>
    <row r="23" spans="2:26" ht="18" x14ac:dyDescent="0.35">
      <c r="B23" s="95">
        <v>24</v>
      </c>
      <c r="C23" s="96" t="s">
        <v>77</v>
      </c>
      <c r="D23" s="97">
        <v>2.1</v>
      </c>
      <c r="E23" s="98">
        <v>50.400000000000006</v>
      </c>
      <c r="F23" s="90">
        <v>3.5</v>
      </c>
      <c r="G23" s="91" t="s">
        <v>32</v>
      </c>
      <c r="H23" s="92">
        <v>60</v>
      </c>
      <c r="I23" s="93">
        <v>210</v>
      </c>
      <c r="J23" s="83"/>
      <c r="K23" s="83"/>
      <c r="L23" s="12"/>
      <c r="M23" s="13"/>
      <c r="N23" s="14"/>
      <c r="O23" s="11"/>
      <c r="P23" s="15"/>
      <c r="Q23" s="16"/>
      <c r="R23" s="2"/>
      <c r="S23" s="12"/>
      <c r="T23" s="17"/>
      <c r="U23" s="2"/>
      <c r="V23" s="18"/>
      <c r="W23" s="8"/>
      <c r="Y23" s="149" t="s">
        <v>23</v>
      </c>
      <c r="Z23" s="152">
        <f t="shared" si="1"/>
        <v>9.1</v>
      </c>
    </row>
    <row r="24" spans="2:26" ht="18" x14ac:dyDescent="0.35">
      <c r="B24" s="95">
        <v>2</v>
      </c>
      <c r="C24" s="96" t="s">
        <v>76</v>
      </c>
      <c r="D24" s="97">
        <v>2.4</v>
      </c>
      <c r="E24" s="98">
        <v>4.8</v>
      </c>
      <c r="F24" s="90">
        <v>7.5</v>
      </c>
      <c r="G24" s="91" t="s">
        <v>90</v>
      </c>
      <c r="H24" s="92">
        <v>90</v>
      </c>
      <c r="I24" s="93">
        <v>675</v>
      </c>
      <c r="J24" s="83"/>
      <c r="K24" s="83"/>
      <c r="L24" s="12"/>
      <c r="M24" s="13"/>
      <c r="N24" s="14"/>
      <c r="O24" s="11"/>
      <c r="P24" s="15"/>
      <c r="Q24" s="16"/>
      <c r="R24" s="2"/>
      <c r="S24" s="12"/>
      <c r="T24" s="17"/>
      <c r="U24" s="2"/>
      <c r="V24" s="18"/>
      <c r="W24" s="8"/>
      <c r="Y24" s="149" t="s">
        <v>24</v>
      </c>
      <c r="Z24" s="152">
        <f t="shared" si="1"/>
        <v>0</v>
      </c>
    </row>
    <row r="25" spans="2:26" ht="18" x14ac:dyDescent="0.35">
      <c r="B25" s="95">
        <v>15</v>
      </c>
      <c r="C25" s="96" t="s">
        <v>77</v>
      </c>
      <c r="D25" s="97">
        <v>2.1</v>
      </c>
      <c r="E25" s="98">
        <v>31.5</v>
      </c>
      <c r="F25" s="90">
        <v>9.5</v>
      </c>
      <c r="G25" s="91" t="s">
        <v>94</v>
      </c>
      <c r="H25" s="92">
        <v>10</v>
      </c>
      <c r="I25" s="93">
        <v>95</v>
      </c>
      <c r="J25" s="83"/>
      <c r="K25" s="83"/>
      <c r="L25" s="12"/>
      <c r="M25" s="13"/>
      <c r="N25" s="14"/>
      <c r="O25" s="11"/>
      <c r="P25" s="15"/>
      <c r="Q25" s="16"/>
      <c r="R25" s="2"/>
      <c r="S25" s="12"/>
      <c r="T25" s="17"/>
      <c r="U25" s="2"/>
      <c r="V25" s="18"/>
      <c r="W25" s="8"/>
      <c r="Y25" s="149" t="s">
        <v>25</v>
      </c>
      <c r="Z25" s="152">
        <f t="shared" si="1"/>
        <v>0</v>
      </c>
    </row>
    <row r="26" spans="2:26" ht="18" x14ac:dyDescent="0.35">
      <c r="B26" s="95">
        <v>7</v>
      </c>
      <c r="C26" s="96" t="s">
        <v>77</v>
      </c>
      <c r="D26" s="97">
        <v>2.1</v>
      </c>
      <c r="E26" s="98">
        <v>14.700000000000001</v>
      </c>
      <c r="F26" s="90">
        <v>10.5</v>
      </c>
      <c r="G26" s="91" t="s">
        <v>18</v>
      </c>
      <c r="H26" s="92">
        <v>10</v>
      </c>
      <c r="I26" s="93">
        <v>105</v>
      </c>
      <c r="J26" s="83"/>
      <c r="K26" s="83"/>
      <c r="L26" s="12"/>
      <c r="M26" s="13"/>
      <c r="N26" s="14"/>
      <c r="O26" s="11"/>
      <c r="P26" s="15"/>
      <c r="Q26" s="16"/>
      <c r="R26" s="2"/>
      <c r="S26" s="12"/>
      <c r="T26" s="17"/>
      <c r="U26" s="2"/>
      <c r="V26" s="18"/>
      <c r="W26" s="8"/>
      <c r="Y26" s="149" t="s">
        <v>98</v>
      </c>
      <c r="Z26" s="152">
        <f t="shared" si="1"/>
        <v>0</v>
      </c>
    </row>
    <row r="27" spans="2:26" ht="18" x14ac:dyDescent="0.35">
      <c r="B27" s="95">
        <v>18.5</v>
      </c>
      <c r="C27" s="96" t="s">
        <v>77</v>
      </c>
      <c r="D27" s="97">
        <v>2.1</v>
      </c>
      <c r="E27" s="98">
        <v>38.85</v>
      </c>
      <c r="F27" s="90">
        <v>3</v>
      </c>
      <c r="G27" s="91" t="s">
        <v>96</v>
      </c>
      <c r="H27" s="92">
        <v>12</v>
      </c>
      <c r="I27" s="93">
        <v>36</v>
      </c>
      <c r="J27" s="83"/>
      <c r="K27" s="83"/>
      <c r="L27" s="12"/>
      <c r="M27" s="13"/>
      <c r="N27" s="14"/>
      <c r="O27" s="11"/>
      <c r="P27" s="15"/>
      <c r="Q27" s="16"/>
      <c r="R27" s="2"/>
      <c r="S27" s="12"/>
      <c r="T27" s="17"/>
      <c r="U27" s="2"/>
      <c r="V27" s="18"/>
      <c r="W27" s="8"/>
      <c r="Y27" s="149" t="s">
        <v>94</v>
      </c>
      <c r="Z27" s="152">
        <f t="shared" si="1"/>
        <v>51.5</v>
      </c>
    </row>
    <row r="28" spans="2:26" ht="18" x14ac:dyDescent="0.35">
      <c r="B28" s="95">
        <v>109</v>
      </c>
      <c r="C28" s="96" t="s">
        <v>76</v>
      </c>
      <c r="D28" s="97">
        <v>2.4</v>
      </c>
      <c r="E28" s="98">
        <v>261.59999999999997</v>
      </c>
      <c r="F28" s="90">
        <v>2.5</v>
      </c>
      <c r="G28" s="91" t="s">
        <v>23</v>
      </c>
      <c r="H28" s="92">
        <v>55</v>
      </c>
      <c r="I28" s="93">
        <v>137.5</v>
      </c>
      <c r="J28" s="83"/>
      <c r="K28" s="83"/>
      <c r="L28" s="12"/>
      <c r="M28" s="13"/>
      <c r="N28" s="14"/>
      <c r="O28" s="11"/>
      <c r="P28" s="15"/>
      <c r="Q28" s="16"/>
      <c r="R28" s="2"/>
      <c r="S28" s="12"/>
      <c r="T28" s="17"/>
      <c r="U28" s="2"/>
      <c r="V28" s="18"/>
      <c r="W28" s="8"/>
      <c r="Y28" s="149" t="s">
        <v>42</v>
      </c>
      <c r="Z28" s="152">
        <f t="shared" si="1"/>
        <v>0</v>
      </c>
    </row>
    <row r="29" spans="2:26" ht="18" x14ac:dyDescent="0.35">
      <c r="B29" s="95">
        <v>10</v>
      </c>
      <c r="C29" s="96" t="s">
        <v>77</v>
      </c>
      <c r="D29" s="97">
        <v>2.1</v>
      </c>
      <c r="E29" s="98">
        <v>21</v>
      </c>
      <c r="F29" s="90">
        <v>0.5</v>
      </c>
      <c r="G29" s="91" t="s">
        <v>23</v>
      </c>
      <c r="H29" s="92">
        <v>55</v>
      </c>
      <c r="I29" s="93">
        <v>27.5</v>
      </c>
      <c r="J29" s="83"/>
      <c r="K29" s="83"/>
      <c r="L29" s="12"/>
      <c r="M29" s="13"/>
      <c r="N29" s="14"/>
      <c r="O29" s="11"/>
      <c r="P29" s="15"/>
      <c r="Q29" s="16"/>
      <c r="R29" s="2"/>
      <c r="S29" s="12"/>
      <c r="T29" s="17"/>
      <c r="U29" s="2"/>
      <c r="V29" s="18"/>
      <c r="W29" s="8"/>
      <c r="Y29" s="149" t="s">
        <v>39</v>
      </c>
      <c r="Z29" s="152">
        <f t="shared" si="1"/>
        <v>0</v>
      </c>
    </row>
    <row r="30" spans="2:26" ht="18" x14ac:dyDescent="0.35">
      <c r="B30" s="95"/>
      <c r="C30" s="96"/>
      <c r="D30" s="97"/>
      <c r="E30" s="98"/>
      <c r="F30" s="90">
        <v>1</v>
      </c>
      <c r="G30" s="91" t="s">
        <v>90</v>
      </c>
      <c r="H30" s="92">
        <v>90</v>
      </c>
      <c r="I30" s="93">
        <v>90</v>
      </c>
      <c r="J30" s="83"/>
      <c r="K30" s="83"/>
      <c r="L30" s="12"/>
      <c r="M30" s="13"/>
      <c r="N30" s="14"/>
      <c r="O30" s="11"/>
      <c r="P30" s="15"/>
      <c r="Q30" s="16"/>
      <c r="R30" s="2"/>
      <c r="S30" s="12"/>
      <c r="T30" s="17"/>
      <c r="U30" s="2"/>
      <c r="V30" s="18"/>
      <c r="W30" s="8"/>
      <c r="Y30" s="149" t="s">
        <v>99</v>
      </c>
      <c r="Z30" s="152">
        <f t="shared" si="1"/>
        <v>0</v>
      </c>
    </row>
    <row r="31" spans="2:26" ht="18" x14ac:dyDescent="0.35">
      <c r="B31" s="95"/>
      <c r="C31" s="96"/>
      <c r="D31" s="97"/>
      <c r="E31" s="98"/>
      <c r="F31" s="90">
        <v>0.5</v>
      </c>
      <c r="G31" s="91" t="s">
        <v>94</v>
      </c>
      <c r="H31" s="92">
        <v>10</v>
      </c>
      <c r="I31" s="93">
        <v>5</v>
      </c>
      <c r="J31" s="83"/>
      <c r="K31" s="83"/>
      <c r="L31" s="12"/>
      <c r="M31" s="13"/>
      <c r="N31" s="14"/>
      <c r="O31" s="11"/>
      <c r="P31" s="15"/>
      <c r="Q31" s="16"/>
      <c r="R31" s="2"/>
      <c r="S31" s="12"/>
      <c r="T31" s="17"/>
      <c r="U31" s="2"/>
      <c r="V31" s="18"/>
      <c r="W31" s="8"/>
      <c r="Y31" s="149" t="s">
        <v>95</v>
      </c>
      <c r="Z31" s="152">
        <f t="shared" si="1"/>
        <v>0</v>
      </c>
    </row>
    <row r="32" spans="2:26" ht="18" x14ac:dyDescent="0.35">
      <c r="B32" s="95"/>
      <c r="C32" s="96"/>
      <c r="D32" s="97"/>
      <c r="E32" s="98"/>
      <c r="F32" s="90">
        <v>3</v>
      </c>
      <c r="G32" s="91" t="s">
        <v>18</v>
      </c>
      <c r="H32" s="92">
        <v>10</v>
      </c>
      <c r="I32" s="93">
        <v>30</v>
      </c>
      <c r="J32" s="83"/>
      <c r="K32" s="83"/>
      <c r="L32" s="12"/>
      <c r="M32" s="13"/>
      <c r="N32" s="14"/>
      <c r="O32" s="11"/>
      <c r="P32" s="15"/>
      <c r="Q32" s="16"/>
      <c r="R32" s="2"/>
      <c r="S32" s="12"/>
      <c r="T32" s="17"/>
      <c r="U32" s="2"/>
      <c r="V32" s="18"/>
      <c r="W32" s="8"/>
      <c r="Y32" s="149" t="s">
        <v>97</v>
      </c>
      <c r="Z32" s="152">
        <f t="shared" si="1"/>
        <v>0</v>
      </c>
    </row>
    <row r="33" spans="2:26" ht="18" x14ac:dyDescent="0.35">
      <c r="B33" s="95"/>
      <c r="C33" s="96"/>
      <c r="D33" s="97"/>
      <c r="E33" s="98"/>
      <c r="F33" s="90">
        <v>2.5</v>
      </c>
      <c r="G33" s="91" t="s">
        <v>18</v>
      </c>
      <c r="H33" s="92">
        <v>10</v>
      </c>
      <c r="I33" s="93">
        <v>25</v>
      </c>
      <c r="J33" s="83"/>
      <c r="K33" s="83"/>
      <c r="L33" s="12"/>
      <c r="M33" s="13"/>
      <c r="N33" s="14"/>
      <c r="O33" s="11"/>
      <c r="P33" s="15"/>
      <c r="Q33" s="16"/>
      <c r="R33" s="2"/>
      <c r="S33" s="12"/>
      <c r="T33" s="17"/>
      <c r="U33" s="2"/>
      <c r="V33" s="18"/>
      <c r="W33" s="8"/>
      <c r="Y33" s="149" t="s">
        <v>43</v>
      </c>
      <c r="Z33" s="152">
        <f t="shared" si="1"/>
        <v>0</v>
      </c>
    </row>
    <row r="34" spans="2:26" ht="18" x14ac:dyDescent="0.35">
      <c r="B34" s="95"/>
      <c r="C34" s="96"/>
      <c r="D34" s="97"/>
      <c r="E34" s="98"/>
      <c r="F34" s="90">
        <v>0.5</v>
      </c>
      <c r="G34" s="91" t="s">
        <v>94</v>
      </c>
      <c r="H34" s="92">
        <v>10</v>
      </c>
      <c r="I34" s="93">
        <v>5</v>
      </c>
      <c r="J34" s="83"/>
      <c r="K34" s="83"/>
      <c r="L34" s="12"/>
      <c r="M34" s="13"/>
      <c r="N34" s="14"/>
      <c r="O34" s="11"/>
      <c r="P34" s="15"/>
      <c r="Q34" s="16"/>
      <c r="R34" s="2"/>
      <c r="S34" s="12"/>
      <c r="T34" s="17"/>
      <c r="U34" s="2"/>
      <c r="V34" s="18"/>
      <c r="W34" s="8"/>
      <c r="Y34" s="149" t="s">
        <v>32</v>
      </c>
      <c r="Z34" s="152">
        <f t="shared" si="1"/>
        <v>3.5</v>
      </c>
    </row>
    <row r="35" spans="2:26" ht="18" x14ac:dyDescent="0.35">
      <c r="B35" s="95"/>
      <c r="C35" s="96"/>
      <c r="D35" s="97"/>
      <c r="E35" s="98"/>
      <c r="F35" s="90">
        <v>7.5</v>
      </c>
      <c r="G35" s="91" t="s">
        <v>94</v>
      </c>
      <c r="H35" s="92">
        <v>10</v>
      </c>
      <c r="I35" s="93">
        <v>75</v>
      </c>
      <c r="J35" s="83"/>
      <c r="K35" s="83"/>
      <c r="L35" s="12"/>
      <c r="M35" s="13"/>
      <c r="N35" s="14"/>
      <c r="O35" s="11"/>
      <c r="P35" s="15"/>
      <c r="Q35" s="16"/>
      <c r="R35" s="2"/>
      <c r="S35" s="12"/>
      <c r="T35" s="17"/>
      <c r="U35" s="2"/>
      <c r="V35" s="18"/>
      <c r="W35" s="8"/>
      <c r="Y35" s="149" t="s">
        <v>33</v>
      </c>
      <c r="Z35" s="152">
        <f t="shared" si="1"/>
        <v>0</v>
      </c>
    </row>
    <row r="36" spans="2:26" ht="18" x14ac:dyDescent="0.35">
      <c r="B36" s="95"/>
      <c r="C36" s="96"/>
      <c r="D36" s="97"/>
      <c r="E36" s="98"/>
      <c r="F36" s="90">
        <v>1</v>
      </c>
      <c r="G36" s="91" t="s">
        <v>90</v>
      </c>
      <c r="H36" s="92">
        <v>90</v>
      </c>
      <c r="I36" s="93">
        <v>90</v>
      </c>
      <c r="J36" s="83"/>
      <c r="K36" s="83"/>
      <c r="L36" s="12"/>
      <c r="M36" s="13"/>
      <c r="N36" s="14"/>
      <c r="O36" s="11"/>
      <c r="P36" s="15"/>
      <c r="Q36" s="16"/>
      <c r="R36" s="2"/>
      <c r="S36" s="12"/>
      <c r="T36" s="17"/>
      <c r="U36" s="2"/>
      <c r="V36" s="18"/>
      <c r="W36" s="8"/>
      <c r="Y36" s="149" t="s">
        <v>30</v>
      </c>
      <c r="Z36" s="152">
        <f t="shared" si="1"/>
        <v>0</v>
      </c>
    </row>
    <row r="37" spans="2:26" ht="18" x14ac:dyDescent="0.35">
      <c r="B37" s="95"/>
      <c r="C37" s="96"/>
      <c r="D37" s="97"/>
      <c r="E37" s="98"/>
      <c r="F37" s="90">
        <v>2</v>
      </c>
      <c r="G37" s="91" t="s">
        <v>90</v>
      </c>
      <c r="H37" s="92">
        <v>90</v>
      </c>
      <c r="I37" s="93">
        <v>180</v>
      </c>
      <c r="J37" s="83"/>
      <c r="K37" s="83"/>
      <c r="L37" s="12"/>
      <c r="M37" s="13"/>
      <c r="N37" s="14"/>
      <c r="O37" s="11"/>
      <c r="P37" s="15"/>
      <c r="Q37" s="16"/>
      <c r="R37" s="2"/>
      <c r="S37" s="12"/>
      <c r="T37" s="17"/>
      <c r="U37" s="2"/>
      <c r="V37" s="18"/>
      <c r="W37" s="8"/>
      <c r="Y37" s="149" t="s">
        <v>31</v>
      </c>
      <c r="Z37" s="152">
        <f t="shared" si="1"/>
        <v>0</v>
      </c>
    </row>
    <row r="38" spans="2:26" ht="18" x14ac:dyDescent="0.35">
      <c r="B38" s="95"/>
      <c r="C38" s="96"/>
      <c r="D38" s="97"/>
      <c r="E38" s="98"/>
      <c r="F38" s="90">
        <v>0.6</v>
      </c>
      <c r="G38" s="91" t="s">
        <v>23</v>
      </c>
      <c r="H38" s="92">
        <v>55</v>
      </c>
      <c r="I38" s="93">
        <v>33</v>
      </c>
      <c r="J38" s="83"/>
      <c r="K38" s="83"/>
      <c r="L38" s="12"/>
      <c r="M38" s="13"/>
      <c r="N38" s="14"/>
      <c r="O38" s="11"/>
      <c r="P38" s="15"/>
      <c r="Q38" s="16"/>
      <c r="R38" s="2"/>
      <c r="S38" s="12"/>
      <c r="T38" s="17"/>
      <c r="U38" s="2"/>
      <c r="V38" s="18"/>
      <c r="W38" s="8"/>
      <c r="Y38" s="149" t="s">
        <v>84</v>
      </c>
      <c r="Z38" s="152">
        <f t="shared" si="1"/>
        <v>4</v>
      </c>
    </row>
    <row r="39" spans="2:26" ht="18" x14ac:dyDescent="0.35">
      <c r="B39" s="95"/>
      <c r="C39" s="96"/>
      <c r="D39" s="97"/>
      <c r="E39" s="98"/>
      <c r="F39" s="90">
        <v>4</v>
      </c>
      <c r="G39" s="91" t="s">
        <v>23</v>
      </c>
      <c r="H39" s="92">
        <v>55</v>
      </c>
      <c r="I39" s="93">
        <v>220</v>
      </c>
      <c r="J39" s="83"/>
      <c r="K39" s="83"/>
      <c r="L39" s="12"/>
      <c r="M39" s="13"/>
      <c r="N39" s="14"/>
      <c r="O39" s="11"/>
      <c r="P39" s="15"/>
      <c r="Q39" s="16"/>
      <c r="R39" s="2"/>
      <c r="S39" s="12"/>
      <c r="T39" s="17"/>
      <c r="U39" s="2"/>
      <c r="V39" s="18"/>
      <c r="W39" s="8"/>
      <c r="Y39" s="149" t="s">
        <v>85</v>
      </c>
      <c r="Z39" s="152">
        <f t="shared" si="1"/>
        <v>2.5</v>
      </c>
    </row>
    <row r="40" spans="2:26" ht="18" x14ac:dyDescent="0.35">
      <c r="B40" s="95"/>
      <c r="C40" s="96"/>
      <c r="D40" s="97"/>
      <c r="E40" s="98"/>
      <c r="F40" s="90">
        <v>35</v>
      </c>
      <c r="G40" s="91" t="s">
        <v>48</v>
      </c>
      <c r="H40" s="92">
        <v>6</v>
      </c>
      <c r="I40" s="93">
        <v>210</v>
      </c>
      <c r="J40" s="83"/>
      <c r="K40" s="83"/>
      <c r="L40" s="12"/>
      <c r="M40" s="13"/>
      <c r="N40" s="14"/>
      <c r="O40" s="11"/>
      <c r="P40" s="15"/>
      <c r="Q40" s="16"/>
      <c r="R40" s="2"/>
      <c r="S40" s="12"/>
      <c r="T40" s="17"/>
      <c r="U40" s="2"/>
      <c r="V40" s="18"/>
      <c r="W40" s="8"/>
      <c r="Y40" s="149" t="s">
        <v>86</v>
      </c>
      <c r="Z40" s="152">
        <f t="shared" si="1"/>
        <v>2</v>
      </c>
    </row>
    <row r="41" spans="2:26" ht="18" x14ac:dyDescent="0.35">
      <c r="B41" s="95"/>
      <c r="C41" s="96"/>
      <c r="D41" s="97"/>
      <c r="E41" s="98"/>
      <c r="F41" s="90">
        <v>158.5</v>
      </c>
      <c r="G41" s="91" t="s">
        <v>70</v>
      </c>
      <c r="H41" s="92">
        <v>5.5</v>
      </c>
      <c r="I41" s="93">
        <v>871.75</v>
      </c>
      <c r="J41" s="83"/>
      <c r="K41" s="83"/>
      <c r="L41" s="12"/>
      <c r="M41" s="13"/>
      <c r="N41" s="14"/>
      <c r="O41" s="11"/>
      <c r="P41" s="15"/>
      <c r="Q41" s="16"/>
      <c r="R41" s="2"/>
      <c r="S41" s="12"/>
      <c r="T41" s="17"/>
      <c r="U41" s="2"/>
      <c r="V41" s="18"/>
      <c r="W41" s="8"/>
      <c r="Y41" s="149" t="s">
        <v>87</v>
      </c>
      <c r="Z41" s="152">
        <f t="shared" si="1"/>
        <v>0</v>
      </c>
    </row>
    <row r="42" spans="2:26" ht="18" x14ac:dyDescent="0.35">
      <c r="B42" s="95"/>
      <c r="C42" s="96"/>
      <c r="D42" s="97"/>
      <c r="E42" s="98"/>
      <c r="F42" s="90">
        <v>1</v>
      </c>
      <c r="G42" s="91" t="s">
        <v>18</v>
      </c>
      <c r="H42" s="92">
        <v>10</v>
      </c>
      <c r="I42" s="93">
        <v>10</v>
      </c>
      <c r="J42" s="83"/>
      <c r="K42" s="83"/>
      <c r="L42" s="12"/>
      <c r="M42" s="13"/>
      <c r="N42" s="14"/>
      <c r="O42" s="11"/>
      <c r="P42" s="15"/>
      <c r="Q42" s="16"/>
      <c r="R42" s="2"/>
      <c r="S42" s="12"/>
      <c r="T42" s="17"/>
      <c r="U42" s="2"/>
      <c r="V42" s="18"/>
      <c r="W42" s="8"/>
      <c r="Y42" s="149" t="s">
        <v>46</v>
      </c>
      <c r="Z42" s="152">
        <f t="shared" si="1"/>
        <v>0</v>
      </c>
    </row>
    <row r="43" spans="2:26" ht="18" x14ac:dyDescent="0.35">
      <c r="B43" s="95"/>
      <c r="C43" s="96"/>
      <c r="D43" s="97"/>
      <c r="E43" s="98"/>
      <c r="F43" s="90">
        <v>1</v>
      </c>
      <c r="G43" s="91" t="s">
        <v>90</v>
      </c>
      <c r="H43" s="92">
        <v>90</v>
      </c>
      <c r="I43" s="93">
        <v>90</v>
      </c>
      <c r="J43" s="83"/>
      <c r="K43" s="83"/>
      <c r="L43" s="12"/>
      <c r="M43" s="13"/>
      <c r="N43" s="14"/>
      <c r="O43" s="11"/>
      <c r="P43" s="15"/>
      <c r="Q43" s="16"/>
      <c r="R43" s="2"/>
      <c r="S43" s="12"/>
      <c r="T43" s="17"/>
      <c r="U43" s="2"/>
      <c r="V43" s="18"/>
      <c r="W43" s="8"/>
      <c r="Y43" s="149" t="s">
        <v>47</v>
      </c>
      <c r="Z43" s="152">
        <f t="shared" si="1"/>
        <v>0.2</v>
      </c>
    </row>
    <row r="44" spans="2:26" ht="18" x14ac:dyDescent="0.35">
      <c r="B44" s="95"/>
      <c r="C44" s="96"/>
      <c r="D44" s="97"/>
      <c r="E44" s="98"/>
      <c r="F44" s="90">
        <v>1</v>
      </c>
      <c r="G44" s="91" t="s">
        <v>90</v>
      </c>
      <c r="H44" s="92">
        <v>90</v>
      </c>
      <c r="I44" s="93">
        <v>90</v>
      </c>
      <c r="J44" s="83"/>
      <c r="K44" s="83"/>
      <c r="L44" s="12"/>
      <c r="M44" s="13"/>
      <c r="N44" s="14"/>
      <c r="O44" s="11"/>
      <c r="P44" s="15"/>
      <c r="Q44" s="16"/>
      <c r="R44" s="2"/>
      <c r="S44" s="12"/>
      <c r="T44" s="17"/>
      <c r="U44" s="2"/>
      <c r="V44" s="18"/>
      <c r="W44" s="8"/>
      <c r="Y44" s="149" t="s">
        <v>48</v>
      </c>
      <c r="Z44" s="152">
        <f t="shared" si="1"/>
        <v>59.5</v>
      </c>
    </row>
    <row r="45" spans="2:26" ht="18" x14ac:dyDescent="0.35">
      <c r="B45" s="95"/>
      <c r="C45" s="96"/>
      <c r="D45" s="97"/>
      <c r="E45" s="98"/>
      <c r="F45" s="90">
        <v>0.5</v>
      </c>
      <c r="G45" s="91" t="s">
        <v>92</v>
      </c>
      <c r="H45" s="92">
        <v>75</v>
      </c>
      <c r="I45" s="93">
        <v>37.5</v>
      </c>
      <c r="J45" s="83"/>
      <c r="K45" s="83"/>
      <c r="L45" s="12"/>
      <c r="M45" s="13"/>
      <c r="N45" s="14"/>
      <c r="O45" s="11"/>
      <c r="P45" s="15"/>
      <c r="Q45" s="16"/>
      <c r="R45" s="2"/>
      <c r="S45" s="12"/>
      <c r="T45" s="17"/>
      <c r="U45" s="2"/>
      <c r="V45" s="18"/>
      <c r="W45" s="8"/>
      <c r="Y45" s="149" t="s">
        <v>83</v>
      </c>
      <c r="Z45" s="152">
        <f t="shared" si="1"/>
        <v>19.5</v>
      </c>
    </row>
    <row r="46" spans="2:26" ht="18" x14ac:dyDescent="0.35">
      <c r="B46" s="95"/>
      <c r="C46" s="96"/>
      <c r="D46" s="97"/>
      <c r="E46" s="98"/>
      <c r="F46" s="90">
        <v>0.2</v>
      </c>
      <c r="G46" s="91" t="s">
        <v>90</v>
      </c>
      <c r="H46" s="92">
        <v>90</v>
      </c>
      <c r="I46" s="93">
        <v>18</v>
      </c>
      <c r="J46" s="83"/>
      <c r="K46" s="83"/>
      <c r="L46" s="12"/>
      <c r="M46" s="13"/>
      <c r="N46" s="14"/>
      <c r="O46" s="11"/>
      <c r="P46" s="15"/>
      <c r="Q46" s="16"/>
      <c r="R46" s="2"/>
      <c r="S46" s="12"/>
      <c r="T46" s="17"/>
      <c r="U46" s="2"/>
      <c r="V46" s="18"/>
      <c r="W46" s="8"/>
      <c r="Y46" s="149" t="s">
        <v>96</v>
      </c>
      <c r="Z46" s="152">
        <f t="shared" si="1"/>
        <v>3</v>
      </c>
    </row>
    <row r="47" spans="2:26" ht="18" x14ac:dyDescent="0.35">
      <c r="B47" s="95"/>
      <c r="C47" s="96"/>
      <c r="D47" s="97"/>
      <c r="E47" s="98"/>
      <c r="F47" s="90">
        <v>3.5</v>
      </c>
      <c r="G47" s="91" t="s">
        <v>20</v>
      </c>
      <c r="H47" s="92">
        <v>1</v>
      </c>
      <c r="I47" s="93">
        <v>3.5</v>
      </c>
      <c r="J47" s="83"/>
      <c r="K47" s="83"/>
      <c r="L47" s="12"/>
      <c r="M47" s="13"/>
      <c r="N47" s="14"/>
      <c r="O47" s="11"/>
      <c r="P47" s="15"/>
      <c r="Q47" s="16"/>
      <c r="R47" s="2"/>
      <c r="S47" s="12"/>
      <c r="T47" s="17"/>
      <c r="U47" s="2"/>
      <c r="V47" s="18"/>
      <c r="W47" s="8"/>
      <c r="Y47" s="149" t="s">
        <v>73</v>
      </c>
      <c r="Z47" s="152">
        <f t="shared" si="1"/>
        <v>0</v>
      </c>
    </row>
    <row r="48" spans="2:26" ht="18" x14ac:dyDescent="0.35">
      <c r="B48" s="95"/>
      <c r="C48" s="96"/>
      <c r="D48" s="97"/>
      <c r="E48" s="98"/>
      <c r="F48" s="90">
        <v>2</v>
      </c>
      <c r="G48" s="91" t="s">
        <v>84</v>
      </c>
      <c r="H48" s="92">
        <v>5</v>
      </c>
      <c r="I48" s="93">
        <v>10</v>
      </c>
      <c r="J48" s="83"/>
      <c r="K48" s="83"/>
      <c r="L48" s="12"/>
      <c r="M48" s="13"/>
      <c r="N48" s="14"/>
      <c r="O48" s="11"/>
      <c r="P48" s="15"/>
      <c r="Q48" s="16"/>
      <c r="R48" s="2"/>
      <c r="S48" s="12"/>
      <c r="T48" s="17"/>
      <c r="U48" s="2"/>
      <c r="V48" s="18"/>
      <c r="W48" s="8"/>
      <c r="Y48" s="149" t="s">
        <v>74</v>
      </c>
      <c r="Z48" s="152">
        <f t="shared" si="1"/>
        <v>4.5</v>
      </c>
    </row>
    <row r="49" spans="2:26" ht="18" x14ac:dyDescent="0.35">
      <c r="B49" s="95"/>
      <c r="C49" s="96"/>
      <c r="D49" s="97"/>
      <c r="E49" s="98"/>
      <c r="F49" s="90">
        <v>1.5</v>
      </c>
      <c r="G49" s="91" t="s">
        <v>94</v>
      </c>
      <c r="H49" s="92">
        <v>10</v>
      </c>
      <c r="I49" s="93">
        <v>15</v>
      </c>
      <c r="J49" s="83"/>
      <c r="K49" s="83"/>
      <c r="L49" s="12"/>
      <c r="M49" s="13"/>
      <c r="N49" s="14"/>
      <c r="O49" s="11"/>
      <c r="P49" s="15"/>
      <c r="Q49" s="16"/>
      <c r="R49" s="2"/>
      <c r="S49" s="12"/>
      <c r="T49" s="17"/>
      <c r="U49" s="2"/>
      <c r="V49" s="18"/>
      <c r="W49" s="8"/>
      <c r="Y49" s="149" t="s">
        <v>70</v>
      </c>
      <c r="Z49" s="152">
        <f t="shared" si="1"/>
        <v>158.5</v>
      </c>
    </row>
    <row r="50" spans="2:26" ht="18" x14ac:dyDescent="0.35">
      <c r="B50" s="95"/>
      <c r="C50" s="96"/>
      <c r="D50" s="97"/>
      <c r="E50" s="98"/>
      <c r="F50" s="90">
        <v>0.5</v>
      </c>
      <c r="G50" s="91" t="s">
        <v>90</v>
      </c>
      <c r="H50" s="92">
        <v>90</v>
      </c>
      <c r="I50" s="93">
        <v>45</v>
      </c>
      <c r="J50" s="83"/>
      <c r="K50" s="83"/>
      <c r="L50" s="12"/>
      <c r="M50" s="13"/>
      <c r="N50" s="14"/>
      <c r="O50" s="11"/>
      <c r="P50" s="15"/>
      <c r="Q50" s="16"/>
      <c r="R50" s="2"/>
      <c r="S50" s="12"/>
      <c r="T50" s="17"/>
      <c r="U50" s="2"/>
      <c r="V50" s="18"/>
      <c r="W50" s="8"/>
      <c r="Y50" s="149" t="s">
        <v>64</v>
      </c>
      <c r="Z50" s="152">
        <f t="shared" si="1"/>
        <v>0</v>
      </c>
    </row>
    <row r="51" spans="2:26" ht="18" x14ac:dyDescent="0.35">
      <c r="B51" s="95"/>
      <c r="C51" s="96"/>
      <c r="D51" s="97"/>
      <c r="E51" s="98"/>
      <c r="F51" s="90">
        <v>0.6</v>
      </c>
      <c r="G51" s="91" t="s">
        <v>90</v>
      </c>
      <c r="H51" s="92">
        <v>90</v>
      </c>
      <c r="I51" s="93">
        <v>54</v>
      </c>
      <c r="J51" s="83"/>
      <c r="K51" s="83"/>
      <c r="L51" s="12"/>
      <c r="M51" s="13"/>
      <c r="N51" s="14"/>
      <c r="O51" s="11"/>
      <c r="P51" s="15"/>
      <c r="Q51" s="16"/>
      <c r="R51" s="2"/>
      <c r="S51" s="12"/>
      <c r="T51" s="17"/>
      <c r="U51" s="2"/>
      <c r="V51" s="18"/>
      <c r="W51" s="8"/>
      <c r="Y51" s="149" t="s">
        <v>65</v>
      </c>
      <c r="Z51" s="152">
        <f t="shared" si="1"/>
        <v>0</v>
      </c>
    </row>
    <row r="52" spans="2:26" ht="18" x14ac:dyDescent="0.35">
      <c r="B52" s="95"/>
      <c r="C52" s="96"/>
      <c r="D52" s="97"/>
      <c r="E52" s="98"/>
      <c r="F52" s="90">
        <v>13.5</v>
      </c>
      <c r="G52" s="91" t="s">
        <v>18</v>
      </c>
      <c r="H52" s="92">
        <v>10</v>
      </c>
      <c r="I52" s="93">
        <v>135</v>
      </c>
      <c r="J52" s="83"/>
      <c r="K52" s="83"/>
      <c r="L52" s="12"/>
      <c r="M52" s="13"/>
      <c r="N52" s="14"/>
      <c r="O52" s="11"/>
      <c r="P52" s="15"/>
      <c r="Q52" s="16"/>
      <c r="R52" s="2"/>
      <c r="S52" s="12"/>
      <c r="T52" s="17"/>
      <c r="U52" s="2"/>
      <c r="V52" s="18"/>
      <c r="W52" s="8"/>
      <c r="Y52" s="149" t="s">
        <v>66</v>
      </c>
      <c r="Z52" s="152">
        <f t="shared" si="1"/>
        <v>0</v>
      </c>
    </row>
    <row r="53" spans="2:26" ht="18" x14ac:dyDescent="0.35">
      <c r="B53" s="95"/>
      <c r="C53" s="96"/>
      <c r="D53" s="97"/>
      <c r="E53" s="98"/>
      <c r="F53" s="90">
        <v>0.6</v>
      </c>
      <c r="G53" s="91" t="s">
        <v>18</v>
      </c>
      <c r="H53" s="92">
        <v>10</v>
      </c>
      <c r="I53" s="93">
        <v>6</v>
      </c>
      <c r="J53" s="83"/>
      <c r="K53" s="83"/>
      <c r="L53" s="12"/>
      <c r="M53" s="13"/>
      <c r="N53" s="14"/>
      <c r="O53" s="11"/>
      <c r="P53" s="15"/>
      <c r="Q53" s="16"/>
      <c r="R53" s="2"/>
      <c r="S53" s="12"/>
      <c r="T53" s="17"/>
      <c r="U53" s="2"/>
      <c r="V53" s="18"/>
      <c r="W53" s="8"/>
      <c r="Y53" s="149" t="s">
        <v>100</v>
      </c>
      <c r="Z53" s="152">
        <f t="shared" si="1"/>
        <v>0</v>
      </c>
    </row>
    <row r="54" spans="2:26" ht="18" x14ac:dyDescent="0.35">
      <c r="B54" s="95"/>
      <c r="C54" s="96"/>
      <c r="D54" s="97"/>
      <c r="E54" s="98"/>
      <c r="F54" s="90">
        <v>2.5</v>
      </c>
      <c r="G54" s="91" t="s">
        <v>94</v>
      </c>
      <c r="H54" s="92">
        <v>10</v>
      </c>
      <c r="I54" s="93">
        <v>25</v>
      </c>
      <c r="J54" s="83"/>
      <c r="K54" s="83"/>
      <c r="L54" s="12"/>
      <c r="M54" s="13"/>
      <c r="N54" s="14"/>
      <c r="O54" s="11"/>
      <c r="P54" s="15"/>
      <c r="Q54" s="16"/>
      <c r="R54" s="2"/>
      <c r="S54" s="12"/>
      <c r="T54" s="17"/>
      <c r="U54" s="2"/>
      <c r="V54" s="18"/>
      <c r="W54" s="8"/>
      <c r="Y54" s="149" t="s">
        <v>101</v>
      </c>
      <c r="Z54" s="152">
        <f t="shared" si="1"/>
        <v>0</v>
      </c>
    </row>
    <row r="55" spans="2:26" ht="18" x14ac:dyDescent="0.35">
      <c r="B55" s="95"/>
      <c r="C55" s="96"/>
      <c r="D55" s="97"/>
      <c r="E55" s="98"/>
      <c r="F55" s="90">
        <v>3</v>
      </c>
      <c r="G55" s="91" t="s">
        <v>18</v>
      </c>
      <c r="H55" s="92">
        <v>10</v>
      </c>
      <c r="I55" s="93">
        <v>30</v>
      </c>
      <c r="J55" s="83"/>
      <c r="K55" s="83"/>
      <c r="L55" s="12"/>
      <c r="M55" s="13"/>
      <c r="N55" s="14"/>
      <c r="O55" s="11"/>
      <c r="P55" s="15"/>
      <c r="Q55" s="16"/>
      <c r="R55" s="2"/>
      <c r="S55" s="12"/>
      <c r="T55" s="17"/>
      <c r="U55" s="2"/>
      <c r="V55" s="18"/>
      <c r="W55" s="8"/>
      <c r="Y55" s="149" t="s">
        <v>102</v>
      </c>
      <c r="Z55" s="152">
        <f t="shared" si="1"/>
        <v>3.5</v>
      </c>
    </row>
    <row r="56" spans="2:26" ht="18" x14ac:dyDescent="0.35">
      <c r="B56" s="95"/>
      <c r="C56" s="96"/>
      <c r="D56" s="97"/>
      <c r="E56" s="98"/>
      <c r="F56" s="90">
        <v>2</v>
      </c>
      <c r="G56" s="91" t="s">
        <v>90</v>
      </c>
      <c r="H56" s="92">
        <v>90</v>
      </c>
      <c r="I56" s="93">
        <v>180</v>
      </c>
      <c r="J56" s="83"/>
      <c r="K56" s="83"/>
      <c r="L56" s="12"/>
      <c r="M56" s="13"/>
      <c r="N56" s="14"/>
      <c r="O56" s="11"/>
      <c r="P56" s="15"/>
      <c r="Q56" s="16"/>
      <c r="R56" s="2"/>
      <c r="S56" s="12"/>
      <c r="T56" s="17"/>
      <c r="U56" s="2"/>
      <c r="V56" s="18"/>
      <c r="W56" s="8"/>
      <c r="Y56" s="149" t="s">
        <v>26</v>
      </c>
      <c r="Z56" s="152">
        <f t="shared" si="1"/>
        <v>0</v>
      </c>
    </row>
    <row r="57" spans="2:26" ht="18" x14ac:dyDescent="0.35">
      <c r="B57" s="95"/>
      <c r="C57" s="96"/>
      <c r="D57" s="97"/>
      <c r="E57" s="98"/>
      <c r="F57" s="90">
        <v>0.5</v>
      </c>
      <c r="G57" s="91" t="s">
        <v>23</v>
      </c>
      <c r="H57" s="92">
        <v>55</v>
      </c>
      <c r="I57" s="93">
        <v>27.5</v>
      </c>
      <c r="J57" s="83"/>
      <c r="K57" s="83"/>
      <c r="L57" s="12"/>
      <c r="M57" s="13"/>
      <c r="N57" s="14"/>
      <c r="O57" s="11"/>
      <c r="P57" s="15"/>
      <c r="Q57" s="16"/>
      <c r="R57" s="2"/>
      <c r="S57" s="12"/>
      <c r="T57" s="17"/>
      <c r="U57" s="2"/>
      <c r="V57" s="18"/>
      <c r="W57" s="8"/>
      <c r="Y57" s="149" t="s">
        <v>27</v>
      </c>
      <c r="Z57" s="152">
        <f t="shared" si="1"/>
        <v>0</v>
      </c>
    </row>
    <row r="58" spans="2:26" ht="18" x14ac:dyDescent="0.35">
      <c r="B58" s="95"/>
      <c r="C58" s="96"/>
      <c r="D58" s="97"/>
      <c r="E58" s="98"/>
      <c r="F58" s="90">
        <v>2.5</v>
      </c>
      <c r="G58" s="91" t="s">
        <v>85</v>
      </c>
      <c r="H58" s="92">
        <v>10</v>
      </c>
      <c r="I58" s="93">
        <v>25</v>
      </c>
      <c r="J58" s="83"/>
      <c r="K58" s="83"/>
      <c r="L58" s="12"/>
      <c r="M58" s="13"/>
      <c r="N58" s="14"/>
      <c r="O58" s="11"/>
      <c r="P58" s="15"/>
      <c r="Q58" s="16"/>
      <c r="R58" s="2"/>
      <c r="S58" s="12"/>
      <c r="T58" s="17"/>
      <c r="U58" s="2"/>
      <c r="V58" s="18"/>
      <c r="W58" s="8"/>
      <c r="Y58" s="149" t="s">
        <v>28</v>
      </c>
      <c r="Z58" s="152">
        <f t="shared" si="1"/>
        <v>0</v>
      </c>
    </row>
    <row r="59" spans="2:26" ht="18" x14ac:dyDescent="0.35">
      <c r="B59" s="95"/>
      <c r="C59" s="96"/>
      <c r="D59" s="97"/>
      <c r="E59" s="98"/>
      <c r="F59" s="90">
        <v>1</v>
      </c>
      <c r="G59" s="91" t="s">
        <v>84</v>
      </c>
      <c r="H59" s="92">
        <v>5</v>
      </c>
      <c r="I59" s="93">
        <v>5</v>
      </c>
      <c r="J59" s="83"/>
      <c r="K59" s="83"/>
      <c r="L59" s="12"/>
      <c r="M59" s="13"/>
      <c r="N59" s="14"/>
      <c r="O59" s="11"/>
      <c r="P59" s="15"/>
      <c r="Q59" s="16"/>
      <c r="R59" s="2"/>
      <c r="S59" s="12"/>
      <c r="T59" s="17"/>
      <c r="U59" s="2"/>
      <c r="V59" s="18"/>
      <c r="W59" s="8"/>
      <c r="Y59" s="149" t="s">
        <v>29</v>
      </c>
      <c r="Z59" s="152">
        <f t="shared" si="1"/>
        <v>0</v>
      </c>
    </row>
    <row r="60" spans="2:26" ht="18" x14ac:dyDescent="0.35">
      <c r="B60" s="95"/>
      <c r="C60" s="96"/>
      <c r="D60" s="97"/>
      <c r="E60" s="98"/>
      <c r="F60" s="90">
        <v>1</v>
      </c>
      <c r="G60" s="91" t="s">
        <v>23</v>
      </c>
      <c r="H60" s="92">
        <v>55</v>
      </c>
      <c r="I60" s="93">
        <v>55</v>
      </c>
      <c r="J60" s="83"/>
      <c r="K60" s="83"/>
      <c r="L60" s="12"/>
      <c r="M60" s="13"/>
      <c r="N60" s="14"/>
      <c r="O60" s="11"/>
      <c r="P60" s="15"/>
      <c r="Q60" s="16"/>
      <c r="R60" s="2"/>
      <c r="S60" s="12"/>
      <c r="T60" s="17"/>
      <c r="U60" s="2"/>
      <c r="V60" s="18"/>
      <c r="W60" s="8"/>
      <c r="Y60" s="149" t="s">
        <v>34</v>
      </c>
      <c r="Z60" s="152">
        <f t="shared" si="1"/>
        <v>0</v>
      </c>
    </row>
    <row r="61" spans="2:26" ht="18" x14ac:dyDescent="0.35">
      <c r="B61" s="95"/>
      <c r="C61" s="96"/>
      <c r="D61" s="97"/>
      <c r="E61" s="98"/>
      <c r="F61" s="90">
        <v>0.5</v>
      </c>
      <c r="G61" s="91" t="s">
        <v>90</v>
      </c>
      <c r="H61" s="92">
        <v>90</v>
      </c>
      <c r="I61" s="93">
        <v>45</v>
      </c>
      <c r="J61" s="83"/>
      <c r="K61" s="83"/>
      <c r="L61" s="12"/>
      <c r="M61" s="13"/>
      <c r="N61" s="14"/>
      <c r="O61" s="11"/>
      <c r="P61" s="15"/>
      <c r="Q61" s="16"/>
      <c r="R61" s="2"/>
      <c r="S61" s="12"/>
      <c r="T61" s="17"/>
      <c r="U61" s="2"/>
      <c r="V61" s="18"/>
      <c r="W61" s="8"/>
      <c r="Y61" s="149" t="s">
        <v>35</v>
      </c>
      <c r="Z61" s="152">
        <f t="shared" si="1"/>
        <v>0</v>
      </c>
    </row>
    <row r="62" spans="2:26" ht="18" x14ac:dyDescent="0.35">
      <c r="B62" s="95"/>
      <c r="C62" s="96"/>
      <c r="D62" s="97"/>
      <c r="E62" s="98"/>
      <c r="F62" s="90">
        <v>23.5</v>
      </c>
      <c r="G62" s="91" t="s">
        <v>94</v>
      </c>
      <c r="H62" s="92">
        <v>10</v>
      </c>
      <c r="I62" s="93">
        <v>235</v>
      </c>
      <c r="J62" s="83"/>
      <c r="K62" s="83"/>
      <c r="L62" s="12"/>
      <c r="M62" s="13"/>
      <c r="N62" s="14"/>
      <c r="O62" s="11"/>
      <c r="P62" s="15"/>
      <c r="Q62" s="16"/>
      <c r="R62" s="2"/>
      <c r="S62" s="12"/>
      <c r="T62" s="17"/>
      <c r="U62" s="2"/>
      <c r="V62" s="18"/>
      <c r="W62" s="8"/>
      <c r="Y62" s="149" t="s">
        <v>36</v>
      </c>
      <c r="Z62" s="152">
        <f t="shared" si="1"/>
        <v>0</v>
      </c>
    </row>
    <row r="63" spans="2:26" ht="18" x14ac:dyDescent="0.35">
      <c r="B63" s="95"/>
      <c r="C63" s="96"/>
      <c r="D63" s="97"/>
      <c r="E63" s="98"/>
      <c r="F63" s="90">
        <v>3.5</v>
      </c>
      <c r="G63" s="91" t="s">
        <v>102</v>
      </c>
      <c r="H63" s="92">
        <v>5</v>
      </c>
      <c r="I63" s="93">
        <v>17.5</v>
      </c>
      <c r="J63" s="83"/>
      <c r="K63" s="83"/>
      <c r="L63" s="12"/>
      <c r="M63" s="13"/>
      <c r="N63" s="14"/>
      <c r="O63" s="11"/>
      <c r="P63" s="15"/>
      <c r="Q63" s="16"/>
      <c r="R63" s="2"/>
      <c r="S63" s="12"/>
      <c r="T63" s="17"/>
      <c r="U63" s="2"/>
      <c r="V63" s="18"/>
      <c r="W63" s="8"/>
      <c r="Y63" s="149" t="s">
        <v>37</v>
      </c>
      <c r="Z63" s="152">
        <f t="shared" si="1"/>
        <v>0</v>
      </c>
    </row>
    <row r="64" spans="2:26" ht="18" x14ac:dyDescent="0.35">
      <c r="B64" s="95"/>
      <c r="C64" s="96"/>
      <c r="D64" s="97"/>
      <c r="E64" s="98"/>
      <c r="F64" s="90">
        <v>4.5</v>
      </c>
      <c r="G64" s="91" t="s">
        <v>74</v>
      </c>
      <c r="H64" s="92">
        <v>5</v>
      </c>
      <c r="I64" s="93">
        <v>22.5</v>
      </c>
      <c r="J64" s="83"/>
      <c r="K64" s="83"/>
      <c r="L64" s="12"/>
      <c r="M64" s="13"/>
      <c r="N64" s="14"/>
      <c r="O64" s="11"/>
      <c r="P64" s="15"/>
      <c r="Q64" s="16"/>
      <c r="R64" s="2"/>
      <c r="S64" s="12"/>
      <c r="T64" s="17"/>
      <c r="U64" s="2"/>
      <c r="V64" s="18"/>
      <c r="W64" s="8"/>
      <c r="Y64" s="149" t="s">
        <v>38</v>
      </c>
      <c r="Z64" s="152">
        <f t="shared" si="1"/>
        <v>0</v>
      </c>
    </row>
    <row r="65" spans="2:26" ht="18" x14ac:dyDescent="0.35">
      <c r="B65" s="95"/>
      <c r="C65" s="96"/>
      <c r="D65" s="97"/>
      <c r="E65" s="98"/>
      <c r="F65" s="99">
        <v>2</v>
      </c>
      <c r="G65" s="100" t="s">
        <v>86</v>
      </c>
      <c r="H65" s="101">
        <v>40</v>
      </c>
      <c r="I65" s="102">
        <v>80</v>
      </c>
      <c r="J65" s="83"/>
      <c r="K65" s="83"/>
      <c r="L65" s="12"/>
      <c r="M65" s="13"/>
      <c r="N65" s="14"/>
      <c r="O65" s="11"/>
      <c r="P65" s="15"/>
      <c r="Q65" s="16"/>
      <c r="R65" s="2"/>
      <c r="S65" s="12"/>
      <c r="T65" s="17"/>
      <c r="U65" s="2"/>
      <c r="V65" s="18"/>
      <c r="W65" s="8"/>
      <c r="Y65" s="149" t="s">
        <v>40</v>
      </c>
      <c r="Z65" s="152">
        <f t="shared" si="1"/>
        <v>0</v>
      </c>
    </row>
    <row r="66" spans="2:26" ht="18" x14ac:dyDescent="0.35">
      <c r="B66" s="95"/>
      <c r="C66" s="96"/>
      <c r="D66" s="97"/>
      <c r="E66" s="98"/>
      <c r="F66" s="90">
        <v>1</v>
      </c>
      <c r="G66" s="91" t="s">
        <v>18</v>
      </c>
      <c r="H66" s="92">
        <v>10</v>
      </c>
      <c r="I66" s="93">
        <v>10</v>
      </c>
      <c r="J66" s="83"/>
      <c r="K66" s="83"/>
      <c r="L66" s="12"/>
      <c r="M66" s="13"/>
      <c r="N66" s="14"/>
      <c r="O66" s="11"/>
      <c r="P66" s="15"/>
      <c r="Q66" s="16"/>
      <c r="R66" s="2"/>
      <c r="S66" s="12"/>
      <c r="T66" s="17"/>
      <c r="U66" s="2"/>
      <c r="V66" s="18"/>
      <c r="W66" s="8"/>
      <c r="Y66" s="149" t="s">
        <v>41</v>
      </c>
      <c r="Z66" s="152">
        <f t="shared" si="1"/>
        <v>0</v>
      </c>
    </row>
    <row r="67" spans="2:26" ht="18" x14ac:dyDescent="0.35">
      <c r="B67" s="95"/>
      <c r="C67" s="96"/>
      <c r="D67" s="97"/>
      <c r="E67" s="98"/>
      <c r="F67" s="103">
        <v>0.5</v>
      </c>
      <c r="G67" s="94" t="s">
        <v>94</v>
      </c>
      <c r="H67" s="104">
        <v>10</v>
      </c>
      <c r="I67" s="105">
        <v>5</v>
      </c>
      <c r="J67" s="83"/>
      <c r="K67" s="83"/>
      <c r="L67" s="12"/>
      <c r="M67" s="13"/>
      <c r="N67" s="14"/>
      <c r="O67" s="11"/>
      <c r="P67" s="15"/>
      <c r="Q67" s="16"/>
      <c r="R67" s="2"/>
      <c r="S67" s="12"/>
      <c r="T67" s="17"/>
      <c r="U67" s="2"/>
      <c r="V67" s="18"/>
      <c r="W67" s="8"/>
      <c r="Y67" s="149" t="s">
        <v>69</v>
      </c>
      <c r="Z67" s="152">
        <f t="shared" si="1"/>
        <v>0</v>
      </c>
    </row>
    <row r="68" spans="2:26" ht="18" x14ac:dyDescent="0.35">
      <c r="B68" s="95"/>
      <c r="C68" s="96"/>
      <c r="D68" s="97"/>
      <c r="E68" s="98"/>
      <c r="F68" s="90">
        <v>0.2</v>
      </c>
      <c r="G68" s="91" t="s">
        <v>92</v>
      </c>
      <c r="H68" s="92">
        <v>75</v>
      </c>
      <c r="I68" s="105">
        <v>15</v>
      </c>
      <c r="J68" s="83"/>
      <c r="K68" s="83"/>
      <c r="L68" s="12"/>
      <c r="M68" s="13"/>
      <c r="N68" s="14"/>
      <c r="O68" s="11"/>
      <c r="P68" s="15"/>
      <c r="Q68" s="16"/>
      <c r="R68" s="2"/>
      <c r="S68" s="12"/>
      <c r="T68" s="17"/>
      <c r="U68" s="2"/>
      <c r="V68" s="18"/>
      <c r="W68" s="8"/>
      <c r="Y68" s="149" t="s">
        <v>108</v>
      </c>
      <c r="Z68" s="152">
        <f t="shared" si="1"/>
        <v>0</v>
      </c>
    </row>
    <row r="69" spans="2:26" ht="18" x14ac:dyDescent="0.35">
      <c r="B69" s="95"/>
      <c r="C69" s="96"/>
      <c r="D69" s="97"/>
      <c r="E69" s="98"/>
      <c r="F69" s="90"/>
      <c r="G69" s="91"/>
      <c r="H69" s="92"/>
      <c r="I69" s="105"/>
      <c r="J69" s="83"/>
      <c r="K69" s="83"/>
      <c r="L69" s="12"/>
      <c r="M69" s="13"/>
      <c r="N69" s="14"/>
      <c r="O69" s="11"/>
      <c r="P69" s="15"/>
      <c r="Q69" s="16"/>
      <c r="R69" s="2"/>
      <c r="S69" s="12"/>
      <c r="T69" s="17"/>
      <c r="U69" s="2"/>
      <c r="V69" s="18"/>
      <c r="W69" s="8"/>
      <c r="Y69" s="149" t="s">
        <v>44</v>
      </c>
      <c r="Z69" s="152">
        <f t="shared" si="1"/>
        <v>0</v>
      </c>
    </row>
    <row r="70" spans="2:26" ht="18" x14ac:dyDescent="0.35">
      <c r="B70" s="95"/>
      <c r="C70" s="96"/>
      <c r="D70" s="97"/>
      <c r="E70" s="98"/>
      <c r="F70" s="90"/>
      <c r="G70" s="91"/>
      <c r="H70" s="92"/>
      <c r="I70" s="105"/>
      <c r="J70" s="83"/>
      <c r="K70" s="83"/>
      <c r="L70" s="12"/>
      <c r="M70" s="13"/>
      <c r="N70" s="14"/>
      <c r="O70" s="11"/>
      <c r="P70" s="15"/>
      <c r="Q70" s="16"/>
      <c r="R70" s="2"/>
      <c r="S70" s="12"/>
      <c r="T70" s="17"/>
      <c r="U70" s="2"/>
      <c r="V70" s="18"/>
      <c r="W70" s="8"/>
      <c r="Y70" s="149" t="s">
        <v>45</v>
      </c>
      <c r="Z70" s="152">
        <f t="shared" si="1"/>
        <v>0</v>
      </c>
    </row>
    <row r="71" spans="2:26" ht="18" x14ac:dyDescent="0.35">
      <c r="B71" s="95"/>
      <c r="C71" s="96"/>
      <c r="D71" s="97"/>
      <c r="E71" s="98"/>
      <c r="F71" s="90"/>
      <c r="G71" s="91"/>
      <c r="H71" s="92"/>
      <c r="I71" s="105"/>
      <c r="J71" s="83"/>
      <c r="K71" s="83"/>
      <c r="L71" s="12"/>
      <c r="M71" s="13"/>
      <c r="N71" s="14"/>
      <c r="O71" s="11"/>
      <c r="P71" s="15"/>
      <c r="Q71" s="16"/>
      <c r="R71" s="2"/>
      <c r="S71" s="12"/>
      <c r="T71" s="17"/>
      <c r="U71" s="2"/>
      <c r="V71" s="18"/>
      <c r="W71" s="8"/>
      <c r="Y71" s="149" t="s">
        <v>49</v>
      </c>
      <c r="Z71" s="152">
        <f t="shared" si="1"/>
        <v>0</v>
      </c>
    </row>
    <row r="72" spans="2:26" ht="18" x14ac:dyDescent="0.35">
      <c r="B72" s="106"/>
      <c r="C72" s="107"/>
      <c r="D72" s="108"/>
      <c r="E72" s="109"/>
      <c r="F72" s="90"/>
      <c r="G72" s="91"/>
      <c r="H72" s="92"/>
      <c r="I72" s="105"/>
      <c r="J72" s="83"/>
      <c r="K72" s="83"/>
      <c r="L72" s="12"/>
      <c r="M72" s="13"/>
      <c r="N72" s="14"/>
      <c r="O72" s="11"/>
      <c r="P72" s="15"/>
      <c r="Q72" s="16"/>
      <c r="R72" s="2"/>
      <c r="S72" s="12"/>
      <c r="T72" s="17"/>
      <c r="U72" s="2"/>
      <c r="V72" s="18"/>
      <c r="W72" s="8"/>
      <c r="Y72" s="149" t="s">
        <v>50</v>
      </c>
      <c r="Z72" s="152">
        <f t="shared" si="1"/>
        <v>0</v>
      </c>
    </row>
    <row r="73" spans="2:26" ht="18" x14ac:dyDescent="0.35">
      <c r="B73" s="95"/>
      <c r="C73" s="96"/>
      <c r="D73" s="97"/>
      <c r="E73" s="98"/>
      <c r="F73" s="90"/>
      <c r="G73" s="91"/>
      <c r="H73" s="92"/>
      <c r="I73" s="105"/>
      <c r="J73" s="83"/>
      <c r="K73" s="83"/>
      <c r="L73" s="20"/>
      <c r="M73" s="21"/>
      <c r="N73" s="22"/>
      <c r="O73" s="19"/>
      <c r="P73" s="23"/>
      <c r="Q73" s="24"/>
      <c r="R73" s="2"/>
      <c r="S73" s="20"/>
      <c r="T73" s="25"/>
      <c r="U73" s="2"/>
      <c r="V73" s="26"/>
      <c r="W73" s="27"/>
      <c r="Y73" s="149" t="s">
        <v>51</v>
      </c>
      <c r="Z73" s="152">
        <f t="shared" si="1"/>
        <v>0</v>
      </c>
    </row>
    <row r="74" spans="2:26" ht="18" x14ac:dyDescent="0.35">
      <c r="B74" s="110"/>
      <c r="C74" s="111"/>
      <c r="D74" s="112"/>
      <c r="E74" s="113"/>
      <c r="F74" s="90"/>
      <c r="G74" s="91"/>
      <c r="H74" s="92"/>
      <c r="I74" s="105"/>
      <c r="J74" s="83"/>
      <c r="K74" s="83"/>
      <c r="L74" s="12"/>
      <c r="M74" s="28"/>
      <c r="N74" s="14"/>
      <c r="O74" s="11"/>
      <c r="P74" s="11"/>
      <c r="Q74" s="16"/>
      <c r="R74" s="2"/>
      <c r="S74" s="12"/>
      <c r="T74" s="17"/>
      <c r="U74" s="2"/>
      <c r="V74" s="18"/>
      <c r="W74" s="16"/>
      <c r="Y74" s="149" t="s">
        <v>52</v>
      </c>
      <c r="Z74" s="152">
        <f t="shared" si="1"/>
        <v>0.5</v>
      </c>
    </row>
    <row r="75" spans="2:26" ht="18" x14ac:dyDescent="0.35">
      <c r="B75" s="95"/>
      <c r="C75" s="96"/>
      <c r="D75" s="97"/>
      <c r="E75" s="113"/>
      <c r="F75" s="90"/>
      <c r="G75" s="91"/>
      <c r="H75" s="92"/>
      <c r="I75" s="105"/>
      <c r="J75" s="83"/>
      <c r="K75" s="83"/>
      <c r="L75" s="12"/>
      <c r="M75" s="28"/>
      <c r="N75" s="14"/>
      <c r="O75" s="11"/>
      <c r="P75" s="11"/>
      <c r="Q75" s="16"/>
      <c r="R75" s="2"/>
      <c r="S75" s="12"/>
      <c r="T75" s="17"/>
      <c r="U75" s="2"/>
      <c r="V75" s="18"/>
      <c r="W75" s="16"/>
      <c r="Y75" s="149" t="s">
        <v>72</v>
      </c>
      <c r="Z75" s="152">
        <f t="shared" si="1"/>
        <v>0</v>
      </c>
    </row>
    <row r="76" spans="2:26" ht="18" x14ac:dyDescent="0.35">
      <c r="B76" s="95"/>
      <c r="C76" s="96"/>
      <c r="D76" s="97"/>
      <c r="E76" s="113"/>
      <c r="F76" s="90"/>
      <c r="G76" s="91"/>
      <c r="H76" s="92"/>
      <c r="I76" s="105"/>
      <c r="J76" s="83"/>
      <c r="K76" s="83"/>
      <c r="L76" s="12"/>
      <c r="M76" s="28"/>
      <c r="N76" s="14"/>
      <c r="O76" s="11"/>
      <c r="P76" s="11"/>
      <c r="Q76" s="16"/>
      <c r="R76" s="2"/>
      <c r="S76" s="12"/>
      <c r="T76" s="17"/>
      <c r="U76" s="2"/>
      <c r="V76" s="18"/>
      <c r="W76" s="16"/>
      <c r="Y76" s="149" t="s">
        <v>71</v>
      </c>
      <c r="Z76" s="152">
        <f t="shared" si="1"/>
        <v>0</v>
      </c>
    </row>
    <row r="77" spans="2:26" ht="18" x14ac:dyDescent="0.35">
      <c r="B77" s="95"/>
      <c r="C77" s="96"/>
      <c r="D77" s="97"/>
      <c r="E77" s="113"/>
      <c r="F77" s="90"/>
      <c r="G77" s="91"/>
      <c r="H77" s="92"/>
      <c r="I77" s="105"/>
      <c r="J77" s="83"/>
      <c r="K77" s="83"/>
      <c r="L77" s="12"/>
      <c r="M77" s="28"/>
      <c r="N77" s="14"/>
      <c r="O77" s="11"/>
      <c r="P77" s="11"/>
      <c r="Q77" s="16"/>
      <c r="R77" s="2"/>
      <c r="S77" s="12"/>
      <c r="T77" s="17"/>
      <c r="U77" s="2"/>
      <c r="V77" s="18"/>
      <c r="W77" s="16"/>
      <c r="Y77" s="149" t="s">
        <v>53</v>
      </c>
      <c r="Z77" s="152">
        <f t="shared" ref="Z77:Z79" si="2">SUMIF($G$9:$G$129, Y77, $F$9:$F$129)</f>
        <v>0</v>
      </c>
    </row>
    <row r="78" spans="2:26" ht="18" x14ac:dyDescent="0.35">
      <c r="B78" s="95"/>
      <c r="C78" s="96"/>
      <c r="D78" s="97"/>
      <c r="E78" s="113"/>
      <c r="F78" s="90"/>
      <c r="G78" s="91"/>
      <c r="H78" s="92"/>
      <c r="I78" s="105"/>
      <c r="J78" s="83"/>
      <c r="K78" s="83"/>
      <c r="L78" s="12"/>
      <c r="M78" s="28"/>
      <c r="N78" s="14"/>
      <c r="O78" s="11"/>
      <c r="P78" s="11"/>
      <c r="Q78" s="16"/>
      <c r="R78" s="2"/>
      <c r="S78" s="12"/>
      <c r="T78" s="17"/>
      <c r="U78" s="2"/>
      <c r="V78" s="18"/>
      <c r="W78" s="16"/>
      <c r="Y78" s="149" t="s">
        <v>54</v>
      </c>
      <c r="Z78" s="152">
        <f t="shared" si="2"/>
        <v>0</v>
      </c>
    </row>
    <row r="79" spans="2:26" ht="18.600000000000001" thickBot="1" x14ac:dyDescent="0.4">
      <c r="B79" s="95"/>
      <c r="C79" s="96"/>
      <c r="D79" s="97"/>
      <c r="E79" s="113"/>
      <c r="F79" s="90"/>
      <c r="G79" s="91"/>
      <c r="H79" s="92"/>
      <c r="I79" s="105"/>
      <c r="J79" s="83"/>
      <c r="K79" s="83"/>
      <c r="L79" s="12"/>
      <c r="M79" s="28"/>
      <c r="N79" s="14"/>
      <c r="O79" s="11"/>
      <c r="P79" s="11"/>
      <c r="Q79" s="16"/>
      <c r="R79" s="2"/>
      <c r="S79" s="12"/>
      <c r="T79" s="17"/>
      <c r="U79" s="2"/>
      <c r="V79" s="18"/>
      <c r="W79" s="16"/>
      <c r="Y79" s="150" t="s">
        <v>55</v>
      </c>
      <c r="Z79" s="153">
        <f t="shared" si="2"/>
        <v>0</v>
      </c>
    </row>
    <row r="80" spans="2:26" ht="18" x14ac:dyDescent="0.35">
      <c r="B80" s="95"/>
      <c r="C80" s="96"/>
      <c r="D80" s="97"/>
      <c r="E80" s="113"/>
      <c r="F80" s="90"/>
      <c r="G80" s="91"/>
      <c r="H80" s="92"/>
      <c r="I80" s="105"/>
      <c r="J80" s="83"/>
      <c r="K80" s="83"/>
      <c r="L80" s="12"/>
      <c r="M80" s="28"/>
      <c r="N80" s="14"/>
      <c r="O80" s="11"/>
      <c r="P80" s="11"/>
      <c r="Q80" s="16"/>
      <c r="R80" s="2"/>
      <c r="S80" s="12"/>
      <c r="T80" s="17"/>
      <c r="U80" s="2"/>
      <c r="V80" s="18"/>
      <c r="W80" s="16"/>
    </row>
    <row r="81" spans="2:23" ht="18" x14ac:dyDescent="0.35">
      <c r="B81" s="95"/>
      <c r="C81" s="96"/>
      <c r="D81" s="97"/>
      <c r="E81" s="113"/>
      <c r="F81" s="90"/>
      <c r="G81" s="91"/>
      <c r="H81" s="92"/>
      <c r="I81" s="105"/>
      <c r="J81" s="83"/>
      <c r="K81" s="83"/>
      <c r="L81" s="12"/>
      <c r="M81" s="28"/>
      <c r="N81" s="14"/>
      <c r="O81" s="11"/>
      <c r="P81" s="11"/>
      <c r="Q81" s="16"/>
      <c r="R81" s="2"/>
      <c r="S81" s="12"/>
      <c r="T81" s="17"/>
      <c r="U81" s="2"/>
      <c r="V81" s="18"/>
      <c r="W81" s="16"/>
    </row>
    <row r="82" spans="2:23" ht="18" x14ac:dyDescent="0.35">
      <c r="B82" s="95"/>
      <c r="C82" s="96"/>
      <c r="D82" s="97"/>
      <c r="E82" s="113"/>
      <c r="F82" s="90"/>
      <c r="G82" s="91"/>
      <c r="H82" s="92"/>
      <c r="I82" s="105"/>
      <c r="J82" s="83"/>
      <c r="K82" s="83"/>
      <c r="L82" s="12"/>
      <c r="M82" s="28"/>
      <c r="N82" s="14"/>
      <c r="O82" s="11"/>
      <c r="P82" s="11"/>
      <c r="Q82" s="16"/>
      <c r="R82" s="2"/>
      <c r="S82" s="12"/>
      <c r="T82" s="17"/>
      <c r="U82" s="2"/>
      <c r="V82" s="18"/>
      <c r="W82" s="16"/>
    </row>
    <row r="83" spans="2:23" ht="18" x14ac:dyDescent="0.35">
      <c r="B83" s="95"/>
      <c r="C83" s="96"/>
      <c r="D83" s="97"/>
      <c r="E83" s="113"/>
      <c r="F83" s="90"/>
      <c r="G83" s="91"/>
      <c r="H83" s="92"/>
      <c r="I83" s="105"/>
      <c r="J83" s="83"/>
      <c r="K83" s="83"/>
      <c r="L83" s="12"/>
      <c r="M83" s="28"/>
      <c r="N83" s="14"/>
      <c r="O83" s="11"/>
      <c r="P83" s="11"/>
      <c r="Q83" s="16"/>
      <c r="R83" s="2"/>
      <c r="S83" s="12"/>
      <c r="T83" s="17"/>
      <c r="U83" s="2"/>
      <c r="V83" s="18"/>
      <c r="W83" s="16"/>
    </row>
    <row r="84" spans="2:23" ht="18" x14ac:dyDescent="0.35">
      <c r="B84" s="95"/>
      <c r="C84" s="96"/>
      <c r="D84" s="97"/>
      <c r="E84" s="113"/>
      <c r="F84" s="90"/>
      <c r="G84" s="91"/>
      <c r="H84" s="92"/>
      <c r="I84" s="105"/>
      <c r="J84" s="83"/>
      <c r="K84" s="83"/>
      <c r="L84" s="12"/>
      <c r="M84" s="28"/>
      <c r="N84" s="14"/>
      <c r="O84" s="11"/>
      <c r="P84" s="11"/>
      <c r="Q84" s="16"/>
      <c r="R84" s="2"/>
      <c r="S84" s="12"/>
      <c r="T84" s="17"/>
      <c r="U84" s="2"/>
      <c r="V84" s="18"/>
      <c r="W84" s="16"/>
    </row>
    <row r="85" spans="2:23" ht="18" x14ac:dyDescent="0.35">
      <c r="B85" s="95"/>
      <c r="C85" s="96"/>
      <c r="D85" s="97"/>
      <c r="E85" s="113"/>
      <c r="F85" s="90"/>
      <c r="G85" s="91"/>
      <c r="H85" s="92"/>
      <c r="I85" s="105"/>
      <c r="J85" s="83"/>
      <c r="K85" s="83"/>
      <c r="L85" s="12"/>
      <c r="M85" s="28"/>
      <c r="N85" s="14"/>
      <c r="O85" s="11"/>
      <c r="P85" s="11"/>
      <c r="Q85" s="16"/>
      <c r="R85" s="2"/>
      <c r="S85" s="12"/>
      <c r="T85" s="17"/>
      <c r="U85" s="2"/>
      <c r="V85" s="18"/>
      <c r="W85" s="16"/>
    </row>
    <row r="86" spans="2:23" ht="18" x14ac:dyDescent="0.35">
      <c r="B86" s="95"/>
      <c r="C86" s="96"/>
      <c r="D86" s="97"/>
      <c r="E86" s="113"/>
      <c r="F86" s="90"/>
      <c r="G86" s="91"/>
      <c r="H86" s="92"/>
      <c r="I86" s="105"/>
      <c r="J86" s="83"/>
      <c r="K86" s="83"/>
      <c r="L86" s="12"/>
      <c r="M86" s="28"/>
      <c r="N86" s="14"/>
      <c r="O86" s="11"/>
      <c r="P86" s="11"/>
      <c r="Q86" s="16"/>
      <c r="R86" s="2"/>
      <c r="S86" s="12"/>
      <c r="T86" s="17"/>
      <c r="U86" s="2"/>
      <c r="V86" s="18"/>
      <c r="W86" s="16"/>
    </row>
    <row r="87" spans="2:23" ht="18" x14ac:dyDescent="0.35">
      <c r="B87" s="95"/>
      <c r="C87" s="96"/>
      <c r="D87" s="97"/>
      <c r="E87" s="113"/>
      <c r="F87" s="90"/>
      <c r="G87" s="91"/>
      <c r="H87" s="92"/>
      <c r="I87" s="105"/>
      <c r="J87" s="83"/>
      <c r="K87" s="83"/>
      <c r="L87" s="12"/>
      <c r="M87" s="28"/>
      <c r="N87" s="14"/>
      <c r="O87" s="11"/>
      <c r="P87" s="11"/>
      <c r="Q87" s="16"/>
      <c r="R87" s="2"/>
      <c r="S87" s="12"/>
      <c r="T87" s="17"/>
      <c r="U87" s="2"/>
      <c r="V87" s="18"/>
      <c r="W87" s="16"/>
    </row>
    <row r="88" spans="2:23" ht="18" x14ac:dyDescent="0.35">
      <c r="B88" s="95"/>
      <c r="C88" s="96"/>
      <c r="D88" s="97"/>
      <c r="E88" s="113"/>
      <c r="F88" s="90"/>
      <c r="G88" s="91"/>
      <c r="H88" s="92"/>
      <c r="I88" s="105"/>
      <c r="J88" s="83"/>
      <c r="K88" s="83"/>
      <c r="L88" s="12"/>
      <c r="M88" s="28"/>
      <c r="N88" s="14"/>
      <c r="O88" s="11"/>
      <c r="P88" s="11"/>
      <c r="Q88" s="16"/>
      <c r="R88" s="2"/>
      <c r="S88" s="12"/>
      <c r="T88" s="17"/>
      <c r="U88" s="2"/>
      <c r="V88" s="18"/>
      <c r="W88" s="16"/>
    </row>
    <row r="89" spans="2:23" ht="18" x14ac:dyDescent="0.35">
      <c r="B89" s="95"/>
      <c r="C89" s="96"/>
      <c r="D89" s="97"/>
      <c r="E89" s="113"/>
      <c r="F89" s="90"/>
      <c r="G89" s="91"/>
      <c r="H89" s="92"/>
      <c r="I89" s="105"/>
      <c r="J89" s="83"/>
      <c r="K89" s="83"/>
      <c r="L89" s="12"/>
      <c r="M89" s="28"/>
      <c r="N89" s="14"/>
      <c r="O89" s="11"/>
      <c r="P89" s="11"/>
      <c r="Q89" s="16"/>
      <c r="R89" s="2"/>
      <c r="S89" s="12"/>
      <c r="T89" s="17"/>
      <c r="U89" s="2"/>
      <c r="V89" s="18"/>
      <c r="W89" s="16"/>
    </row>
    <row r="90" spans="2:23" ht="18" x14ac:dyDescent="0.35">
      <c r="B90" s="95"/>
      <c r="C90" s="96"/>
      <c r="D90" s="97"/>
      <c r="E90" s="113"/>
      <c r="F90" s="90"/>
      <c r="G90" s="91"/>
      <c r="H90" s="92"/>
      <c r="I90" s="105"/>
      <c r="J90" s="83"/>
      <c r="K90" s="83"/>
      <c r="L90" s="12"/>
      <c r="M90" s="28"/>
      <c r="N90" s="14"/>
      <c r="O90" s="11"/>
      <c r="P90" s="11"/>
      <c r="Q90" s="16"/>
      <c r="R90" s="2"/>
      <c r="S90" s="12"/>
      <c r="T90" s="17"/>
      <c r="U90" s="2"/>
      <c r="V90" s="18"/>
      <c r="W90" s="16"/>
    </row>
    <row r="91" spans="2:23" ht="18" x14ac:dyDescent="0.35">
      <c r="B91" s="95"/>
      <c r="C91" s="96"/>
      <c r="D91" s="97"/>
      <c r="E91" s="113"/>
      <c r="F91" s="90"/>
      <c r="G91" s="91"/>
      <c r="H91" s="92"/>
      <c r="I91" s="105"/>
      <c r="J91" s="83"/>
      <c r="K91" s="83"/>
      <c r="L91" s="12"/>
      <c r="M91" s="28"/>
      <c r="N91" s="14"/>
      <c r="O91" s="11"/>
      <c r="P91" s="11"/>
      <c r="Q91" s="16"/>
      <c r="R91" s="2"/>
      <c r="S91" s="12"/>
      <c r="T91" s="17"/>
      <c r="U91" s="2"/>
      <c r="V91" s="18"/>
      <c r="W91" s="16"/>
    </row>
    <row r="92" spans="2:23" ht="18" x14ac:dyDescent="0.35">
      <c r="B92" s="95"/>
      <c r="C92" s="96"/>
      <c r="D92" s="97"/>
      <c r="E92" s="113"/>
      <c r="F92" s="90"/>
      <c r="G92" s="91"/>
      <c r="H92" s="92"/>
      <c r="I92" s="105"/>
      <c r="J92" s="83"/>
      <c r="K92" s="83"/>
      <c r="L92" s="12"/>
      <c r="M92" s="28"/>
      <c r="N92" s="14"/>
      <c r="O92" s="11"/>
      <c r="P92" s="11"/>
      <c r="Q92" s="16"/>
      <c r="R92" s="2"/>
      <c r="S92" s="12"/>
      <c r="T92" s="17"/>
      <c r="U92" s="2"/>
      <c r="V92" s="18"/>
      <c r="W92" s="16"/>
    </row>
    <row r="93" spans="2:23" ht="18" x14ac:dyDescent="0.35">
      <c r="B93" s="95"/>
      <c r="C93" s="96"/>
      <c r="D93" s="97"/>
      <c r="E93" s="113"/>
      <c r="F93" s="90"/>
      <c r="G93" s="91"/>
      <c r="H93" s="92"/>
      <c r="I93" s="105"/>
      <c r="J93" s="83"/>
      <c r="K93" s="83"/>
      <c r="L93" s="12"/>
      <c r="M93" s="28"/>
      <c r="N93" s="14"/>
      <c r="O93" s="11"/>
      <c r="P93" s="11"/>
      <c r="Q93" s="16"/>
      <c r="R93" s="2"/>
      <c r="S93" s="12"/>
      <c r="T93" s="17"/>
      <c r="U93" s="2"/>
      <c r="V93" s="18"/>
      <c r="W93" s="16"/>
    </row>
    <row r="94" spans="2:23" ht="18" x14ac:dyDescent="0.35">
      <c r="B94" s="95"/>
      <c r="C94" s="96"/>
      <c r="D94" s="97"/>
      <c r="E94" s="113"/>
      <c r="F94" s="90"/>
      <c r="G94" s="91"/>
      <c r="H94" s="92"/>
      <c r="I94" s="105"/>
      <c r="J94" s="83"/>
      <c r="K94" s="83"/>
      <c r="L94" s="12"/>
      <c r="M94" s="28"/>
      <c r="N94" s="14"/>
      <c r="O94" s="11"/>
      <c r="P94" s="11"/>
      <c r="Q94" s="16"/>
      <c r="R94" s="2"/>
      <c r="S94" s="12"/>
      <c r="T94" s="17"/>
      <c r="U94" s="2"/>
      <c r="V94" s="18"/>
      <c r="W94" s="16"/>
    </row>
    <row r="95" spans="2:23" ht="18" x14ac:dyDescent="0.35">
      <c r="B95" s="95"/>
      <c r="C95" s="96"/>
      <c r="D95" s="97"/>
      <c r="E95" s="113"/>
      <c r="F95" s="90"/>
      <c r="G95" s="91"/>
      <c r="H95" s="92"/>
      <c r="I95" s="105"/>
      <c r="J95" s="83"/>
      <c r="K95" s="83"/>
      <c r="L95" s="12"/>
      <c r="M95" s="28"/>
      <c r="N95" s="14"/>
      <c r="O95" s="11"/>
      <c r="P95" s="11"/>
      <c r="Q95" s="16"/>
      <c r="R95" s="2"/>
      <c r="S95" s="12"/>
      <c r="T95" s="17"/>
      <c r="U95" s="2"/>
      <c r="V95" s="18"/>
      <c r="W95" s="16"/>
    </row>
    <row r="96" spans="2:23" ht="18" x14ac:dyDescent="0.35">
      <c r="B96" s="95"/>
      <c r="C96" s="96"/>
      <c r="D96" s="97"/>
      <c r="E96" s="113"/>
      <c r="F96" s="90"/>
      <c r="G96" s="91"/>
      <c r="H96" s="92"/>
      <c r="I96" s="105"/>
      <c r="J96" s="83"/>
      <c r="K96" s="83"/>
      <c r="L96" s="12"/>
      <c r="M96" s="28"/>
      <c r="N96" s="14"/>
      <c r="O96" s="11"/>
      <c r="P96" s="11"/>
      <c r="Q96" s="16"/>
      <c r="R96" s="2"/>
      <c r="S96" s="12"/>
      <c r="T96" s="17"/>
      <c r="U96" s="2"/>
      <c r="V96" s="18"/>
      <c r="W96" s="16"/>
    </row>
    <row r="97" spans="2:23" ht="18" x14ac:dyDescent="0.35">
      <c r="B97" s="95"/>
      <c r="C97" s="96"/>
      <c r="D97" s="97"/>
      <c r="E97" s="113"/>
      <c r="F97" s="90"/>
      <c r="G97" s="91"/>
      <c r="H97" s="92"/>
      <c r="I97" s="105"/>
      <c r="J97" s="83"/>
      <c r="K97" s="83"/>
      <c r="L97" s="12"/>
      <c r="M97" s="28"/>
      <c r="N97" s="14"/>
      <c r="O97" s="11"/>
      <c r="P97" s="11"/>
      <c r="Q97" s="16"/>
      <c r="R97" s="2"/>
      <c r="S97" s="12"/>
      <c r="T97" s="17"/>
      <c r="U97" s="2"/>
      <c r="V97" s="18"/>
      <c r="W97" s="16"/>
    </row>
    <row r="98" spans="2:23" ht="18" x14ac:dyDescent="0.35">
      <c r="B98" s="95"/>
      <c r="C98" s="96"/>
      <c r="D98" s="97"/>
      <c r="E98" s="113"/>
      <c r="F98" s="90"/>
      <c r="G98" s="91"/>
      <c r="H98" s="92"/>
      <c r="I98" s="105"/>
      <c r="J98" s="83"/>
      <c r="K98" s="83"/>
      <c r="L98" s="12"/>
      <c r="M98" s="28"/>
      <c r="N98" s="14"/>
      <c r="O98" s="11"/>
      <c r="P98" s="11"/>
      <c r="Q98" s="16"/>
      <c r="R98" s="2"/>
      <c r="S98" s="12"/>
      <c r="T98" s="17"/>
      <c r="U98" s="2"/>
      <c r="V98" s="18"/>
      <c r="W98" s="16"/>
    </row>
    <row r="99" spans="2:23" ht="18" x14ac:dyDescent="0.35">
      <c r="B99" s="95"/>
      <c r="C99" s="96"/>
      <c r="D99" s="97"/>
      <c r="E99" s="113"/>
      <c r="F99" s="90"/>
      <c r="G99" s="91"/>
      <c r="H99" s="92"/>
      <c r="I99" s="105"/>
      <c r="J99" s="83"/>
      <c r="K99" s="83"/>
      <c r="L99" s="12"/>
      <c r="M99" s="28"/>
      <c r="N99" s="14"/>
      <c r="O99" s="11"/>
      <c r="P99" s="11"/>
      <c r="Q99" s="16"/>
      <c r="R99" s="2"/>
      <c r="S99" s="12"/>
      <c r="T99" s="17"/>
      <c r="U99" s="2"/>
      <c r="V99" s="18"/>
      <c r="W99" s="16"/>
    </row>
    <row r="100" spans="2:23" ht="18" x14ac:dyDescent="0.35">
      <c r="B100" s="95"/>
      <c r="C100" s="96"/>
      <c r="D100" s="97"/>
      <c r="E100" s="113"/>
      <c r="F100" s="90"/>
      <c r="G100" s="91"/>
      <c r="H100" s="92"/>
      <c r="I100" s="105"/>
      <c r="J100" s="83"/>
      <c r="K100" s="83"/>
      <c r="L100" s="12"/>
      <c r="M100" s="28"/>
      <c r="N100" s="14"/>
      <c r="O100" s="11"/>
      <c r="P100" s="11"/>
      <c r="Q100" s="16"/>
      <c r="R100" s="2"/>
      <c r="S100" s="12"/>
      <c r="T100" s="17"/>
      <c r="U100" s="2"/>
      <c r="V100" s="18"/>
      <c r="W100" s="16"/>
    </row>
    <row r="101" spans="2:23" ht="18" x14ac:dyDescent="0.35">
      <c r="B101" s="95"/>
      <c r="C101" s="96"/>
      <c r="D101" s="97"/>
      <c r="E101" s="113"/>
      <c r="F101" s="90"/>
      <c r="G101" s="91"/>
      <c r="H101" s="92"/>
      <c r="I101" s="105"/>
      <c r="J101" s="83"/>
      <c r="K101" s="83"/>
      <c r="L101" s="12"/>
      <c r="M101" s="28"/>
      <c r="N101" s="14"/>
      <c r="O101" s="11"/>
      <c r="P101" s="11"/>
      <c r="Q101" s="16"/>
      <c r="R101" s="2"/>
      <c r="S101" s="12"/>
      <c r="T101" s="17"/>
      <c r="U101" s="2"/>
      <c r="V101" s="18"/>
      <c r="W101" s="16"/>
    </row>
    <row r="102" spans="2:23" ht="18" x14ac:dyDescent="0.35">
      <c r="B102" s="95"/>
      <c r="C102" s="96"/>
      <c r="D102" s="97"/>
      <c r="E102" s="113"/>
      <c r="F102" s="90"/>
      <c r="G102" s="91"/>
      <c r="H102" s="92"/>
      <c r="I102" s="105"/>
      <c r="J102" s="83"/>
      <c r="K102" s="83"/>
      <c r="L102" s="12"/>
      <c r="M102" s="28"/>
      <c r="N102" s="14"/>
      <c r="O102" s="11"/>
      <c r="P102" s="11"/>
      <c r="Q102" s="16"/>
      <c r="R102" s="2"/>
      <c r="S102" s="12"/>
      <c r="T102" s="17"/>
      <c r="U102" s="2"/>
      <c r="V102" s="18"/>
      <c r="W102" s="16"/>
    </row>
    <row r="103" spans="2:23" ht="18" x14ac:dyDescent="0.35">
      <c r="B103" s="95"/>
      <c r="C103" s="96"/>
      <c r="D103" s="97"/>
      <c r="E103" s="113"/>
      <c r="F103" s="90"/>
      <c r="G103" s="91"/>
      <c r="H103" s="92"/>
      <c r="I103" s="105"/>
      <c r="J103" s="83"/>
      <c r="K103" s="83"/>
      <c r="L103" s="12"/>
      <c r="M103" s="28"/>
      <c r="N103" s="14"/>
      <c r="O103" s="11"/>
      <c r="P103" s="11"/>
      <c r="Q103" s="16"/>
      <c r="R103" s="2"/>
      <c r="S103" s="12"/>
      <c r="T103" s="17"/>
      <c r="U103" s="2"/>
      <c r="V103" s="18"/>
      <c r="W103" s="16"/>
    </row>
    <row r="104" spans="2:23" ht="18" x14ac:dyDescent="0.35">
      <c r="B104" s="95"/>
      <c r="C104" s="96"/>
      <c r="D104" s="97"/>
      <c r="E104" s="113"/>
      <c r="F104" s="90"/>
      <c r="G104" s="91"/>
      <c r="H104" s="92"/>
      <c r="I104" s="105"/>
      <c r="J104" s="83"/>
      <c r="K104" s="83"/>
      <c r="L104" s="12"/>
      <c r="M104" s="28"/>
      <c r="N104" s="14"/>
      <c r="O104" s="11"/>
      <c r="P104" s="11"/>
      <c r="Q104" s="16"/>
      <c r="R104" s="2"/>
      <c r="S104" s="12"/>
      <c r="T104" s="17"/>
      <c r="U104" s="2"/>
      <c r="V104" s="18"/>
      <c r="W104" s="16"/>
    </row>
    <row r="105" spans="2:23" ht="18" x14ac:dyDescent="0.35">
      <c r="B105" s="95"/>
      <c r="C105" s="96"/>
      <c r="D105" s="97"/>
      <c r="E105" s="113"/>
      <c r="F105" s="90"/>
      <c r="G105" s="91"/>
      <c r="H105" s="92"/>
      <c r="I105" s="105"/>
      <c r="J105" s="83"/>
      <c r="K105" s="83"/>
      <c r="L105" s="12"/>
      <c r="M105" s="28"/>
      <c r="N105" s="14"/>
      <c r="O105" s="11"/>
      <c r="P105" s="11"/>
      <c r="Q105" s="16"/>
      <c r="R105" s="2"/>
      <c r="S105" s="12"/>
      <c r="T105" s="17"/>
      <c r="U105" s="2"/>
      <c r="V105" s="18"/>
      <c r="W105" s="16"/>
    </row>
    <row r="106" spans="2:23" ht="18" x14ac:dyDescent="0.35">
      <c r="B106" s="95"/>
      <c r="C106" s="96"/>
      <c r="D106" s="97"/>
      <c r="E106" s="113"/>
      <c r="F106" s="90"/>
      <c r="G106" s="91"/>
      <c r="H106" s="92"/>
      <c r="I106" s="105"/>
      <c r="J106" s="83"/>
      <c r="K106" s="83"/>
      <c r="L106" s="12"/>
      <c r="M106" s="28"/>
      <c r="N106" s="14"/>
      <c r="O106" s="11"/>
      <c r="P106" s="11"/>
      <c r="Q106" s="16"/>
      <c r="R106" s="2"/>
      <c r="S106" s="12"/>
      <c r="T106" s="17"/>
      <c r="U106" s="2"/>
      <c r="V106" s="18"/>
      <c r="W106" s="16"/>
    </row>
    <row r="107" spans="2:23" ht="18" x14ac:dyDescent="0.35">
      <c r="B107" s="95"/>
      <c r="C107" s="96"/>
      <c r="D107" s="97"/>
      <c r="E107" s="113"/>
      <c r="F107" s="90"/>
      <c r="G107" s="91"/>
      <c r="H107" s="92"/>
      <c r="I107" s="105"/>
      <c r="J107" s="83"/>
      <c r="K107" s="83"/>
      <c r="L107" s="12"/>
      <c r="M107" s="28"/>
      <c r="N107" s="14"/>
      <c r="O107" s="11"/>
      <c r="P107" s="11"/>
      <c r="Q107" s="16"/>
      <c r="R107" s="2"/>
      <c r="S107" s="12"/>
      <c r="T107" s="17"/>
      <c r="U107" s="2"/>
      <c r="V107" s="18"/>
      <c r="W107" s="16"/>
    </row>
    <row r="108" spans="2:23" ht="18" x14ac:dyDescent="0.35">
      <c r="B108" s="95"/>
      <c r="C108" s="96"/>
      <c r="D108" s="97"/>
      <c r="E108" s="113"/>
      <c r="F108" s="90"/>
      <c r="G108" s="91"/>
      <c r="H108" s="92"/>
      <c r="I108" s="105"/>
      <c r="J108" s="83"/>
      <c r="K108" s="83"/>
      <c r="L108" s="12"/>
      <c r="M108" s="28"/>
      <c r="N108" s="14"/>
      <c r="O108" s="11"/>
      <c r="P108" s="11"/>
      <c r="Q108" s="16"/>
      <c r="R108" s="2"/>
      <c r="S108" s="12"/>
      <c r="T108" s="17"/>
      <c r="U108" s="2"/>
      <c r="V108" s="18"/>
      <c r="W108" s="16"/>
    </row>
    <row r="109" spans="2:23" ht="18" x14ac:dyDescent="0.35">
      <c r="B109" s="95"/>
      <c r="C109" s="96"/>
      <c r="D109" s="97"/>
      <c r="E109" s="113"/>
      <c r="F109" s="90"/>
      <c r="G109" s="91"/>
      <c r="H109" s="92"/>
      <c r="I109" s="105"/>
      <c r="J109" s="83"/>
      <c r="K109" s="83"/>
      <c r="L109" s="12"/>
      <c r="M109" s="28"/>
      <c r="N109" s="14"/>
      <c r="O109" s="11"/>
      <c r="P109" s="11"/>
      <c r="Q109" s="16"/>
      <c r="R109" s="2"/>
      <c r="S109" s="12"/>
      <c r="T109" s="17"/>
      <c r="U109" s="2"/>
      <c r="V109" s="18"/>
      <c r="W109" s="16"/>
    </row>
    <row r="110" spans="2:23" ht="18" x14ac:dyDescent="0.35">
      <c r="B110" s="95"/>
      <c r="C110" s="96"/>
      <c r="D110" s="97"/>
      <c r="E110" s="113"/>
      <c r="F110" s="90"/>
      <c r="G110" s="91"/>
      <c r="H110" s="92"/>
      <c r="I110" s="105"/>
      <c r="J110" s="83"/>
      <c r="K110" s="83"/>
      <c r="L110" s="12"/>
      <c r="M110" s="28"/>
      <c r="N110" s="14"/>
      <c r="O110" s="11"/>
      <c r="P110" s="11"/>
      <c r="Q110" s="16"/>
      <c r="R110" s="2"/>
      <c r="S110" s="12"/>
      <c r="T110" s="17"/>
      <c r="U110" s="2"/>
      <c r="V110" s="18"/>
      <c r="W110" s="16"/>
    </row>
    <row r="111" spans="2:23" ht="18" x14ac:dyDescent="0.35">
      <c r="B111" s="95"/>
      <c r="C111" s="96"/>
      <c r="D111" s="97"/>
      <c r="E111" s="113"/>
      <c r="F111" s="90"/>
      <c r="G111" s="91"/>
      <c r="H111" s="92"/>
      <c r="I111" s="105"/>
      <c r="J111" s="83"/>
      <c r="K111" s="83"/>
      <c r="L111" s="12"/>
      <c r="M111" s="28"/>
      <c r="N111" s="14"/>
      <c r="O111" s="11"/>
      <c r="P111" s="11"/>
      <c r="Q111" s="16"/>
      <c r="R111" s="2"/>
      <c r="S111" s="12"/>
      <c r="T111" s="17"/>
      <c r="U111" s="2"/>
      <c r="V111" s="18"/>
      <c r="W111" s="16"/>
    </row>
    <row r="112" spans="2:23" ht="18" x14ac:dyDescent="0.35">
      <c r="B112" s="95"/>
      <c r="C112" s="96"/>
      <c r="D112" s="97"/>
      <c r="E112" s="113"/>
      <c r="F112" s="90"/>
      <c r="G112" s="91"/>
      <c r="H112" s="92"/>
      <c r="I112" s="105"/>
      <c r="J112" s="83"/>
      <c r="K112" s="83"/>
      <c r="L112" s="12"/>
      <c r="M112" s="28"/>
      <c r="N112" s="14"/>
      <c r="O112" s="11"/>
      <c r="P112" s="11"/>
      <c r="Q112" s="16"/>
      <c r="R112" s="2"/>
      <c r="S112" s="12"/>
      <c r="T112" s="17"/>
      <c r="U112" s="2"/>
      <c r="V112" s="18"/>
      <c r="W112" s="16"/>
    </row>
    <row r="113" spans="2:23" ht="18" x14ac:dyDescent="0.35">
      <c r="B113" s="95"/>
      <c r="C113" s="96"/>
      <c r="D113" s="97"/>
      <c r="E113" s="113"/>
      <c r="F113" s="90"/>
      <c r="G113" s="91"/>
      <c r="H113" s="92"/>
      <c r="I113" s="105"/>
      <c r="J113" s="83"/>
      <c r="K113" s="83"/>
      <c r="L113" s="12"/>
      <c r="M113" s="28"/>
      <c r="N113" s="14"/>
      <c r="O113" s="11"/>
      <c r="P113" s="11"/>
      <c r="Q113" s="16"/>
      <c r="R113" s="2"/>
      <c r="S113" s="12"/>
      <c r="T113" s="17"/>
      <c r="U113" s="2"/>
      <c r="V113" s="18"/>
      <c r="W113" s="16"/>
    </row>
    <row r="114" spans="2:23" ht="18" x14ac:dyDescent="0.35">
      <c r="B114" s="95"/>
      <c r="C114" s="96"/>
      <c r="D114" s="97"/>
      <c r="E114" s="113"/>
      <c r="F114" s="90"/>
      <c r="G114" s="91"/>
      <c r="H114" s="92"/>
      <c r="I114" s="105"/>
      <c r="J114" s="83"/>
      <c r="K114" s="83"/>
      <c r="L114" s="12"/>
      <c r="M114" s="28"/>
      <c r="N114" s="14"/>
      <c r="O114" s="11"/>
      <c r="P114" s="11"/>
      <c r="Q114" s="16"/>
      <c r="R114" s="2"/>
      <c r="S114" s="12"/>
      <c r="T114" s="17"/>
      <c r="U114" s="2"/>
      <c r="V114" s="18"/>
      <c r="W114" s="16"/>
    </row>
    <row r="115" spans="2:23" ht="18" x14ac:dyDescent="0.35">
      <c r="B115" s="95"/>
      <c r="C115" s="96"/>
      <c r="D115" s="97"/>
      <c r="E115" s="113"/>
      <c r="F115" s="90"/>
      <c r="G115" s="91"/>
      <c r="H115" s="92"/>
      <c r="I115" s="105"/>
      <c r="J115" s="83"/>
      <c r="K115" s="83"/>
      <c r="L115" s="12"/>
      <c r="M115" s="28"/>
      <c r="N115" s="14"/>
      <c r="O115" s="11"/>
      <c r="P115" s="11"/>
      <c r="Q115" s="16"/>
      <c r="R115" s="2"/>
      <c r="S115" s="12"/>
      <c r="T115" s="17"/>
      <c r="U115" s="2"/>
      <c r="V115" s="18"/>
      <c r="W115" s="16"/>
    </row>
    <row r="116" spans="2:23" ht="18" x14ac:dyDescent="0.35">
      <c r="B116" s="95"/>
      <c r="C116" s="96"/>
      <c r="D116" s="97"/>
      <c r="E116" s="113"/>
      <c r="F116" s="90"/>
      <c r="G116" s="91"/>
      <c r="H116" s="92"/>
      <c r="I116" s="105"/>
      <c r="J116" s="83"/>
      <c r="K116" s="83"/>
      <c r="L116" s="12"/>
      <c r="M116" s="28"/>
      <c r="N116" s="14"/>
      <c r="O116" s="11"/>
      <c r="P116" s="11"/>
      <c r="Q116" s="16"/>
      <c r="R116" s="2"/>
      <c r="S116" s="12"/>
      <c r="T116" s="17"/>
      <c r="U116" s="2"/>
      <c r="V116" s="18"/>
      <c r="W116" s="16"/>
    </row>
    <row r="117" spans="2:23" ht="18" x14ac:dyDescent="0.35">
      <c r="B117" s="95"/>
      <c r="C117" s="96"/>
      <c r="D117" s="97"/>
      <c r="E117" s="113"/>
      <c r="F117" s="90"/>
      <c r="G117" s="91"/>
      <c r="H117" s="92"/>
      <c r="I117" s="105"/>
      <c r="J117" s="83"/>
      <c r="K117" s="83"/>
      <c r="L117" s="12"/>
      <c r="M117" s="28"/>
      <c r="N117" s="14"/>
      <c r="O117" s="11"/>
      <c r="P117" s="11"/>
      <c r="Q117" s="16"/>
      <c r="R117" s="2"/>
      <c r="S117" s="12"/>
      <c r="T117" s="17"/>
      <c r="U117" s="2"/>
      <c r="V117" s="18"/>
      <c r="W117" s="16"/>
    </row>
    <row r="118" spans="2:23" ht="18" x14ac:dyDescent="0.35">
      <c r="B118" s="95"/>
      <c r="C118" s="96"/>
      <c r="D118" s="97"/>
      <c r="E118" s="113"/>
      <c r="F118" s="90"/>
      <c r="G118" s="91"/>
      <c r="H118" s="92"/>
      <c r="I118" s="105"/>
      <c r="J118" s="83"/>
      <c r="K118" s="83"/>
      <c r="L118" s="12"/>
      <c r="M118" s="28"/>
      <c r="N118" s="14"/>
      <c r="O118" s="11"/>
      <c r="P118" s="11"/>
      <c r="Q118" s="16"/>
      <c r="R118" s="2"/>
      <c r="S118" s="12"/>
      <c r="T118" s="17"/>
      <c r="U118" s="2"/>
      <c r="V118" s="18"/>
      <c r="W118" s="16"/>
    </row>
    <row r="119" spans="2:23" ht="18" x14ac:dyDescent="0.35">
      <c r="B119" s="95"/>
      <c r="C119" s="96"/>
      <c r="D119" s="97"/>
      <c r="E119" s="113"/>
      <c r="F119" s="90"/>
      <c r="G119" s="91"/>
      <c r="H119" s="92"/>
      <c r="I119" s="105"/>
      <c r="J119" s="83"/>
      <c r="K119" s="83"/>
      <c r="L119" s="12"/>
      <c r="M119" s="28"/>
      <c r="N119" s="14"/>
      <c r="O119" s="11"/>
      <c r="P119" s="11"/>
      <c r="Q119" s="16"/>
      <c r="R119" s="2"/>
      <c r="S119" s="12"/>
      <c r="T119" s="17"/>
      <c r="U119" s="2"/>
      <c r="V119" s="18"/>
      <c r="W119" s="16"/>
    </row>
    <row r="120" spans="2:23" ht="18" x14ac:dyDescent="0.35">
      <c r="B120" s="95"/>
      <c r="C120" s="96"/>
      <c r="D120" s="97"/>
      <c r="E120" s="113"/>
      <c r="F120" s="90"/>
      <c r="G120" s="91"/>
      <c r="H120" s="92"/>
      <c r="I120" s="105"/>
      <c r="J120" s="83"/>
      <c r="K120" s="83"/>
      <c r="L120" s="12"/>
      <c r="M120" s="28"/>
      <c r="N120" s="14"/>
      <c r="O120" s="11"/>
      <c r="P120" s="11"/>
      <c r="Q120" s="16"/>
      <c r="R120" s="2"/>
      <c r="S120" s="12"/>
      <c r="T120" s="17"/>
      <c r="U120" s="2"/>
      <c r="V120" s="18"/>
      <c r="W120" s="16"/>
    </row>
    <row r="121" spans="2:23" ht="18" x14ac:dyDescent="0.35">
      <c r="B121" s="95"/>
      <c r="C121" s="96"/>
      <c r="D121" s="97"/>
      <c r="E121" s="113"/>
      <c r="F121" s="90"/>
      <c r="G121" s="91"/>
      <c r="H121" s="92"/>
      <c r="I121" s="105"/>
      <c r="J121" s="83"/>
      <c r="K121" s="83"/>
      <c r="L121" s="12"/>
      <c r="M121" s="28"/>
      <c r="N121" s="14"/>
      <c r="O121" s="11"/>
      <c r="P121" s="11"/>
      <c r="Q121" s="16"/>
      <c r="R121" s="2"/>
      <c r="S121" s="12"/>
      <c r="T121" s="17"/>
      <c r="U121" s="2"/>
      <c r="V121" s="18"/>
      <c r="W121" s="16"/>
    </row>
    <row r="122" spans="2:23" ht="18" x14ac:dyDescent="0.35">
      <c r="B122" s="95"/>
      <c r="C122" s="96"/>
      <c r="D122" s="97"/>
      <c r="E122" s="113"/>
      <c r="F122" s="99"/>
      <c r="G122" s="100"/>
      <c r="H122" s="101"/>
      <c r="I122" s="105"/>
      <c r="J122" s="83"/>
      <c r="K122" s="83"/>
      <c r="L122" s="12"/>
      <c r="M122" s="28"/>
      <c r="N122" s="14"/>
      <c r="O122" s="11"/>
      <c r="P122" s="11"/>
      <c r="Q122" s="16"/>
      <c r="R122" s="2"/>
      <c r="S122" s="12"/>
      <c r="T122" s="17"/>
      <c r="U122" s="2"/>
      <c r="V122" s="18"/>
      <c r="W122" s="16"/>
    </row>
    <row r="123" spans="2:23" ht="18" x14ac:dyDescent="0.35">
      <c r="B123" s="95"/>
      <c r="C123" s="96"/>
      <c r="D123" s="97"/>
      <c r="E123" s="113"/>
      <c r="F123" s="99"/>
      <c r="G123" s="100"/>
      <c r="H123" s="101"/>
      <c r="I123" s="105"/>
      <c r="J123" s="83"/>
      <c r="K123" s="83"/>
      <c r="L123" s="12"/>
      <c r="M123" s="28"/>
      <c r="N123" s="14"/>
      <c r="O123" s="11"/>
      <c r="P123" s="11"/>
      <c r="Q123" s="16"/>
      <c r="R123" s="2"/>
      <c r="S123" s="12"/>
      <c r="T123" s="17"/>
      <c r="U123" s="2"/>
      <c r="V123" s="18"/>
      <c r="W123" s="16"/>
    </row>
    <row r="124" spans="2:23" ht="18" x14ac:dyDescent="0.35">
      <c r="B124" s="95"/>
      <c r="C124" s="96"/>
      <c r="D124" s="97"/>
      <c r="E124" s="113"/>
      <c r="F124" s="99"/>
      <c r="G124" s="100"/>
      <c r="H124" s="101"/>
      <c r="I124" s="105"/>
      <c r="J124" s="83"/>
      <c r="K124" s="83"/>
      <c r="L124" s="12"/>
      <c r="M124" s="28"/>
      <c r="N124" s="14"/>
      <c r="O124" s="11"/>
      <c r="P124" s="11"/>
      <c r="Q124" s="16"/>
      <c r="R124" s="2"/>
      <c r="S124" s="12"/>
      <c r="T124" s="17"/>
      <c r="U124" s="2"/>
      <c r="V124" s="18"/>
      <c r="W124" s="16"/>
    </row>
    <row r="125" spans="2:23" ht="18" x14ac:dyDescent="0.35">
      <c r="B125" s="95"/>
      <c r="C125" s="96"/>
      <c r="D125" s="97"/>
      <c r="E125" s="113"/>
      <c r="F125" s="99"/>
      <c r="G125" s="100"/>
      <c r="H125" s="101"/>
      <c r="I125" s="105"/>
      <c r="J125" s="83"/>
      <c r="K125" s="83"/>
      <c r="L125" s="12"/>
      <c r="M125" s="28"/>
      <c r="N125" s="14"/>
      <c r="O125" s="11"/>
      <c r="P125" s="11"/>
      <c r="Q125" s="16"/>
      <c r="R125" s="2"/>
      <c r="S125" s="12"/>
      <c r="T125" s="17"/>
      <c r="U125" s="2"/>
      <c r="V125" s="18"/>
      <c r="W125" s="16"/>
    </row>
    <row r="126" spans="2:23" ht="18" x14ac:dyDescent="0.35">
      <c r="B126" s="95"/>
      <c r="C126" s="96"/>
      <c r="D126" s="97"/>
      <c r="E126" s="113"/>
      <c r="F126" s="99"/>
      <c r="G126" s="100"/>
      <c r="H126" s="101"/>
      <c r="I126" s="105"/>
      <c r="J126" s="83"/>
      <c r="K126" s="83"/>
      <c r="L126" s="12"/>
      <c r="M126" s="28"/>
      <c r="N126" s="14"/>
      <c r="O126" s="11"/>
      <c r="P126" s="11"/>
      <c r="Q126" s="16"/>
      <c r="R126" s="2"/>
      <c r="S126" s="12"/>
      <c r="T126" s="17"/>
      <c r="U126" s="2"/>
      <c r="V126" s="18"/>
      <c r="W126" s="16"/>
    </row>
    <row r="127" spans="2:23" ht="18" x14ac:dyDescent="0.35">
      <c r="B127" s="95"/>
      <c r="C127" s="96"/>
      <c r="D127" s="97"/>
      <c r="E127" s="113"/>
      <c r="F127" s="99"/>
      <c r="G127" s="100"/>
      <c r="H127" s="101"/>
      <c r="I127" s="105"/>
      <c r="J127" s="83"/>
      <c r="K127" s="83"/>
      <c r="L127" s="12"/>
      <c r="M127" s="28"/>
      <c r="N127" s="14"/>
      <c r="O127" s="11"/>
      <c r="P127" s="11"/>
      <c r="Q127" s="16"/>
      <c r="R127" s="2"/>
      <c r="S127" s="12"/>
      <c r="T127" s="17"/>
      <c r="U127" s="2"/>
      <c r="V127" s="18"/>
      <c r="W127" s="16"/>
    </row>
    <row r="128" spans="2:23" ht="18" x14ac:dyDescent="0.35">
      <c r="B128" s="95"/>
      <c r="C128" s="96"/>
      <c r="D128" s="97"/>
      <c r="E128" s="113"/>
      <c r="F128" s="99"/>
      <c r="G128" s="100"/>
      <c r="H128" s="101"/>
      <c r="I128" s="105"/>
      <c r="J128" s="83"/>
      <c r="K128" s="83"/>
      <c r="L128" s="12"/>
      <c r="M128" s="28"/>
      <c r="N128" s="14"/>
      <c r="O128" s="11"/>
      <c r="P128" s="11"/>
      <c r="Q128" s="16"/>
      <c r="R128" s="2"/>
      <c r="S128" s="12"/>
      <c r="T128" s="17"/>
      <c r="U128" s="2"/>
      <c r="V128" s="18"/>
      <c r="W128" s="16"/>
    </row>
    <row r="129" spans="1:23" ht="18.600000000000001" thickBot="1" x14ac:dyDescent="0.4">
      <c r="B129" s="114"/>
      <c r="C129" s="115"/>
      <c r="D129" s="116"/>
      <c r="E129" s="113"/>
      <c r="F129" s="117"/>
      <c r="G129" s="118"/>
      <c r="H129" s="119"/>
      <c r="I129" s="105"/>
      <c r="J129" s="83"/>
      <c r="K129" s="83"/>
      <c r="L129" s="30"/>
      <c r="M129" s="31"/>
      <c r="N129" s="32"/>
      <c r="O129" s="29"/>
      <c r="P129" s="29"/>
      <c r="Q129" s="33"/>
      <c r="R129" s="2"/>
      <c r="S129" s="30"/>
      <c r="T129" s="34"/>
      <c r="U129" s="2"/>
      <c r="V129" s="35"/>
      <c r="W129" s="33"/>
    </row>
    <row r="130" spans="1:23" ht="18.600000000000001" thickBot="1" x14ac:dyDescent="0.4">
      <c r="A130" s="120" t="s">
        <v>15</v>
      </c>
      <c r="B130" s="121">
        <f>SUM(B9:B129)</f>
        <v>774.5</v>
      </c>
      <c r="C130" s="122"/>
      <c r="D130" s="121"/>
      <c r="E130" s="123">
        <f>SUM(E9:E129)</f>
        <v>1535.9999999999998</v>
      </c>
      <c r="F130" s="124">
        <f>SUM(F9:F129)</f>
        <v>425.4</v>
      </c>
      <c r="G130" s="82"/>
      <c r="H130" s="125"/>
      <c r="I130" s="125">
        <f>SUM(I9:I129)</f>
        <v>8282.85</v>
      </c>
      <c r="J130" s="83"/>
      <c r="K130" s="83"/>
      <c r="L130" s="126"/>
      <c r="M130" s="126">
        <f>SUM(M9:M129)</f>
        <v>0</v>
      </c>
      <c r="N130" s="127">
        <f>SUM(N9:N129)</f>
        <v>0</v>
      </c>
      <c r="O130" s="82"/>
      <c r="P130" s="82">
        <f>SUM(P9:P129)</f>
        <v>0</v>
      </c>
      <c r="Q130" s="128">
        <f>SUM(Q9:Q129)</f>
        <v>0</v>
      </c>
      <c r="R130" s="83"/>
      <c r="S130" s="84"/>
      <c r="T130" s="129">
        <f>SUM(T9:T129)</f>
        <v>0</v>
      </c>
      <c r="U130" s="83"/>
      <c r="V130" s="82"/>
      <c r="W130" s="130">
        <f>SUM(W9:W129)</f>
        <v>0</v>
      </c>
    </row>
  </sheetData>
  <sheetProtection algorithmName="SHA-512" hashValue="oS6RomimUKf72/w+MvWJ/SemRcc6hbewatc9MzmB49dh6WvKuiMk9ZI1KS+0iSRHZwCIm3eu/+dVjgdXAJ5Fcw==" saltValue="PZEE6wkgCQGTIy7dTK1cuQ==" spinCount="100000" sheet="1" objects="1" scenarios="1"/>
  <mergeCells count="8">
    <mergeCell ref="V5:W5"/>
    <mergeCell ref="Y5:Z5"/>
    <mergeCell ref="E1:G1"/>
    <mergeCell ref="B2:C2"/>
    <mergeCell ref="B3:C3"/>
    <mergeCell ref="B5:I5"/>
    <mergeCell ref="L5:Q5"/>
    <mergeCell ref="S5:T5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560487-E06E-4958-A02E-8DF6D02F0729}">
  <sheetPr codeName="Sheet53"/>
  <dimension ref="A1:Z130"/>
  <sheetViews>
    <sheetView topLeftCell="P1" zoomScale="80" zoomScaleNormal="80" workbookViewId="0">
      <selection activeCell="P2" sqref="P2"/>
    </sheetView>
  </sheetViews>
  <sheetFormatPr defaultColWidth="9.109375" defaultRowHeight="14.4" x14ac:dyDescent="0.3"/>
  <cols>
    <col min="1" max="1" width="15.5546875" style="36" customWidth="1"/>
    <col min="2" max="2" width="15.88671875" style="36" customWidth="1"/>
    <col min="3" max="3" width="20" style="76" customWidth="1"/>
    <col min="4" max="4" width="20.33203125" style="36" customWidth="1"/>
    <col min="5" max="5" width="22.33203125" style="36" customWidth="1"/>
    <col min="6" max="6" width="14.6640625" style="36" customWidth="1"/>
    <col min="7" max="7" width="22" style="76" customWidth="1"/>
    <col min="8" max="8" width="18.88671875" style="36" customWidth="1"/>
    <col min="9" max="9" width="23" style="36" customWidth="1"/>
    <col min="10" max="11" width="9.109375" style="36"/>
    <col min="12" max="12" width="20.6640625" style="76" customWidth="1"/>
    <col min="13" max="13" width="15.44140625" style="76" customWidth="1"/>
    <col min="14" max="14" width="22.6640625" style="36" customWidth="1"/>
    <col min="15" max="15" width="20.5546875" style="76" customWidth="1"/>
    <col min="16" max="16" width="13.33203125" style="76" customWidth="1"/>
    <col min="17" max="17" width="21.5546875" style="76" customWidth="1"/>
    <col min="18" max="18" width="9.109375" style="36"/>
    <col min="19" max="19" width="22" style="76" customWidth="1"/>
    <col min="20" max="20" width="22.33203125" style="76" customWidth="1"/>
    <col min="21" max="21" width="9.109375" style="36"/>
    <col min="22" max="22" width="21.88671875" style="76" customWidth="1"/>
    <col min="23" max="23" width="23.109375" style="76" customWidth="1"/>
    <col min="24" max="24" width="9.109375" style="36"/>
    <col min="25" max="25" width="21.33203125" style="36" customWidth="1"/>
    <col min="26" max="26" width="21.88671875" style="36" customWidth="1"/>
    <col min="27" max="16384" width="9.109375" style="36"/>
  </cols>
  <sheetData>
    <row r="1" spans="2:26" ht="21" x14ac:dyDescent="0.4">
      <c r="E1" s="189">
        <v>44172</v>
      </c>
      <c r="F1" s="189"/>
      <c r="G1" s="189"/>
    </row>
    <row r="2" spans="2:26" ht="18" x14ac:dyDescent="0.35">
      <c r="B2" s="190" t="s">
        <v>0</v>
      </c>
      <c r="C2" s="190"/>
      <c r="D2" s="1">
        <v>10500</v>
      </c>
    </row>
    <row r="3" spans="2:26" ht="18" x14ac:dyDescent="0.35">
      <c r="B3" s="190" t="s">
        <v>1</v>
      </c>
      <c r="C3" s="190"/>
      <c r="D3" s="77">
        <f>(D2-E130-I130)</f>
        <v>7518.85</v>
      </c>
    </row>
    <row r="5" spans="2:26" ht="36.6" x14ac:dyDescent="0.7">
      <c r="B5" s="187" t="s">
        <v>2</v>
      </c>
      <c r="C5" s="187"/>
      <c r="D5" s="187"/>
      <c r="E5" s="187"/>
      <c r="F5" s="187"/>
      <c r="G5" s="187"/>
      <c r="H5" s="187"/>
      <c r="I5" s="187"/>
      <c r="L5" s="187" t="s">
        <v>3</v>
      </c>
      <c r="M5" s="187"/>
      <c r="N5" s="187"/>
      <c r="O5" s="187"/>
      <c r="P5" s="187"/>
      <c r="Q5" s="187"/>
      <c r="S5" s="191" t="s">
        <v>4</v>
      </c>
      <c r="T5" s="191"/>
      <c r="V5" s="187" t="s">
        <v>5</v>
      </c>
      <c r="W5" s="187"/>
      <c r="Y5" s="188" t="s">
        <v>105</v>
      </c>
      <c r="Z5" s="187"/>
    </row>
    <row r="7" spans="2:26" ht="15" thickBot="1" x14ac:dyDescent="0.35"/>
    <row r="8" spans="2:26" ht="18.600000000000001" thickBot="1" x14ac:dyDescent="0.4">
      <c r="B8" s="78" t="s">
        <v>6</v>
      </c>
      <c r="C8" s="79" t="s">
        <v>7</v>
      </c>
      <c r="D8" s="78" t="s">
        <v>8</v>
      </c>
      <c r="E8" s="80" t="s">
        <v>9</v>
      </c>
      <c r="F8" s="81" t="s">
        <v>6</v>
      </c>
      <c r="G8" s="81" t="s">
        <v>10</v>
      </c>
      <c r="H8" s="81" t="s">
        <v>8</v>
      </c>
      <c r="I8" s="82" t="s">
        <v>9</v>
      </c>
      <c r="J8" s="83"/>
      <c r="K8" s="83"/>
      <c r="L8" s="84" t="s">
        <v>11</v>
      </c>
      <c r="M8" s="84" t="s">
        <v>6</v>
      </c>
      <c r="N8" s="84" t="s">
        <v>9</v>
      </c>
      <c r="O8" s="82" t="s">
        <v>12</v>
      </c>
      <c r="P8" s="82" t="s">
        <v>6</v>
      </c>
      <c r="Q8" s="82" t="s">
        <v>9</v>
      </c>
      <c r="R8" s="83"/>
      <c r="S8" s="84" t="s">
        <v>13</v>
      </c>
      <c r="T8" s="85" t="s">
        <v>9</v>
      </c>
      <c r="U8" s="83"/>
      <c r="V8" s="82" t="s">
        <v>14</v>
      </c>
      <c r="W8" s="82" t="s">
        <v>9</v>
      </c>
      <c r="Y8" s="146" t="s">
        <v>106</v>
      </c>
      <c r="Z8" s="147" t="s">
        <v>107</v>
      </c>
    </row>
    <row r="9" spans="2:26" ht="18" x14ac:dyDescent="0.35">
      <c r="B9" s="86">
        <v>6</v>
      </c>
      <c r="C9" s="87" t="s">
        <v>77</v>
      </c>
      <c r="D9" s="88">
        <v>2.1</v>
      </c>
      <c r="E9" s="89">
        <v>12.600000000000001</v>
      </c>
      <c r="F9" s="90">
        <v>2</v>
      </c>
      <c r="G9" s="91" t="s">
        <v>90</v>
      </c>
      <c r="H9" s="92">
        <v>90</v>
      </c>
      <c r="I9" s="93">
        <v>180</v>
      </c>
      <c r="J9" s="83"/>
      <c r="K9" s="83"/>
      <c r="L9" s="3" t="s">
        <v>123</v>
      </c>
      <c r="M9" s="4">
        <v>68</v>
      </c>
      <c r="N9" s="5">
        <v>884</v>
      </c>
      <c r="O9" s="6"/>
      <c r="P9" s="7"/>
      <c r="Q9" s="8"/>
      <c r="R9" s="2"/>
      <c r="S9" s="3" t="s">
        <v>125</v>
      </c>
      <c r="T9" s="9">
        <v>200</v>
      </c>
      <c r="U9" s="2"/>
      <c r="V9" s="10"/>
      <c r="W9" s="8"/>
      <c r="Y9" s="148" t="s">
        <v>88</v>
      </c>
      <c r="Z9" s="151">
        <f>SUMIF($C$9:$C$129, Y9, $B$9:$B$129)</f>
        <v>41</v>
      </c>
    </row>
    <row r="10" spans="2:26" ht="18" x14ac:dyDescent="0.35">
      <c r="B10" s="95">
        <v>0.5</v>
      </c>
      <c r="C10" s="96" t="s">
        <v>88</v>
      </c>
      <c r="D10" s="97">
        <v>0.9</v>
      </c>
      <c r="E10" s="98">
        <v>0.45</v>
      </c>
      <c r="F10" s="90">
        <v>3.5</v>
      </c>
      <c r="G10" s="91" t="s">
        <v>18</v>
      </c>
      <c r="H10" s="92">
        <v>10</v>
      </c>
      <c r="I10" s="93">
        <v>35</v>
      </c>
      <c r="J10" s="83"/>
      <c r="K10" s="83"/>
      <c r="L10" s="12"/>
      <c r="M10" s="13"/>
      <c r="N10" s="14"/>
      <c r="O10" s="11"/>
      <c r="P10" s="15"/>
      <c r="Q10" s="16"/>
      <c r="R10" s="2"/>
      <c r="S10" s="12"/>
      <c r="T10" s="17"/>
      <c r="U10" s="2"/>
      <c r="V10" s="18"/>
      <c r="W10" s="8"/>
      <c r="Y10" s="149" t="s">
        <v>76</v>
      </c>
      <c r="Z10" s="151">
        <f t="shared" ref="Z10:Z11" si="0">SUMIF($C$9:$C$129, Y10, $B$9:$B$129)</f>
        <v>111</v>
      </c>
    </row>
    <row r="11" spans="2:26" ht="18" x14ac:dyDescent="0.35">
      <c r="B11" s="95">
        <v>14.5</v>
      </c>
      <c r="C11" s="96" t="s">
        <v>76</v>
      </c>
      <c r="D11" s="97">
        <v>2.4</v>
      </c>
      <c r="E11" s="98">
        <v>34.799999999999997</v>
      </c>
      <c r="F11" s="90">
        <v>2</v>
      </c>
      <c r="G11" s="91" t="s">
        <v>84</v>
      </c>
      <c r="H11" s="92">
        <v>5</v>
      </c>
      <c r="I11" s="93">
        <v>10</v>
      </c>
      <c r="J11" s="83"/>
      <c r="K11" s="83"/>
      <c r="L11" s="12"/>
      <c r="M11" s="13"/>
      <c r="N11" s="14"/>
      <c r="O11" s="11"/>
      <c r="P11" s="15"/>
      <c r="Q11" s="16"/>
      <c r="R11" s="2"/>
      <c r="S11" s="12"/>
      <c r="T11" s="17"/>
      <c r="U11" s="2"/>
      <c r="V11" s="18"/>
      <c r="W11" s="8"/>
      <c r="Y11" s="149" t="s">
        <v>77</v>
      </c>
      <c r="Z11" s="151">
        <f t="shared" si="0"/>
        <v>107.5</v>
      </c>
    </row>
    <row r="12" spans="2:26" ht="18" x14ac:dyDescent="0.35">
      <c r="B12" s="95">
        <v>15</v>
      </c>
      <c r="C12" s="96" t="s">
        <v>76</v>
      </c>
      <c r="D12" s="97">
        <v>2.4</v>
      </c>
      <c r="E12" s="98">
        <v>36</v>
      </c>
      <c r="F12" s="90">
        <v>0.8</v>
      </c>
      <c r="G12" s="91" t="s">
        <v>85</v>
      </c>
      <c r="H12" s="92">
        <v>10</v>
      </c>
      <c r="I12" s="93">
        <v>8</v>
      </c>
      <c r="J12" s="83"/>
      <c r="K12" s="83"/>
      <c r="L12" s="12"/>
      <c r="M12" s="13"/>
      <c r="N12" s="14"/>
      <c r="O12" s="11"/>
      <c r="P12" s="15"/>
      <c r="Q12" s="16"/>
      <c r="R12" s="2"/>
      <c r="S12" s="12"/>
      <c r="T12" s="17"/>
      <c r="U12" s="2"/>
      <c r="V12" s="18"/>
      <c r="W12" s="8"/>
      <c r="Y12" s="149" t="s">
        <v>89</v>
      </c>
      <c r="Z12" s="152">
        <f>SUMIF($G$9:$G$129, Y12, $F$9:$F$129)</f>
        <v>0</v>
      </c>
    </row>
    <row r="13" spans="2:26" ht="18" x14ac:dyDescent="0.35">
      <c r="B13" s="95">
        <v>11</v>
      </c>
      <c r="C13" s="96" t="s">
        <v>76</v>
      </c>
      <c r="D13" s="97">
        <v>2.4</v>
      </c>
      <c r="E13" s="98">
        <v>26.4</v>
      </c>
      <c r="F13" s="90">
        <v>1</v>
      </c>
      <c r="G13" s="91" t="s">
        <v>90</v>
      </c>
      <c r="H13" s="92">
        <v>90</v>
      </c>
      <c r="I13" s="93">
        <v>90</v>
      </c>
      <c r="J13" s="83"/>
      <c r="K13" s="83"/>
      <c r="L13" s="12"/>
      <c r="M13" s="13"/>
      <c r="N13" s="14"/>
      <c r="O13" s="11"/>
      <c r="P13" s="15"/>
      <c r="Q13" s="16"/>
      <c r="R13" s="2"/>
      <c r="S13" s="12"/>
      <c r="T13" s="17"/>
      <c r="U13" s="2"/>
      <c r="V13" s="18"/>
      <c r="W13" s="8"/>
      <c r="Y13" s="149" t="s">
        <v>20</v>
      </c>
      <c r="Z13" s="152">
        <f t="shared" ref="Z13:Z76" si="1">SUMIF($G$9:$G$129, Y13, $F$9:$F$129)</f>
        <v>1.5</v>
      </c>
    </row>
    <row r="14" spans="2:26" ht="18" x14ac:dyDescent="0.35">
      <c r="B14" s="95">
        <v>9.5</v>
      </c>
      <c r="C14" s="96" t="s">
        <v>77</v>
      </c>
      <c r="D14" s="97">
        <v>2.1</v>
      </c>
      <c r="E14" s="98">
        <v>19.95</v>
      </c>
      <c r="F14" s="90">
        <v>0.8</v>
      </c>
      <c r="G14" s="91" t="s">
        <v>23</v>
      </c>
      <c r="H14" s="92">
        <v>55</v>
      </c>
      <c r="I14" s="93">
        <v>44</v>
      </c>
      <c r="J14" s="83"/>
      <c r="K14" s="83"/>
      <c r="L14" s="12"/>
      <c r="M14" s="13"/>
      <c r="N14" s="14"/>
      <c r="O14" s="11"/>
      <c r="P14" s="15"/>
      <c r="Q14" s="16"/>
      <c r="R14" s="2"/>
      <c r="S14" s="12"/>
      <c r="T14" s="17"/>
      <c r="U14" s="2"/>
      <c r="V14" s="18"/>
      <c r="W14" s="8"/>
      <c r="Y14" s="149" t="s">
        <v>19</v>
      </c>
      <c r="Z14" s="152">
        <f t="shared" si="1"/>
        <v>126.5</v>
      </c>
    </row>
    <row r="15" spans="2:26" ht="18" x14ac:dyDescent="0.35">
      <c r="B15" s="95">
        <v>16</v>
      </c>
      <c r="C15" s="96" t="s">
        <v>76</v>
      </c>
      <c r="D15" s="97">
        <v>2.4</v>
      </c>
      <c r="E15" s="98">
        <v>38.4</v>
      </c>
      <c r="F15" s="90">
        <v>2</v>
      </c>
      <c r="G15" s="91" t="s">
        <v>70</v>
      </c>
      <c r="H15" s="92">
        <v>5</v>
      </c>
      <c r="I15" s="93">
        <v>10</v>
      </c>
      <c r="J15" s="83"/>
      <c r="K15" s="83"/>
      <c r="L15" s="12"/>
      <c r="M15" s="13"/>
      <c r="N15" s="14"/>
      <c r="O15" s="11"/>
      <c r="P15" s="15"/>
      <c r="Q15" s="16"/>
      <c r="R15" s="2"/>
      <c r="S15" s="12"/>
      <c r="T15" s="17"/>
      <c r="U15" s="2"/>
      <c r="V15" s="18"/>
      <c r="W15" s="8"/>
      <c r="Y15" s="149" t="s">
        <v>18</v>
      </c>
      <c r="Z15" s="152">
        <f t="shared" si="1"/>
        <v>17.399999999999999</v>
      </c>
    </row>
    <row r="16" spans="2:26" ht="18" x14ac:dyDescent="0.35">
      <c r="B16" s="95">
        <v>6.5</v>
      </c>
      <c r="C16" s="96" t="s">
        <v>76</v>
      </c>
      <c r="D16" s="97">
        <v>2.4</v>
      </c>
      <c r="E16" s="98">
        <v>15.6</v>
      </c>
      <c r="F16" s="90">
        <v>103</v>
      </c>
      <c r="G16" s="91" t="s">
        <v>19</v>
      </c>
      <c r="H16" s="92">
        <v>2</v>
      </c>
      <c r="I16" s="93">
        <v>206</v>
      </c>
      <c r="J16" s="83"/>
      <c r="K16" s="83"/>
      <c r="L16" s="12"/>
      <c r="M16" s="13"/>
      <c r="N16" s="14"/>
      <c r="O16" s="11"/>
      <c r="P16" s="15"/>
      <c r="Q16" s="16"/>
      <c r="R16" s="2"/>
      <c r="S16" s="12"/>
      <c r="T16" s="17"/>
      <c r="U16" s="2"/>
      <c r="V16" s="18"/>
      <c r="W16" s="8"/>
      <c r="Y16" s="149" t="s">
        <v>22</v>
      </c>
      <c r="Z16" s="152">
        <f t="shared" si="1"/>
        <v>1</v>
      </c>
    </row>
    <row r="17" spans="2:26" ht="18" x14ac:dyDescent="0.35">
      <c r="B17" s="95">
        <v>5</v>
      </c>
      <c r="C17" s="96" t="s">
        <v>77</v>
      </c>
      <c r="D17" s="97">
        <v>2.1</v>
      </c>
      <c r="E17" s="98">
        <v>10.5</v>
      </c>
      <c r="F17" s="90">
        <v>0.2</v>
      </c>
      <c r="G17" s="91" t="s">
        <v>92</v>
      </c>
      <c r="H17" s="92">
        <v>75</v>
      </c>
      <c r="I17" s="93">
        <v>15</v>
      </c>
      <c r="J17" s="83"/>
      <c r="K17" s="83"/>
      <c r="L17" s="12"/>
      <c r="M17" s="13"/>
      <c r="N17" s="14"/>
      <c r="O17" s="11"/>
      <c r="P17" s="15"/>
      <c r="Q17" s="16"/>
      <c r="R17" s="2"/>
      <c r="S17" s="12"/>
      <c r="T17" s="17"/>
      <c r="U17" s="2"/>
      <c r="V17" s="18"/>
      <c r="W17" s="8"/>
      <c r="Y17" s="149" t="s">
        <v>67</v>
      </c>
      <c r="Z17" s="152">
        <f t="shared" si="1"/>
        <v>0</v>
      </c>
    </row>
    <row r="18" spans="2:26" ht="18" x14ac:dyDescent="0.35">
      <c r="B18" s="95">
        <v>3</v>
      </c>
      <c r="C18" s="96" t="s">
        <v>77</v>
      </c>
      <c r="D18" s="97">
        <v>2.1</v>
      </c>
      <c r="E18" s="98">
        <v>6.3000000000000007</v>
      </c>
      <c r="F18" s="90">
        <v>0.2</v>
      </c>
      <c r="G18" s="91" t="s">
        <v>92</v>
      </c>
      <c r="H18" s="92">
        <v>75</v>
      </c>
      <c r="I18" s="93">
        <v>15</v>
      </c>
      <c r="J18" s="83"/>
      <c r="K18" s="83"/>
      <c r="L18" s="12"/>
      <c r="M18" s="13"/>
      <c r="N18" s="14"/>
      <c r="O18" s="11"/>
      <c r="P18" s="15"/>
      <c r="Q18" s="16"/>
      <c r="R18" s="2"/>
      <c r="S18" s="12"/>
      <c r="T18" s="17"/>
      <c r="U18" s="2"/>
      <c r="V18" s="18"/>
      <c r="W18" s="8"/>
      <c r="Y18" s="149" t="s">
        <v>90</v>
      </c>
      <c r="Z18" s="152">
        <f t="shared" si="1"/>
        <v>9.1999999999999993</v>
      </c>
    </row>
    <row r="19" spans="2:26" ht="18" x14ac:dyDescent="0.35">
      <c r="B19" s="95">
        <v>4</v>
      </c>
      <c r="C19" s="96" t="s">
        <v>76</v>
      </c>
      <c r="D19" s="97">
        <v>2.4</v>
      </c>
      <c r="E19" s="98">
        <v>9.6</v>
      </c>
      <c r="F19" s="90">
        <v>0.5</v>
      </c>
      <c r="G19" s="91" t="s">
        <v>18</v>
      </c>
      <c r="H19" s="92">
        <v>10</v>
      </c>
      <c r="I19" s="93">
        <v>5</v>
      </c>
      <c r="J19" s="83"/>
      <c r="K19" s="83"/>
      <c r="L19" s="12"/>
      <c r="M19" s="13"/>
      <c r="N19" s="14"/>
      <c r="O19" s="11"/>
      <c r="P19" s="15"/>
      <c r="Q19" s="16"/>
      <c r="R19" s="2"/>
      <c r="S19" s="12"/>
      <c r="T19" s="17"/>
      <c r="U19" s="2"/>
      <c r="V19" s="18"/>
      <c r="W19" s="8"/>
      <c r="Y19" s="149" t="s">
        <v>91</v>
      </c>
      <c r="Z19" s="152">
        <f t="shared" si="1"/>
        <v>0</v>
      </c>
    </row>
    <row r="20" spans="2:26" ht="18" x14ac:dyDescent="0.35">
      <c r="B20" s="95">
        <v>6</v>
      </c>
      <c r="C20" s="96" t="s">
        <v>77</v>
      </c>
      <c r="D20" s="97">
        <v>2.1</v>
      </c>
      <c r="E20" s="98">
        <v>12.600000000000001</v>
      </c>
      <c r="F20" s="90">
        <v>1</v>
      </c>
      <c r="G20" s="91" t="s">
        <v>94</v>
      </c>
      <c r="H20" s="92">
        <v>10</v>
      </c>
      <c r="I20" s="93">
        <v>10</v>
      </c>
      <c r="J20" s="83"/>
      <c r="K20" s="83"/>
      <c r="L20" s="12"/>
      <c r="M20" s="13"/>
      <c r="N20" s="14"/>
      <c r="O20" s="11"/>
      <c r="P20" s="15"/>
      <c r="Q20" s="16"/>
      <c r="R20" s="2"/>
      <c r="S20" s="12"/>
      <c r="T20" s="17"/>
      <c r="U20" s="2"/>
      <c r="V20" s="18"/>
      <c r="W20" s="8"/>
      <c r="Y20" s="149" t="s">
        <v>92</v>
      </c>
      <c r="Z20" s="152">
        <f t="shared" si="1"/>
        <v>1.3</v>
      </c>
    </row>
    <row r="21" spans="2:26" ht="18" x14ac:dyDescent="0.35">
      <c r="B21" s="95">
        <v>2</v>
      </c>
      <c r="C21" s="96" t="s">
        <v>88</v>
      </c>
      <c r="D21" s="97">
        <v>0.9</v>
      </c>
      <c r="E21" s="98">
        <v>1.8</v>
      </c>
      <c r="F21" s="90">
        <v>1</v>
      </c>
      <c r="G21" s="91" t="s">
        <v>90</v>
      </c>
      <c r="H21" s="92">
        <v>90</v>
      </c>
      <c r="I21" s="93">
        <v>90</v>
      </c>
      <c r="J21" s="83"/>
      <c r="K21" s="83"/>
      <c r="L21" s="12"/>
      <c r="M21" s="13"/>
      <c r="N21" s="14"/>
      <c r="O21" s="11"/>
      <c r="P21" s="15"/>
      <c r="Q21" s="16"/>
      <c r="R21" s="2"/>
      <c r="S21" s="12"/>
      <c r="T21" s="17"/>
      <c r="U21" s="2"/>
      <c r="V21" s="18"/>
      <c r="W21" s="8"/>
      <c r="Y21" s="149" t="s">
        <v>68</v>
      </c>
      <c r="Z21" s="152">
        <f t="shared" si="1"/>
        <v>0</v>
      </c>
    </row>
    <row r="22" spans="2:26" ht="18" x14ac:dyDescent="0.35">
      <c r="B22" s="95">
        <v>8.5</v>
      </c>
      <c r="C22" s="96" t="s">
        <v>77</v>
      </c>
      <c r="D22" s="97">
        <v>2.1</v>
      </c>
      <c r="E22" s="98">
        <v>17.850000000000001</v>
      </c>
      <c r="F22" s="90">
        <v>1</v>
      </c>
      <c r="G22" s="91" t="s">
        <v>94</v>
      </c>
      <c r="H22" s="92">
        <v>10</v>
      </c>
      <c r="I22" s="93">
        <v>10</v>
      </c>
      <c r="J22" s="83"/>
      <c r="K22" s="83"/>
      <c r="L22" s="12"/>
      <c r="M22" s="13"/>
      <c r="N22" s="14"/>
      <c r="O22" s="11"/>
      <c r="P22" s="15"/>
      <c r="Q22" s="16"/>
      <c r="R22" s="2"/>
      <c r="S22" s="12"/>
      <c r="T22" s="17"/>
      <c r="U22" s="2"/>
      <c r="V22" s="18"/>
      <c r="W22" s="8"/>
      <c r="Y22" s="149" t="s">
        <v>93</v>
      </c>
      <c r="Z22" s="152">
        <f t="shared" si="1"/>
        <v>0</v>
      </c>
    </row>
    <row r="23" spans="2:26" ht="18" x14ac:dyDescent="0.35">
      <c r="B23" s="95">
        <v>1</v>
      </c>
      <c r="C23" s="96" t="s">
        <v>76</v>
      </c>
      <c r="D23" s="97">
        <v>2.4</v>
      </c>
      <c r="E23" s="98">
        <v>2.4</v>
      </c>
      <c r="F23" s="90">
        <v>1.5</v>
      </c>
      <c r="G23" s="91" t="s">
        <v>18</v>
      </c>
      <c r="H23" s="92">
        <v>10</v>
      </c>
      <c r="I23" s="93">
        <v>15</v>
      </c>
      <c r="J23" s="83"/>
      <c r="K23" s="83"/>
      <c r="L23" s="12"/>
      <c r="M23" s="13"/>
      <c r="N23" s="14"/>
      <c r="O23" s="11"/>
      <c r="P23" s="15"/>
      <c r="Q23" s="16"/>
      <c r="R23" s="2"/>
      <c r="S23" s="12"/>
      <c r="T23" s="17"/>
      <c r="U23" s="2"/>
      <c r="V23" s="18"/>
      <c r="W23" s="8"/>
      <c r="Y23" s="149" t="s">
        <v>23</v>
      </c>
      <c r="Z23" s="152">
        <f t="shared" si="1"/>
        <v>8.6999999999999993</v>
      </c>
    </row>
    <row r="24" spans="2:26" ht="18" x14ac:dyDescent="0.35">
      <c r="B24" s="95">
        <v>3</v>
      </c>
      <c r="C24" s="96" t="s">
        <v>77</v>
      </c>
      <c r="D24" s="97">
        <v>2.1</v>
      </c>
      <c r="E24" s="98">
        <v>6.3000000000000007</v>
      </c>
      <c r="F24" s="90">
        <v>16.5</v>
      </c>
      <c r="G24" s="91" t="s">
        <v>19</v>
      </c>
      <c r="H24" s="92">
        <v>2</v>
      </c>
      <c r="I24" s="93">
        <v>33</v>
      </c>
      <c r="J24" s="83"/>
      <c r="K24" s="83"/>
      <c r="L24" s="12"/>
      <c r="M24" s="13"/>
      <c r="N24" s="14"/>
      <c r="O24" s="11"/>
      <c r="P24" s="15"/>
      <c r="Q24" s="16"/>
      <c r="R24" s="2"/>
      <c r="S24" s="12"/>
      <c r="T24" s="17"/>
      <c r="U24" s="2"/>
      <c r="V24" s="18"/>
      <c r="W24" s="8"/>
      <c r="Y24" s="149" t="s">
        <v>24</v>
      </c>
      <c r="Z24" s="152">
        <f t="shared" si="1"/>
        <v>0</v>
      </c>
    </row>
    <row r="25" spans="2:26" ht="18" x14ac:dyDescent="0.35">
      <c r="B25" s="95">
        <v>23.5</v>
      </c>
      <c r="C25" s="96" t="s">
        <v>77</v>
      </c>
      <c r="D25" s="97">
        <v>2.1</v>
      </c>
      <c r="E25" s="98">
        <v>49.35</v>
      </c>
      <c r="F25" s="90">
        <v>0.5</v>
      </c>
      <c r="G25" s="91" t="s">
        <v>18</v>
      </c>
      <c r="H25" s="92">
        <v>10</v>
      </c>
      <c r="I25" s="93">
        <v>5</v>
      </c>
      <c r="J25" s="83"/>
      <c r="K25" s="83"/>
      <c r="L25" s="12"/>
      <c r="M25" s="13"/>
      <c r="N25" s="14"/>
      <c r="O25" s="11"/>
      <c r="P25" s="15"/>
      <c r="Q25" s="16"/>
      <c r="R25" s="2"/>
      <c r="S25" s="12"/>
      <c r="T25" s="17"/>
      <c r="U25" s="2"/>
      <c r="V25" s="18"/>
      <c r="W25" s="8"/>
      <c r="Y25" s="149" t="s">
        <v>25</v>
      </c>
      <c r="Z25" s="152">
        <f t="shared" si="1"/>
        <v>7.5</v>
      </c>
    </row>
    <row r="26" spans="2:26" ht="18" x14ac:dyDescent="0.35">
      <c r="B26" s="95">
        <v>6.5</v>
      </c>
      <c r="C26" s="96" t="s">
        <v>77</v>
      </c>
      <c r="D26" s="97">
        <v>2.1</v>
      </c>
      <c r="E26" s="98">
        <v>13.65</v>
      </c>
      <c r="F26" s="90">
        <v>2</v>
      </c>
      <c r="G26" s="91" t="s">
        <v>18</v>
      </c>
      <c r="H26" s="92">
        <v>10</v>
      </c>
      <c r="I26" s="93">
        <v>20</v>
      </c>
      <c r="J26" s="83"/>
      <c r="K26" s="83"/>
      <c r="L26" s="12"/>
      <c r="M26" s="13"/>
      <c r="N26" s="14"/>
      <c r="O26" s="11"/>
      <c r="P26" s="15"/>
      <c r="Q26" s="16"/>
      <c r="R26" s="2"/>
      <c r="S26" s="12"/>
      <c r="T26" s="17"/>
      <c r="U26" s="2"/>
      <c r="V26" s="18"/>
      <c r="W26" s="8"/>
      <c r="Y26" s="149" t="s">
        <v>98</v>
      </c>
      <c r="Z26" s="152">
        <f t="shared" si="1"/>
        <v>0</v>
      </c>
    </row>
    <row r="27" spans="2:26" ht="18" x14ac:dyDescent="0.35">
      <c r="B27" s="95">
        <v>15</v>
      </c>
      <c r="C27" s="96" t="s">
        <v>76</v>
      </c>
      <c r="D27" s="97">
        <v>2.4</v>
      </c>
      <c r="E27" s="98">
        <v>36</v>
      </c>
      <c r="F27" s="90">
        <v>1</v>
      </c>
      <c r="G27" s="91" t="s">
        <v>94</v>
      </c>
      <c r="H27" s="92">
        <v>10</v>
      </c>
      <c r="I27" s="93">
        <v>10</v>
      </c>
      <c r="J27" s="83"/>
      <c r="K27" s="83"/>
      <c r="L27" s="12"/>
      <c r="M27" s="13"/>
      <c r="N27" s="14"/>
      <c r="O27" s="11"/>
      <c r="P27" s="15"/>
      <c r="Q27" s="16"/>
      <c r="R27" s="2"/>
      <c r="S27" s="12"/>
      <c r="T27" s="17"/>
      <c r="U27" s="2"/>
      <c r="V27" s="18"/>
      <c r="W27" s="8"/>
      <c r="Y27" s="149" t="s">
        <v>94</v>
      </c>
      <c r="Z27" s="152">
        <f t="shared" si="1"/>
        <v>13.899999999999999</v>
      </c>
    </row>
    <row r="28" spans="2:26" ht="18" x14ac:dyDescent="0.35">
      <c r="B28" s="95">
        <v>19</v>
      </c>
      <c r="C28" s="96" t="s">
        <v>88</v>
      </c>
      <c r="D28" s="97">
        <v>0.9</v>
      </c>
      <c r="E28" s="98">
        <v>17.100000000000001</v>
      </c>
      <c r="F28" s="90">
        <v>0.5</v>
      </c>
      <c r="G28" s="91" t="s">
        <v>23</v>
      </c>
      <c r="H28" s="92">
        <v>55</v>
      </c>
      <c r="I28" s="93">
        <v>27.5</v>
      </c>
      <c r="J28" s="83"/>
      <c r="K28" s="83"/>
      <c r="L28" s="12"/>
      <c r="M28" s="13"/>
      <c r="N28" s="14"/>
      <c r="O28" s="11"/>
      <c r="P28" s="15"/>
      <c r="Q28" s="16"/>
      <c r="R28" s="2"/>
      <c r="S28" s="12"/>
      <c r="T28" s="17"/>
      <c r="U28" s="2"/>
      <c r="V28" s="18"/>
      <c r="W28" s="8"/>
      <c r="Y28" s="149" t="s">
        <v>42</v>
      </c>
      <c r="Z28" s="152">
        <f t="shared" si="1"/>
        <v>0</v>
      </c>
    </row>
    <row r="29" spans="2:26" ht="18" x14ac:dyDescent="0.35">
      <c r="B29" s="95">
        <v>2.5</v>
      </c>
      <c r="C29" s="96" t="s">
        <v>77</v>
      </c>
      <c r="D29" s="97">
        <v>2.1</v>
      </c>
      <c r="E29" s="98">
        <v>5.25</v>
      </c>
      <c r="F29" s="90">
        <v>0.5</v>
      </c>
      <c r="G29" s="91" t="s">
        <v>90</v>
      </c>
      <c r="H29" s="92">
        <v>90</v>
      </c>
      <c r="I29" s="93">
        <v>45</v>
      </c>
      <c r="J29" s="83"/>
      <c r="K29" s="83"/>
      <c r="L29" s="12"/>
      <c r="M29" s="13"/>
      <c r="N29" s="14"/>
      <c r="O29" s="11"/>
      <c r="P29" s="15"/>
      <c r="Q29" s="16"/>
      <c r="R29" s="2"/>
      <c r="S29" s="12"/>
      <c r="T29" s="17"/>
      <c r="U29" s="2"/>
      <c r="V29" s="18"/>
      <c r="W29" s="8"/>
      <c r="Y29" s="149" t="s">
        <v>39</v>
      </c>
      <c r="Z29" s="152">
        <f t="shared" si="1"/>
        <v>0</v>
      </c>
    </row>
    <row r="30" spans="2:26" ht="18" x14ac:dyDescent="0.35">
      <c r="B30" s="95">
        <v>2.5</v>
      </c>
      <c r="C30" s="96" t="s">
        <v>88</v>
      </c>
      <c r="D30" s="97">
        <v>0.9</v>
      </c>
      <c r="E30" s="98">
        <v>2.25</v>
      </c>
      <c r="F30" s="90">
        <v>7</v>
      </c>
      <c r="G30" s="91" t="s">
        <v>19</v>
      </c>
      <c r="H30" s="92">
        <v>2</v>
      </c>
      <c r="I30" s="93">
        <v>14</v>
      </c>
      <c r="J30" s="83"/>
      <c r="K30" s="83"/>
      <c r="L30" s="12"/>
      <c r="M30" s="13"/>
      <c r="N30" s="14"/>
      <c r="O30" s="11"/>
      <c r="P30" s="15"/>
      <c r="Q30" s="16"/>
      <c r="R30" s="2"/>
      <c r="S30" s="12"/>
      <c r="T30" s="17"/>
      <c r="U30" s="2"/>
      <c r="V30" s="18"/>
      <c r="W30" s="8"/>
      <c r="Y30" s="149" t="s">
        <v>99</v>
      </c>
      <c r="Z30" s="152">
        <f t="shared" si="1"/>
        <v>0</v>
      </c>
    </row>
    <row r="31" spans="2:26" ht="18" x14ac:dyDescent="0.35">
      <c r="B31" s="95">
        <v>3</v>
      </c>
      <c r="C31" s="96" t="s">
        <v>88</v>
      </c>
      <c r="D31" s="97">
        <v>0.9</v>
      </c>
      <c r="E31" s="98">
        <v>2.7</v>
      </c>
      <c r="F31" s="90">
        <v>1</v>
      </c>
      <c r="G31" s="91" t="s">
        <v>18</v>
      </c>
      <c r="H31" s="92">
        <v>10</v>
      </c>
      <c r="I31" s="93">
        <v>10</v>
      </c>
      <c r="J31" s="83"/>
      <c r="K31" s="83"/>
      <c r="L31" s="12"/>
      <c r="M31" s="13"/>
      <c r="N31" s="14"/>
      <c r="O31" s="11"/>
      <c r="P31" s="15"/>
      <c r="Q31" s="16"/>
      <c r="R31" s="2"/>
      <c r="S31" s="12"/>
      <c r="T31" s="17"/>
      <c r="U31" s="2"/>
      <c r="V31" s="18"/>
      <c r="W31" s="8"/>
      <c r="Y31" s="149" t="s">
        <v>95</v>
      </c>
      <c r="Z31" s="152">
        <f t="shared" si="1"/>
        <v>0</v>
      </c>
    </row>
    <row r="32" spans="2:26" ht="18" x14ac:dyDescent="0.35">
      <c r="B32" s="95">
        <v>7</v>
      </c>
      <c r="C32" s="96" t="s">
        <v>77</v>
      </c>
      <c r="D32" s="97">
        <v>2.1</v>
      </c>
      <c r="E32" s="98">
        <v>14.700000000000001</v>
      </c>
      <c r="F32" s="90">
        <v>0.2</v>
      </c>
      <c r="G32" s="91" t="s">
        <v>85</v>
      </c>
      <c r="H32" s="92">
        <v>10</v>
      </c>
      <c r="I32" s="93">
        <v>2</v>
      </c>
      <c r="J32" s="83"/>
      <c r="K32" s="83"/>
      <c r="L32" s="12"/>
      <c r="M32" s="13"/>
      <c r="N32" s="14"/>
      <c r="O32" s="11"/>
      <c r="P32" s="15"/>
      <c r="Q32" s="16"/>
      <c r="R32" s="2"/>
      <c r="S32" s="12"/>
      <c r="T32" s="17"/>
      <c r="U32" s="2"/>
      <c r="V32" s="18"/>
      <c r="W32" s="8"/>
      <c r="Y32" s="149" t="s">
        <v>97</v>
      </c>
      <c r="Z32" s="152">
        <f t="shared" si="1"/>
        <v>0</v>
      </c>
    </row>
    <row r="33" spans="2:26" ht="18" x14ac:dyDescent="0.35">
      <c r="B33" s="95">
        <v>5</v>
      </c>
      <c r="C33" s="96" t="s">
        <v>76</v>
      </c>
      <c r="D33" s="97">
        <v>2.4</v>
      </c>
      <c r="E33" s="98">
        <v>12</v>
      </c>
      <c r="F33" s="90">
        <v>0.2</v>
      </c>
      <c r="G33" s="91" t="s">
        <v>23</v>
      </c>
      <c r="H33" s="92">
        <v>55</v>
      </c>
      <c r="I33" s="93">
        <v>11</v>
      </c>
      <c r="J33" s="83"/>
      <c r="K33" s="83"/>
      <c r="L33" s="12"/>
      <c r="M33" s="13"/>
      <c r="N33" s="14"/>
      <c r="O33" s="11"/>
      <c r="P33" s="15"/>
      <c r="Q33" s="16"/>
      <c r="R33" s="2"/>
      <c r="S33" s="12"/>
      <c r="T33" s="17"/>
      <c r="U33" s="2"/>
      <c r="V33" s="18"/>
      <c r="W33" s="8"/>
      <c r="Y33" s="149" t="s">
        <v>43</v>
      </c>
      <c r="Z33" s="152">
        <f t="shared" si="1"/>
        <v>0</v>
      </c>
    </row>
    <row r="34" spans="2:26" ht="18" x14ac:dyDescent="0.35">
      <c r="B34" s="95">
        <v>0.5</v>
      </c>
      <c r="C34" s="96" t="s">
        <v>77</v>
      </c>
      <c r="D34" s="97">
        <v>2.1</v>
      </c>
      <c r="E34" s="98">
        <v>1.05</v>
      </c>
      <c r="F34" s="90">
        <v>0.5</v>
      </c>
      <c r="G34" s="91" t="s">
        <v>94</v>
      </c>
      <c r="H34" s="92">
        <v>10</v>
      </c>
      <c r="I34" s="93">
        <v>5</v>
      </c>
      <c r="J34" s="83"/>
      <c r="K34" s="83"/>
      <c r="L34" s="12"/>
      <c r="M34" s="13"/>
      <c r="N34" s="14"/>
      <c r="O34" s="11"/>
      <c r="P34" s="15"/>
      <c r="Q34" s="16"/>
      <c r="R34" s="2"/>
      <c r="S34" s="12"/>
      <c r="T34" s="17"/>
      <c r="U34" s="2"/>
      <c r="V34" s="18"/>
      <c r="W34" s="8"/>
      <c r="Y34" s="149" t="s">
        <v>32</v>
      </c>
      <c r="Z34" s="152">
        <f t="shared" si="1"/>
        <v>0</v>
      </c>
    </row>
    <row r="35" spans="2:26" ht="18" x14ac:dyDescent="0.35">
      <c r="B35" s="95">
        <v>7</v>
      </c>
      <c r="C35" s="96" t="s">
        <v>76</v>
      </c>
      <c r="D35" s="97">
        <v>2.4</v>
      </c>
      <c r="E35" s="98">
        <v>16.8</v>
      </c>
      <c r="F35" s="90">
        <v>0.8</v>
      </c>
      <c r="G35" s="91" t="s">
        <v>18</v>
      </c>
      <c r="H35" s="92">
        <v>10</v>
      </c>
      <c r="I35" s="93">
        <v>8</v>
      </c>
      <c r="J35" s="83"/>
      <c r="K35" s="83"/>
      <c r="L35" s="12"/>
      <c r="M35" s="13"/>
      <c r="N35" s="14"/>
      <c r="O35" s="11"/>
      <c r="P35" s="15"/>
      <c r="Q35" s="16"/>
      <c r="R35" s="2"/>
      <c r="S35" s="12"/>
      <c r="T35" s="17"/>
      <c r="U35" s="2"/>
      <c r="V35" s="18"/>
      <c r="W35" s="8"/>
      <c r="Y35" s="149" t="s">
        <v>33</v>
      </c>
      <c r="Z35" s="152">
        <f t="shared" si="1"/>
        <v>0</v>
      </c>
    </row>
    <row r="36" spans="2:26" ht="18" x14ac:dyDescent="0.35">
      <c r="B36" s="95">
        <v>2.5</v>
      </c>
      <c r="C36" s="96" t="s">
        <v>77</v>
      </c>
      <c r="D36" s="97">
        <v>2.1</v>
      </c>
      <c r="E36" s="98">
        <v>5.25</v>
      </c>
      <c r="F36" s="90">
        <v>10.5</v>
      </c>
      <c r="G36" s="91" t="s">
        <v>48</v>
      </c>
      <c r="H36" s="92">
        <v>6</v>
      </c>
      <c r="I36" s="93">
        <v>63</v>
      </c>
      <c r="J36" s="83"/>
      <c r="K36" s="83"/>
      <c r="L36" s="12"/>
      <c r="M36" s="13"/>
      <c r="N36" s="14"/>
      <c r="O36" s="11"/>
      <c r="P36" s="15"/>
      <c r="Q36" s="16"/>
      <c r="R36" s="2"/>
      <c r="S36" s="12"/>
      <c r="T36" s="17"/>
      <c r="U36" s="2"/>
      <c r="V36" s="18"/>
      <c r="W36" s="8"/>
      <c r="Y36" s="149" t="s">
        <v>30</v>
      </c>
      <c r="Z36" s="152">
        <f t="shared" si="1"/>
        <v>0</v>
      </c>
    </row>
    <row r="37" spans="2:26" ht="18" x14ac:dyDescent="0.35">
      <c r="B37" s="95">
        <v>16</v>
      </c>
      <c r="C37" s="96" t="s">
        <v>76</v>
      </c>
      <c r="D37" s="97">
        <v>2.4</v>
      </c>
      <c r="E37" s="98">
        <v>38.4</v>
      </c>
      <c r="F37" s="90">
        <v>2.5</v>
      </c>
      <c r="G37" s="91" t="s">
        <v>90</v>
      </c>
      <c r="H37" s="92">
        <v>90</v>
      </c>
      <c r="I37" s="93">
        <v>225</v>
      </c>
      <c r="J37" s="83"/>
      <c r="K37" s="83"/>
      <c r="L37" s="12"/>
      <c r="M37" s="13"/>
      <c r="N37" s="14"/>
      <c r="O37" s="11"/>
      <c r="P37" s="15"/>
      <c r="Q37" s="16"/>
      <c r="R37" s="2"/>
      <c r="S37" s="12"/>
      <c r="T37" s="17"/>
      <c r="U37" s="2"/>
      <c r="V37" s="18"/>
      <c r="W37" s="8"/>
      <c r="Y37" s="149" t="s">
        <v>31</v>
      </c>
      <c r="Z37" s="152">
        <f t="shared" si="1"/>
        <v>0</v>
      </c>
    </row>
    <row r="38" spans="2:26" ht="18" x14ac:dyDescent="0.35">
      <c r="B38" s="95">
        <v>1.5</v>
      </c>
      <c r="C38" s="96" t="s">
        <v>77</v>
      </c>
      <c r="D38" s="97">
        <v>2.1</v>
      </c>
      <c r="E38" s="98">
        <v>3.1500000000000004</v>
      </c>
      <c r="F38" s="90">
        <v>7</v>
      </c>
      <c r="G38" s="91" t="s">
        <v>94</v>
      </c>
      <c r="H38" s="92">
        <v>10</v>
      </c>
      <c r="I38" s="93">
        <v>70</v>
      </c>
      <c r="J38" s="83"/>
      <c r="K38" s="83"/>
      <c r="L38" s="12"/>
      <c r="M38" s="13"/>
      <c r="N38" s="14"/>
      <c r="O38" s="11"/>
      <c r="P38" s="15"/>
      <c r="Q38" s="16"/>
      <c r="R38" s="2"/>
      <c r="S38" s="12"/>
      <c r="T38" s="17"/>
      <c r="U38" s="2"/>
      <c r="V38" s="18"/>
      <c r="W38" s="8"/>
      <c r="Y38" s="149" t="s">
        <v>84</v>
      </c>
      <c r="Z38" s="152">
        <f t="shared" si="1"/>
        <v>6</v>
      </c>
    </row>
    <row r="39" spans="2:26" ht="18" x14ac:dyDescent="0.35">
      <c r="B39" s="95">
        <v>14</v>
      </c>
      <c r="C39" s="96" t="s">
        <v>88</v>
      </c>
      <c r="D39" s="97">
        <v>0.9</v>
      </c>
      <c r="E39" s="98">
        <v>12.6</v>
      </c>
      <c r="F39" s="90">
        <v>1.5</v>
      </c>
      <c r="G39" s="91" t="s">
        <v>23</v>
      </c>
      <c r="H39" s="92">
        <v>55</v>
      </c>
      <c r="I39" s="93">
        <v>82.5</v>
      </c>
      <c r="J39" s="83"/>
      <c r="K39" s="83"/>
      <c r="L39" s="12"/>
      <c r="M39" s="13"/>
      <c r="N39" s="14"/>
      <c r="O39" s="11"/>
      <c r="P39" s="15"/>
      <c r="Q39" s="16"/>
      <c r="R39" s="2"/>
      <c r="S39" s="12"/>
      <c r="T39" s="17"/>
      <c r="U39" s="2"/>
      <c r="V39" s="18"/>
      <c r="W39" s="8"/>
      <c r="Y39" s="149" t="s">
        <v>85</v>
      </c>
      <c r="Z39" s="152">
        <f t="shared" si="1"/>
        <v>4.3</v>
      </c>
    </row>
    <row r="40" spans="2:26" ht="18" x14ac:dyDescent="0.35">
      <c r="B40" s="95">
        <v>19.5</v>
      </c>
      <c r="C40" s="96" t="s">
        <v>77</v>
      </c>
      <c r="D40" s="97">
        <v>2.1</v>
      </c>
      <c r="E40" s="98">
        <v>40.950000000000003</v>
      </c>
      <c r="F40" s="90">
        <v>1</v>
      </c>
      <c r="G40" s="91" t="s">
        <v>18</v>
      </c>
      <c r="H40" s="92">
        <v>10</v>
      </c>
      <c r="I40" s="93">
        <v>10</v>
      </c>
      <c r="J40" s="83"/>
      <c r="K40" s="83"/>
      <c r="L40" s="12"/>
      <c r="M40" s="13"/>
      <c r="N40" s="14"/>
      <c r="O40" s="11"/>
      <c r="P40" s="15"/>
      <c r="Q40" s="16"/>
      <c r="R40" s="2"/>
      <c r="S40" s="12"/>
      <c r="T40" s="17"/>
      <c r="U40" s="2"/>
      <c r="V40" s="18"/>
      <c r="W40" s="8"/>
      <c r="Y40" s="149" t="s">
        <v>86</v>
      </c>
      <c r="Z40" s="152">
        <f t="shared" si="1"/>
        <v>0</v>
      </c>
    </row>
    <row r="41" spans="2:26" ht="18" x14ac:dyDescent="0.35">
      <c r="B41" s="95">
        <v>3</v>
      </c>
      <c r="C41" s="96" t="s">
        <v>77</v>
      </c>
      <c r="D41" s="97">
        <v>2.1</v>
      </c>
      <c r="E41" s="98">
        <v>6.3000000000000007</v>
      </c>
      <c r="F41" s="90">
        <v>0.5</v>
      </c>
      <c r="G41" s="91" t="s">
        <v>90</v>
      </c>
      <c r="H41" s="92">
        <v>90</v>
      </c>
      <c r="I41" s="93">
        <v>45</v>
      </c>
      <c r="J41" s="83"/>
      <c r="K41" s="83"/>
      <c r="L41" s="12"/>
      <c r="M41" s="13"/>
      <c r="N41" s="14"/>
      <c r="O41" s="11"/>
      <c r="P41" s="15"/>
      <c r="Q41" s="16"/>
      <c r="R41" s="2"/>
      <c r="S41" s="12"/>
      <c r="T41" s="17"/>
      <c r="U41" s="2"/>
      <c r="V41" s="18"/>
      <c r="W41" s="8"/>
      <c r="Y41" s="149" t="s">
        <v>87</v>
      </c>
      <c r="Z41" s="152">
        <f t="shared" si="1"/>
        <v>0</v>
      </c>
    </row>
    <row r="42" spans="2:26" ht="18" x14ac:dyDescent="0.35">
      <c r="B42" s="95"/>
      <c r="C42" s="96"/>
      <c r="D42" s="97"/>
      <c r="E42" s="98"/>
      <c r="F42" s="90">
        <v>0.2</v>
      </c>
      <c r="G42" s="91" t="s">
        <v>23</v>
      </c>
      <c r="H42" s="92">
        <v>55</v>
      </c>
      <c r="I42" s="93">
        <v>11</v>
      </c>
      <c r="J42" s="83"/>
      <c r="K42" s="83"/>
      <c r="L42" s="12"/>
      <c r="M42" s="13"/>
      <c r="N42" s="14"/>
      <c r="O42" s="11"/>
      <c r="P42" s="15"/>
      <c r="Q42" s="16"/>
      <c r="R42" s="2"/>
      <c r="S42" s="12"/>
      <c r="T42" s="17"/>
      <c r="U42" s="2"/>
      <c r="V42" s="18"/>
      <c r="W42" s="8"/>
      <c r="Y42" s="149" t="s">
        <v>46</v>
      </c>
      <c r="Z42" s="152">
        <f t="shared" si="1"/>
        <v>0</v>
      </c>
    </row>
    <row r="43" spans="2:26" ht="18" x14ac:dyDescent="0.35">
      <c r="B43" s="95"/>
      <c r="C43" s="96"/>
      <c r="D43" s="97"/>
      <c r="E43" s="98"/>
      <c r="F43" s="90">
        <v>2</v>
      </c>
      <c r="G43" s="91" t="s">
        <v>94</v>
      </c>
      <c r="H43" s="92">
        <v>10</v>
      </c>
      <c r="I43" s="93">
        <v>20</v>
      </c>
      <c r="J43" s="83"/>
      <c r="K43" s="83"/>
      <c r="L43" s="12"/>
      <c r="M43" s="13"/>
      <c r="N43" s="14"/>
      <c r="O43" s="11"/>
      <c r="P43" s="15"/>
      <c r="Q43" s="16"/>
      <c r="R43" s="2"/>
      <c r="S43" s="12"/>
      <c r="T43" s="17"/>
      <c r="U43" s="2"/>
      <c r="V43" s="18"/>
      <c r="W43" s="8"/>
      <c r="Y43" s="149" t="s">
        <v>47</v>
      </c>
      <c r="Z43" s="152">
        <f t="shared" si="1"/>
        <v>0</v>
      </c>
    </row>
    <row r="44" spans="2:26" ht="18" x14ac:dyDescent="0.35">
      <c r="B44" s="95"/>
      <c r="C44" s="96"/>
      <c r="D44" s="97"/>
      <c r="E44" s="98"/>
      <c r="F44" s="90">
        <v>0.5</v>
      </c>
      <c r="G44" s="91" t="s">
        <v>90</v>
      </c>
      <c r="H44" s="92">
        <v>90</v>
      </c>
      <c r="I44" s="93">
        <v>45</v>
      </c>
      <c r="J44" s="83"/>
      <c r="K44" s="83"/>
      <c r="L44" s="12"/>
      <c r="M44" s="13"/>
      <c r="N44" s="14"/>
      <c r="O44" s="11"/>
      <c r="P44" s="15"/>
      <c r="Q44" s="16"/>
      <c r="R44" s="2"/>
      <c r="S44" s="12"/>
      <c r="T44" s="17"/>
      <c r="U44" s="2"/>
      <c r="V44" s="18"/>
      <c r="W44" s="8"/>
      <c r="Y44" s="149" t="s">
        <v>48</v>
      </c>
      <c r="Z44" s="152">
        <f t="shared" si="1"/>
        <v>11.1</v>
      </c>
    </row>
    <row r="45" spans="2:26" ht="18" x14ac:dyDescent="0.35">
      <c r="B45" s="95"/>
      <c r="C45" s="96"/>
      <c r="D45" s="97"/>
      <c r="E45" s="98"/>
      <c r="F45" s="90">
        <v>1</v>
      </c>
      <c r="G45" s="91" t="s">
        <v>23</v>
      </c>
      <c r="H45" s="92">
        <v>55</v>
      </c>
      <c r="I45" s="93">
        <v>55</v>
      </c>
      <c r="J45" s="83"/>
      <c r="K45" s="83"/>
      <c r="L45" s="12"/>
      <c r="M45" s="13"/>
      <c r="N45" s="14"/>
      <c r="O45" s="11"/>
      <c r="P45" s="15"/>
      <c r="Q45" s="16"/>
      <c r="R45" s="2"/>
      <c r="S45" s="12"/>
      <c r="T45" s="17"/>
      <c r="U45" s="2"/>
      <c r="V45" s="18"/>
      <c r="W45" s="8"/>
      <c r="Y45" s="149" t="s">
        <v>83</v>
      </c>
      <c r="Z45" s="152">
        <f t="shared" si="1"/>
        <v>0</v>
      </c>
    </row>
    <row r="46" spans="2:26" ht="18" x14ac:dyDescent="0.35">
      <c r="B46" s="95"/>
      <c r="C46" s="96"/>
      <c r="D46" s="97"/>
      <c r="E46" s="98"/>
      <c r="F46" s="90">
        <v>1.5</v>
      </c>
      <c r="G46" s="91" t="s">
        <v>18</v>
      </c>
      <c r="H46" s="92">
        <v>10</v>
      </c>
      <c r="I46" s="93">
        <v>15</v>
      </c>
      <c r="J46" s="83"/>
      <c r="K46" s="83"/>
      <c r="L46" s="12"/>
      <c r="M46" s="13"/>
      <c r="N46" s="14"/>
      <c r="O46" s="11"/>
      <c r="P46" s="15"/>
      <c r="Q46" s="16"/>
      <c r="R46" s="2"/>
      <c r="S46" s="12"/>
      <c r="T46" s="17"/>
      <c r="U46" s="2"/>
      <c r="V46" s="18"/>
      <c r="W46" s="8"/>
      <c r="Y46" s="149" t="s">
        <v>96</v>
      </c>
      <c r="Z46" s="152">
        <f t="shared" si="1"/>
        <v>1</v>
      </c>
    </row>
    <row r="47" spans="2:26" ht="18" x14ac:dyDescent="0.35">
      <c r="B47" s="95"/>
      <c r="C47" s="96"/>
      <c r="D47" s="97"/>
      <c r="E47" s="98"/>
      <c r="F47" s="90">
        <v>0.2</v>
      </c>
      <c r="G47" s="91" t="s">
        <v>90</v>
      </c>
      <c r="H47" s="92">
        <v>90</v>
      </c>
      <c r="I47" s="93">
        <v>18</v>
      </c>
      <c r="J47" s="83"/>
      <c r="K47" s="83"/>
      <c r="L47" s="12"/>
      <c r="M47" s="13"/>
      <c r="N47" s="14"/>
      <c r="O47" s="11"/>
      <c r="P47" s="15"/>
      <c r="Q47" s="16"/>
      <c r="R47" s="2"/>
      <c r="S47" s="12"/>
      <c r="T47" s="17"/>
      <c r="U47" s="2"/>
      <c r="V47" s="18"/>
      <c r="W47" s="8"/>
      <c r="Y47" s="149" t="s">
        <v>73</v>
      </c>
      <c r="Z47" s="152">
        <f t="shared" si="1"/>
        <v>0</v>
      </c>
    </row>
    <row r="48" spans="2:26" ht="18" x14ac:dyDescent="0.35">
      <c r="B48" s="95"/>
      <c r="C48" s="96"/>
      <c r="D48" s="97"/>
      <c r="E48" s="98"/>
      <c r="F48" s="90">
        <v>0.6</v>
      </c>
      <c r="G48" s="91" t="s">
        <v>18</v>
      </c>
      <c r="H48" s="92">
        <v>10</v>
      </c>
      <c r="I48" s="93">
        <v>6</v>
      </c>
      <c r="J48" s="83"/>
      <c r="K48" s="83"/>
      <c r="L48" s="12"/>
      <c r="M48" s="13"/>
      <c r="N48" s="14"/>
      <c r="O48" s="11"/>
      <c r="P48" s="15"/>
      <c r="Q48" s="16"/>
      <c r="R48" s="2"/>
      <c r="S48" s="12"/>
      <c r="T48" s="17"/>
      <c r="U48" s="2"/>
      <c r="V48" s="18"/>
      <c r="W48" s="8"/>
      <c r="Y48" s="149" t="s">
        <v>74</v>
      </c>
      <c r="Z48" s="152">
        <f t="shared" si="1"/>
        <v>0</v>
      </c>
    </row>
    <row r="49" spans="2:26" ht="18" x14ac:dyDescent="0.35">
      <c r="B49" s="95"/>
      <c r="C49" s="96"/>
      <c r="D49" s="97"/>
      <c r="E49" s="98"/>
      <c r="F49" s="90">
        <v>1.5</v>
      </c>
      <c r="G49" s="91" t="s">
        <v>20</v>
      </c>
      <c r="H49" s="92">
        <v>1</v>
      </c>
      <c r="I49" s="93">
        <v>1.5</v>
      </c>
      <c r="J49" s="83"/>
      <c r="K49" s="83"/>
      <c r="L49" s="12"/>
      <c r="M49" s="13"/>
      <c r="N49" s="14"/>
      <c r="O49" s="11"/>
      <c r="P49" s="15"/>
      <c r="Q49" s="16"/>
      <c r="R49" s="2"/>
      <c r="S49" s="12"/>
      <c r="T49" s="17"/>
      <c r="U49" s="2"/>
      <c r="V49" s="18"/>
      <c r="W49" s="8"/>
      <c r="Y49" s="149" t="s">
        <v>70</v>
      </c>
      <c r="Z49" s="152">
        <f t="shared" si="1"/>
        <v>2</v>
      </c>
    </row>
    <row r="50" spans="2:26" ht="18" x14ac:dyDescent="0.35">
      <c r="B50" s="95"/>
      <c r="C50" s="96"/>
      <c r="D50" s="97"/>
      <c r="E50" s="98"/>
      <c r="F50" s="90">
        <v>1</v>
      </c>
      <c r="G50" s="91" t="s">
        <v>94</v>
      </c>
      <c r="H50" s="92">
        <v>10</v>
      </c>
      <c r="I50" s="93">
        <v>10</v>
      </c>
      <c r="J50" s="83"/>
      <c r="K50" s="83"/>
      <c r="L50" s="12"/>
      <c r="M50" s="13"/>
      <c r="N50" s="14"/>
      <c r="O50" s="11"/>
      <c r="P50" s="15"/>
      <c r="Q50" s="16"/>
      <c r="R50" s="2"/>
      <c r="S50" s="12"/>
      <c r="T50" s="17"/>
      <c r="U50" s="2"/>
      <c r="V50" s="18"/>
      <c r="W50" s="8"/>
      <c r="Y50" s="149" t="s">
        <v>64</v>
      </c>
      <c r="Z50" s="152">
        <f t="shared" si="1"/>
        <v>0</v>
      </c>
    </row>
    <row r="51" spans="2:26" ht="18" x14ac:dyDescent="0.35">
      <c r="B51" s="95"/>
      <c r="C51" s="96"/>
      <c r="D51" s="97"/>
      <c r="E51" s="98"/>
      <c r="F51" s="90">
        <v>0.2</v>
      </c>
      <c r="G51" s="91" t="s">
        <v>92</v>
      </c>
      <c r="H51" s="92">
        <v>75</v>
      </c>
      <c r="I51" s="93">
        <v>15</v>
      </c>
      <c r="J51" s="83"/>
      <c r="K51" s="83"/>
      <c r="L51" s="12"/>
      <c r="M51" s="13"/>
      <c r="N51" s="14"/>
      <c r="O51" s="11"/>
      <c r="P51" s="15"/>
      <c r="Q51" s="16"/>
      <c r="R51" s="2"/>
      <c r="S51" s="12"/>
      <c r="T51" s="17"/>
      <c r="U51" s="2"/>
      <c r="V51" s="18"/>
      <c r="W51" s="8"/>
      <c r="Y51" s="149" t="s">
        <v>65</v>
      </c>
      <c r="Z51" s="152">
        <f t="shared" si="1"/>
        <v>0</v>
      </c>
    </row>
    <row r="52" spans="2:26" ht="18" x14ac:dyDescent="0.35">
      <c r="B52" s="95"/>
      <c r="C52" s="96"/>
      <c r="D52" s="97"/>
      <c r="E52" s="98"/>
      <c r="F52" s="90">
        <v>1.5</v>
      </c>
      <c r="G52" s="91" t="s">
        <v>23</v>
      </c>
      <c r="H52" s="92">
        <v>55</v>
      </c>
      <c r="I52" s="93">
        <v>82.5</v>
      </c>
      <c r="J52" s="83"/>
      <c r="K52" s="83"/>
      <c r="L52" s="12"/>
      <c r="M52" s="13"/>
      <c r="N52" s="14"/>
      <c r="O52" s="11"/>
      <c r="P52" s="15"/>
      <c r="Q52" s="16"/>
      <c r="R52" s="2"/>
      <c r="S52" s="12"/>
      <c r="T52" s="17"/>
      <c r="U52" s="2"/>
      <c r="V52" s="18"/>
      <c r="W52" s="8"/>
      <c r="Y52" s="149" t="s">
        <v>66</v>
      </c>
      <c r="Z52" s="152">
        <f t="shared" si="1"/>
        <v>0</v>
      </c>
    </row>
    <row r="53" spans="2:26" ht="18" x14ac:dyDescent="0.35">
      <c r="B53" s="95"/>
      <c r="C53" s="96"/>
      <c r="D53" s="97"/>
      <c r="E53" s="98"/>
      <c r="F53" s="90">
        <v>0.2</v>
      </c>
      <c r="G53" s="91" t="s">
        <v>92</v>
      </c>
      <c r="H53" s="92">
        <v>75</v>
      </c>
      <c r="I53" s="93">
        <v>15</v>
      </c>
      <c r="J53" s="83"/>
      <c r="K53" s="83"/>
      <c r="L53" s="12"/>
      <c r="M53" s="13"/>
      <c r="N53" s="14"/>
      <c r="O53" s="11"/>
      <c r="P53" s="15"/>
      <c r="Q53" s="16"/>
      <c r="R53" s="2"/>
      <c r="S53" s="12"/>
      <c r="T53" s="17"/>
      <c r="U53" s="2"/>
      <c r="V53" s="18"/>
      <c r="W53" s="8"/>
      <c r="Y53" s="149" t="s">
        <v>100</v>
      </c>
      <c r="Z53" s="152">
        <f t="shared" si="1"/>
        <v>0</v>
      </c>
    </row>
    <row r="54" spans="2:26" ht="18" x14ac:dyDescent="0.35">
      <c r="B54" s="95"/>
      <c r="C54" s="96"/>
      <c r="D54" s="97"/>
      <c r="E54" s="98"/>
      <c r="F54" s="90">
        <v>0.2</v>
      </c>
      <c r="G54" s="91" t="s">
        <v>94</v>
      </c>
      <c r="H54" s="92">
        <v>10</v>
      </c>
      <c r="I54" s="93">
        <v>2</v>
      </c>
      <c r="J54" s="83"/>
      <c r="K54" s="83"/>
      <c r="L54" s="12"/>
      <c r="M54" s="13"/>
      <c r="N54" s="14"/>
      <c r="O54" s="11"/>
      <c r="P54" s="15"/>
      <c r="Q54" s="16"/>
      <c r="R54" s="2"/>
      <c r="S54" s="12"/>
      <c r="T54" s="17"/>
      <c r="U54" s="2"/>
      <c r="V54" s="18"/>
      <c r="W54" s="8"/>
      <c r="Y54" s="149" t="s">
        <v>101</v>
      </c>
      <c r="Z54" s="152">
        <f t="shared" si="1"/>
        <v>0</v>
      </c>
    </row>
    <row r="55" spans="2:26" ht="18" x14ac:dyDescent="0.35">
      <c r="B55" s="95"/>
      <c r="C55" s="96"/>
      <c r="D55" s="97"/>
      <c r="E55" s="98"/>
      <c r="F55" s="90">
        <v>2.5</v>
      </c>
      <c r="G55" s="91" t="s">
        <v>23</v>
      </c>
      <c r="H55" s="92">
        <v>55</v>
      </c>
      <c r="I55" s="93">
        <v>137.5</v>
      </c>
      <c r="J55" s="83"/>
      <c r="K55" s="83"/>
      <c r="L55" s="12"/>
      <c r="M55" s="13"/>
      <c r="N55" s="14"/>
      <c r="O55" s="11"/>
      <c r="P55" s="15"/>
      <c r="Q55" s="16"/>
      <c r="R55" s="2"/>
      <c r="S55" s="12"/>
      <c r="T55" s="17"/>
      <c r="U55" s="2"/>
      <c r="V55" s="18"/>
      <c r="W55" s="8"/>
      <c r="Y55" s="149" t="s">
        <v>102</v>
      </c>
      <c r="Z55" s="152">
        <f t="shared" si="1"/>
        <v>0</v>
      </c>
    </row>
    <row r="56" spans="2:26" ht="18" x14ac:dyDescent="0.35">
      <c r="B56" s="95"/>
      <c r="C56" s="96"/>
      <c r="D56" s="97"/>
      <c r="E56" s="98"/>
      <c r="F56" s="90">
        <v>0.5</v>
      </c>
      <c r="G56" s="91" t="s">
        <v>84</v>
      </c>
      <c r="H56" s="92">
        <v>5</v>
      </c>
      <c r="I56" s="93">
        <v>2.5</v>
      </c>
      <c r="J56" s="83"/>
      <c r="K56" s="83"/>
      <c r="L56" s="12"/>
      <c r="M56" s="13"/>
      <c r="N56" s="14"/>
      <c r="O56" s="11"/>
      <c r="P56" s="15"/>
      <c r="Q56" s="16"/>
      <c r="R56" s="2"/>
      <c r="S56" s="12"/>
      <c r="T56" s="17"/>
      <c r="U56" s="2"/>
      <c r="V56" s="18"/>
      <c r="W56" s="8"/>
      <c r="Y56" s="149" t="s">
        <v>26</v>
      </c>
      <c r="Z56" s="152">
        <f t="shared" si="1"/>
        <v>0</v>
      </c>
    </row>
    <row r="57" spans="2:26" ht="18" x14ac:dyDescent="0.35">
      <c r="B57" s="95"/>
      <c r="C57" s="96"/>
      <c r="D57" s="97"/>
      <c r="E57" s="98"/>
      <c r="F57" s="90">
        <v>1.5</v>
      </c>
      <c r="G57" s="91" t="s">
        <v>18</v>
      </c>
      <c r="H57" s="92">
        <v>10</v>
      </c>
      <c r="I57" s="93">
        <v>15</v>
      </c>
      <c r="J57" s="83"/>
      <c r="K57" s="83"/>
      <c r="L57" s="12"/>
      <c r="M57" s="13"/>
      <c r="N57" s="14"/>
      <c r="O57" s="11"/>
      <c r="P57" s="15"/>
      <c r="Q57" s="16"/>
      <c r="R57" s="2"/>
      <c r="S57" s="12"/>
      <c r="T57" s="17"/>
      <c r="U57" s="2"/>
      <c r="V57" s="18"/>
      <c r="W57" s="8"/>
      <c r="Y57" s="149" t="s">
        <v>27</v>
      </c>
      <c r="Z57" s="152">
        <f t="shared" si="1"/>
        <v>0</v>
      </c>
    </row>
    <row r="58" spans="2:26" ht="18" x14ac:dyDescent="0.35">
      <c r="B58" s="95"/>
      <c r="C58" s="96"/>
      <c r="D58" s="97"/>
      <c r="E58" s="98"/>
      <c r="F58" s="90">
        <v>0.6</v>
      </c>
      <c r="G58" s="91" t="s">
        <v>48</v>
      </c>
      <c r="H58" s="92">
        <v>6</v>
      </c>
      <c r="I58" s="93">
        <v>3.5999999999999996</v>
      </c>
      <c r="J58" s="83"/>
      <c r="K58" s="83"/>
      <c r="L58" s="12"/>
      <c r="M58" s="13"/>
      <c r="N58" s="14"/>
      <c r="O58" s="11"/>
      <c r="P58" s="15"/>
      <c r="Q58" s="16"/>
      <c r="R58" s="2"/>
      <c r="S58" s="12"/>
      <c r="T58" s="17"/>
      <c r="U58" s="2"/>
      <c r="V58" s="18"/>
      <c r="W58" s="8"/>
      <c r="Y58" s="149" t="s">
        <v>28</v>
      </c>
      <c r="Z58" s="152">
        <f t="shared" si="1"/>
        <v>0</v>
      </c>
    </row>
    <row r="59" spans="2:26" ht="18" x14ac:dyDescent="0.35">
      <c r="B59" s="95"/>
      <c r="C59" s="96"/>
      <c r="D59" s="97"/>
      <c r="E59" s="98"/>
      <c r="F59" s="90">
        <v>0.5</v>
      </c>
      <c r="G59" s="91" t="s">
        <v>92</v>
      </c>
      <c r="H59" s="92">
        <v>75</v>
      </c>
      <c r="I59" s="93">
        <v>37.5</v>
      </c>
      <c r="J59" s="83"/>
      <c r="K59" s="83"/>
      <c r="L59" s="12"/>
      <c r="M59" s="13"/>
      <c r="N59" s="14"/>
      <c r="O59" s="11"/>
      <c r="P59" s="15"/>
      <c r="Q59" s="16"/>
      <c r="R59" s="2"/>
      <c r="S59" s="12"/>
      <c r="T59" s="17"/>
      <c r="U59" s="2"/>
      <c r="V59" s="18"/>
      <c r="W59" s="8"/>
      <c r="Y59" s="149" t="s">
        <v>29</v>
      </c>
      <c r="Z59" s="152">
        <f t="shared" si="1"/>
        <v>0</v>
      </c>
    </row>
    <row r="60" spans="2:26" ht="18" x14ac:dyDescent="0.35">
      <c r="B60" s="95"/>
      <c r="C60" s="96"/>
      <c r="D60" s="97"/>
      <c r="E60" s="98"/>
      <c r="F60" s="90">
        <v>1</v>
      </c>
      <c r="G60" s="91" t="s">
        <v>22</v>
      </c>
      <c r="H60" s="92">
        <v>94</v>
      </c>
      <c r="I60" s="93">
        <v>94</v>
      </c>
      <c r="J60" s="83"/>
      <c r="K60" s="83"/>
      <c r="L60" s="12"/>
      <c r="M60" s="13"/>
      <c r="N60" s="14"/>
      <c r="O60" s="11"/>
      <c r="P60" s="15"/>
      <c r="Q60" s="16"/>
      <c r="R60" s="2"/>
      <c r="S60" s="12"/>
      <c r="T60" s="17"/>
      <c r="U60" s="2"/>
      <c r="V60" s="18"/>
      <c r="W60" s="8"/>
      <c r="Y60" s="149" t="s">
        <v>34</v>
      </c>
      <c r="Z60" s="152">
        <f t="shared" si="1"/>
        <v>0</v>
      </c>
    </row>
    <row r="61" spans="2:26" ht="18" x14ac:dyDescent="0.35">
      <c r="B61" s="95"/>
      <c r="C61" s="96"/>
      <c r="D61" s="97"/>
      <c r="E61" s="98"/>
      <c r="F61" s="90">
        <v>2</v>
      </c>
      <c r="G61" s="91" t="s">
        <v>18</v>
      </c>
      <c r="H61" s="92">
        <v>10</v>
      </c>
      <c r="I61" s="93">
        <v>20</v>
      </c>
      <c r="J61" s="83"/>
      <c r="K61" s="83"/>
      <c r="L61" s="12"/>
      <c r="M61" s="13"/>
      <c r="N61" s="14"/>
      <c r="O61" s="11"/>
      <c r="P61" s="15"/>
      <c r="Q61" s="16"/>
      <c r="R61" s="2"/>
      <c r="S61" s="12"/>
      <c r="T61" s="17"/>
      <c r="U61" s="2"/>
      <c r="V61" s="18"/>
      <c r="W61" s="8"/>
      <c r="Y61" s="149" t="s">
        <v>35</v>
      </c>
      <c r="Z61" s="152">
        <f t="shared" si="1"/>
        <v>0</v>
      </c>
    </row>
    <row r="62" spans="2:26" ht="18" x14ac:dyDescent="0.35">
      <c r="B62" s="95"/>
      <c r="C62" s="96"/>
      <c r="D62" s="97"/>
      <c r="E62" s="98"/>
      <c r="F62" s="90">
        <v>1</v>
      </c>
      <c r="G62" s="91" t="s">
        <v>90</v>
      </c>
      <c r="H62" s="92">
        <v>90</v>
      </c>
      <c r="I62" s="93">
        <v>90</v>
      </c>
      <c r="J62" s="83"/>
      <c r="K62" s="83"/>
      <c r="L62" s="12"/>
      <c r="M62" s="13"/>
      <c r="N62" s="14"/>
      <c r="O62" s="11"/>
      <c r="P62" s="15"/>
      <c r="Q62" s="16"/>
      <c r="R62" s="2"/>
      <c r="S62" s="12"/>
      <c r="T62" s="17"/>
      <c r="U62" s="2"/>
      <c r="V62" s="18"/>
      <c r="W62" s="8"/>
      <c r="Y62" s="149" t="s">
        <v>36</v>
      </c>
      <c r="Z62" s="152">
        <f t="shared" si="1"/>
        <v>0</v>
      </c>
    </row>
    <row r="63" spans="2:26" ht="18" x14ac:dyDescent="0.35">
      <c r="B63" s="95"/>
      <c r="C63" s="96"/>
      <c r="D63" s="97"/>
      <c r="E63" s="98"/>
      <c r="F63" s="90">
        <v>1</v>
      </c>
      <c r="G63" s="91" t="s">
        <v>96</v>
      </c>
      <c r="H63" s="92">
        <v>12</v>
      </c>
      <c r="I63" s="93">
        <v>12</v>
      </c>
      <c r="J63" s="83"/>
      <c r="K63" s="83"/>
      <c r="L63" s="12"/>
      <c r="M63" s="13"/>
      <c r="N63" s="14"/>
      <c r="O63" s="11"/>
      <c r="P63" s="15"/>
      <c r="Q63" s="16"/>
      <c r="R63" s="2"/>
      <c r="S63" s="12"/>
      <c r="T63" s="17"/>
      <c r="U63" s="2"/>
      <c r="V63" s="18"/>
      <c r="W63" s="8"/>
      <c r="Y63" s="149" t="s">
        <v>37</v>
      </c>
      <c r="Z63" s="152">
        <f t="shared" si="1"/>
        <v>0</v>
      </c>
    </row>
    <row r="64" spans="2:26" ht="18" x14ac:dyDescent="0.35">
      <c r="B64" s="95"/>
      <c r="C64" s="96"/>
      <c r="D64" s="97"/>
      <c r="E64" s="98"/>
      <c r="F64" s="90">
        <v>1</v>
      </c>
      <c r="G64" s="91" t="s">
        <v>18</v>
      </c>
      <c r="H64" s="92">
        <v>10</v>
      </c>
      <c r="I64" s="93">
        <v>10</v>
      </c>
      <c r="J64" s="83"/>
      <c r="K64" s="83"/>
      <c r="L64" s="12"/>
      <c r="M64" s="13"/>
      <c r="N64" s="14"/>
      <c r="O64" s="11"/>
      <c r="P64" s="15"/>
      <c r="Q64" s="16"/>
      <c r="R64" s="2"/>
      <c r="S64" s="12"/>
      <c r="T64" s="17"/>
      <c r="U64" s="2"/>
      <c r="V64" s="18"/>
      <c r="W64" s="8"/>
      <c r="Y64" s="149" t="s">
        <v>38</v>
      </c>
      <c r="Z64" s="152">
        <f t="shared" si="1"/>
        <v>0</v>
      </c>
    </row>
    <row r="65" spans="2:26" ht="18" x14ac:dyDescent="0.35">
      <c r="B65" s="95"/>
      <c r="C65" s="96"/>
      <c r="D65" s="97"/>
      <c r="E65" s="98"/>
      <c r="F65" s="99">
        <v>0.8</v>
      </c>
      <c r="G65" s="100" t="s">
        <v>85</v>
      </c>
      <c r="H65" s="101">
        <v>10</v>
      </c>
      <c r="I65" s="102">
        <v>8</v>
      </c>
      <c r="J65" s="83"/>
      <c r="K65" s="83"/>
      <c r="L65" s="12"/>
      <c r="M65" s="13"/>
      <c r="N65" s="14"/>
      <c r="O65" s="11"/>
      <c r="P65" s="15"/>
      <c r="Q65" s="16"/>
      <c r="R65" s="2"/>
      <c r="S65" s="12"/>
      <c r="T65" s="17"/>
      <c r="U65" s="2"/>
      <c r="V65" s="18"/>
      <c r="W65" s="8"/>
      <c r="Y65" s="149" t="s">
        <v>40</v>
      </c>
      <c r="Z65" s="152">
        <f t="shared" si="1"/>
        <v>0</v>
      </c>
    </row>
    <row r="66" spans="2:26" ht="18" x14ac:dyDescent="0.35">
      <c r="B66" s="95"/>
      <c r="C66" s="96"/>
      <c r="D66" s="97"/>
      <c r="E66" s="98"/>
      <c r="F66" s="90">
        <v>2.5</v>
      </c>
      <c r="G66" s="91" t="s">
        <v>84</v>
      </c>
      <c r="H66" s="92">
        <v>5</v>
      </c>
      <c r="I66" s="93">
        <v>12.5</v>
      </c>
      <c r="J66" s="83"/>
      <c r="K66" s="83"/>
      <c r="L66" s="12"/>
      <c r="M66" s="13"/>
      <c r="N66" s="14"/>
      <c r="O66" s="11"/>
      <c r="P66" s="15"/>
      <c r="Q66" s="16"/>
      <c r="R66" s="2"/>
      <c r="S66" s="12"/>
      <c r="T66" s="17"/>
      <c r="U66" s="2"/>
      <c r="V66" s="18"/>
      <c r="W66" s="8"/>
      <c r="Y66" s="149" t="s">
        <v>41</v>
      </c>
      <c r="Z66" s="152">
        <f t="shared" si="1"/>
        <v>0</v>
      </c>
    </row>
    <row r="67" spans="2:26" ht="18" x14ac:dyDescent="0.35">
      <c r="B67" s="95"/>
      <c r="C67" s="96"/>
      <c r="D67" s="97"/>
      <c r="E67" s="98"/>
      <c r="F67" s="103">
        <v>7.5</v>
      </c>
      <c r="G67" s="94" t="s">
        <v>25</v>
      </c>
      <c r="H67" s="104">
        <v>30</v>
      </c>
      <c r="I67" s="105">
        <v>225</v>
      </c>
      <c r="J67" s="83"/>
      <c r="K67" s="83"/>
      <c r="L67" s="12"/>
      <c r="M67" s="13"/>
      <c r="N67" s="14"/>
      <c r="O67" s="11"/>
      <c r="P67" s="15"/>
      <c r="Q67" s="16"/>
      <c r="R67" s="2"/>
      <c r="S67" s="12"/>
      <c r="T67" s="17"/>
      <c r="U67" s="2"/>
      <c r="V67" s="18"/>
      <c r="W67" s="8"/>
      <c r="Y67" s="149" t="s">
        <v>69</v>
      </c>
      <c r="Z67" s="152">
        <f t="shared" si="1"/>
        <v>0</v>
      </c>
    </row>
    <row r="68" spans="2:26" ht="18" x14ac:dyDescent="0.35">
      <c r="B68" s="95"/>
      <c r="C68" s="96"/>
      <c r="D68" s="97"/>
      <c r="E68" s="98"/>
      <c r="F68" s="90">
        <v>0.2</v>
      </c>
      <c r="G68" s="91" t="s">
        <v>94</v>
      </c>
      <c r="H68" s="92">
        <v>10</v>
      </c>
      <c r="I68" s="105">
        <v>2</v>
      </c>
      <c r="J68" s="83"/>
      <c r="K68" s="83"/>
      <c r="L68" s="12"/>
      <c r="M68" s="13"/>
      <c r="N68" s="14"/>
      <c r="O68" s="11"/>
      <c r="P68" s="15"/>
      <c r="Q68" s="16"/>
      <c r="R68" s="2"/>
      <c r="S68" s="12"/>
      <c r="T68" s="17"/>
      <c r="U68" s="2"/>
      <c r="V68" s="18"/>
      <c r="W68" s="8"/>
      <c r="Y68" s="149" t="s">
        <v>108</v>
      </c>
      <c r="Z68" s="152">
        <f t="shared" si="1"/>
        <v>0</v>
      </c>
    </row>
    <row r="69" spans="2:26" ht="18" x14ac:dyDescent="0.35">
      <c r="B69" s="95"/>
      <c r="C69" s="96"/>
      <c r="D69" s="97"/>
      <c r="E69" s="98"/>
      <c r="F69" s="90">
        <v>2.5</v>
      </c>
      <c r="G69" s="91" t="s">
        <v>85</v>
      </c>
      <c r="H69" s="92">
        <v>10</v>
      </c>
      <c r="I69" s="105">
        <v>25</v>
      </c>
      <c r="J69" s="83"/>
      <c r="K69" s="83"/>
      <c r="L69" s="12"/>
      <c r="M69" s="13"/>
      <c r="N69" s="14"/>
      <c r="O69" s="11"/>
      <c r="P69" s="15"/>
      <c r="Q69" s="16"/>
      <c r="R69" s="2"/>
      <c r="S69" s="12"/>
      <c r="T69" s="17"/>
      <c r="U69" s="2"/>
      <c r="V69" s="18"/>
      <c r="W69" s="8"/>
      <c r="Y69" s="149" t="s">
        <v>44</v>
      </c>
      <c r="Z69" s="152">
        <f t="shared" si="1"/>
        <v>0</v>
      </c>
    </row>
    <row r="70" spans="2:26" ht="18" x14ac:dyDescent="0.35">
      <c r="B70" s="95"/>
      <c r="C70" s="96"/>
      <c r="D70" s="97"/>
      <c r="E70" s="98"/>
      <c r="F70" s="90">
        <v>1</v>
      </c>
      <c r="G70" s="91" t="s">
        <v>84</v>
      </c>
      <c r="H70" s="92">
        <v>5</v>
      </c>
      <c r="I70" s="105">
        <v>5</v>
      </c>
      <c r="J70" s="83"/>
      <c r="K70" s="83"/>
      <c r="L70" s="12"/>
      <c r="M70" s="13"/>
      <c r="N70" s="14"/>
      <c r="O70" s="11"/>
      <c r="P70" s="15"/>
      <c r="Q70" s="16"/>
      <c r="R70" s="2"/>
      <c r="S70" s="12"/>
      <c r="T70" s="17"/>
      <c r="U70" s="2"/>
      <c r="V70" s="18"/>
      <c r="W70" s="8"/>
      <c r="Y70" s="149" t="s">
        <v>45</v>
      </c>
      <c r="Z70" s="152">
        <f t="shared" si="1"/>
        <v>0</v>
      </c>
    </row>
    <row r="71" spans="2:26" ht="18" x14ac:dyDescent="0.35">
      <c r="B71" s="95"/>
      <c r="C71" s="96"/>
      <c r="D71" s="97"/>
      <c r="E71" s="98"/>
      <c r="F71" s="90">
        <v>0.5</v>
      </c>
      <c r="G71" s="91" t="s">
        <v>23</v>
      </c>
      <c r="H71" s="92">
        <v>55</v>
      </c>
      <c r="I71" s="105">
        <v>27.5</v>
      </c>
      <c r="J71" s="83"/>
      <c r="K71" s="83"/>
      <c r="L71" s="12"/>
      <c r="M71" s="13"/>
      <c r="N71" s="14"/>
      <c r="O71" s="11"/>
      <c r="P71" s="15"/>
      <c r="Q71" s="16"/>
      <c r="R71" s="2"/>
      <c r="S71" s="12"/>
      <c r="T71" s="17"/>
      <c r="U71" s="2"/>
      <c r="V71" s="18"/>
      <c r="W71" s="8"/>
      <c r="Y71" s="149" t="s">
        <v>49</v>
      </c>
      <c r="Z71" s="152">
        <f t="shared" si="1"/>
        <v>0</v>
      </c>
    </row>
    <row r="72" spans="2:26" ht="18" x14ac:dyDescent="0.35">
      <c r="B72" s="106"/>
      <c r="C72" s="107"/>
      <c r="D72" s="108"/>
      <c r="E72" s="109"/>
      <c r="F72" s="90"/>
      <c r="G72" s="91"/>
      <c r="H72" s="92"/>
      <c r="I72" s="105"/>
      <c r="J72" s="83"/>
      <c r="K72" s="83"/>
      <c r="L72" s="12"/>
      <c r="M72" s="13"/>
      <c r="N72" s="14"/>
      <c r="O72" s="11"/>
      <c r="P72" s="15"/>
      <c r="Q72" s="16"/>
      <c r="R72" s="2"/>
      <c r="S72" s="12"/>
      <c r="T72" s="17"/>
      <c r="U72" s="2"/>
      <c r="V72" s="18"/>
      <c r="W72" s="8"/>
      <c r="Y72" s="149" t="s">
        <v>50</v>
      </c>
      <c r="Z72" s="152">
        <f t="shared" si="1"/>
        <v>0</v>
      </c>
    </row>
    <row r="73" spans="2:26" ht="18" x14ac:dyDescent="0.35">
      <c r="B73" s="95"/>
      <c r="C73" s="96"/>
      <c r="D73" s="97"/>
      <c r="E73" s="98"/>
      <c r="F73" s="90"/>
      <c r="G73" s="91"/>
      <c r="H73" s="92"/>
      <c r="I73" s="105"/>
      <c r="J73" s="83"/>
      <c r="K73" s="83"/>
      <c r="L73" s="20"/>
      <c r="M73" s="21"/>
      <c r="N73" s="22"/>
      <c r="O73" s="19"/>
      <c r="P73" s="23"/>
      <c r="Q73" s="24"/>
      <c r="R73" s="2"/>
      <c r="S73" s="20"/>
      <c r="T73" s="25"/>
      <c r="U73" s="2"/>
      <c r="V73" s="26"/>
      <c r="W73" s="27"/>
      <c r="Y73" s="149" t="s">
        <v>51</v>
      </c>
      <c r="Z73" s="152">
        <f t="shared" si="1"/>
        <v>0</v>
      </c>
    </row>
    <row r="74" spans="2:26" ht="18" x14ac:dyDescent="0.35">
      <c r="B74" s="110"/>
      <c r="C74" s="111"/>
      <c r="D74" s="112"/>
      <c r="E74" s="113"/>
      <c r="F74" s="90"/>
      <c r="G74" s="91"/>
      <c r="H74" s="92"/>
      <c r="I74" s="105"/>
      <c r="J74" s="83"/>
      <c r="K74" s="83"/>
      <c r="L74" s="12"/>
      <c r="M74" s="28"/>
      <c r="N74" s="14"/>
      <c r="O74" s="11"/>
      <c r="P74" s="11"/>
      <c r="Q74" s="16"/>
      <c r="R74" s="2"/>
      <c r="S74" s="12"/>
      <c r="T74" s="17"/>
      <c r="U74" s="2"/>
      <c r="V74" s="18"/>
      <c r="W74" s="16"/>
      <c r="Y74" s="149" t="s">
        <v>52</v>
      </c>
      <c r="Z74" s="152">
        <f t="shared" si="1"/>
        <v>0</v>
      </c>
    </row>
    <row r="75" spans="2:26" ht="18" x14ac:dyDescent="0.35">
      <c r="B75" s="95"/>
      <c r="C75" s="96"/>
      <c r="D75" s="97"/>
      <c r="E75" s="113"/>
      <c r="F75" s="90"/>
      <c r="G75" s="91"/>
      <c r="H75" s="92"/>
      <c r="I75" s="105"/>
      <c r="J75" s="83"/>
      <c r="K75" s="83"/>
      <c r="L75" s="12"/>
      <c r="M75" s="28"/>
      <c r="N75" s="14"/>
      <c r="O75" s="11"/>
      <c r="P75" s="11"/>
      <c r="Q75" s="16"/>
      <c r="R75" s="2"/>
      <c r="S75" s="12"/>
      <c r="T75" s="17"/>
      <c r="U75" s="2"/>
      <c r="V75" s="18"/>
      <c r="W75" s="16"/>
      <c r="Y75" s="149" t="s">
        <v>72</v>
      </c>
      <c r="Z75" s="152">
        <f t="shared" si="1"/>
        <v>0</v>
      </c>
    </row>
    <row r="76" spans="2:26" ht="18" x14ac:dyDescent="0.35">
      <c r="B76" s="95"/>
      <c r="C76" s="96"/>
      <c r="D76" s="97"/>
      <c r="E76" s="113"/>
      <c r="F76" s="90"/>
      <c r="G76" s="91"/>
      <c r="H76" s="92"/>
      <c r="I76" s="105"/>
      <c r="J76" s="83"/>
      <c r="K76" s="83"/>
      <c r="L76" s="12"/>
      <c r="M76" s="28"/>
      <c r="N76" s="14"/>
      <c r="O76" s="11"/>
      <c r="P76" s="11"/>
      <c r="Q76" s="16"/>
      <c r="R76" s="2"/>
      <c r="S76" s="12"/>
      <c r="T76" s="17"/>
      <c r="U76" s="2"/>
      <c r="V76" s="18"/>
      <c r="W76" s="16"/>
      <c r="Y76" s="149" t="s">
        <v>71</v>
      </c>
      <c r="Z76" s="152">
        <f t="shared" si="1"/>
        <v>0</v>
      </c>
    </row>
    <row r="77" spans="2:26" ht="18" x14ac:dyDescent="0.35">
      <c r="B77" s="95"/>
      <c r="C77" s="96"/>
      <c r="D77" s="97"/>
      <c r="E77" s="113"/>
      <c r="F77" s="90"/>
      <c r="G77" s="91"/>
      <c r="H77" s="92"/>
      <c r="I77" s="105"/>
      <c r="J77" s="83"/>
      <c r="K77" s="83"/>
      <c r="L77" s="12"/>
      <c r="M77" s="28"/>
      <c r="N77" s="14"/>
      <c r="O77" s="11"/>
      <c r="P77" s="11"/>
      <c r="Q77" s="16"/>
      <c r="R77" s="2"/>
      <c r="S77" s="12"/>
      <c r="T77" s="17"/>
      <c r="U77" s="2"/>
      <c r="V77" s="18"/>
      <c r="W77" s="16"/>
      <c r="Y77" s="149" t="s">
        <v>53</v>
      </c>
      <c r="Z77" s="152">
        <f t="shared" ref="Z77:Z79" si="2">SUMIF($G$9:$G$129, Y77, $F$9:$F$129)</f>
        <v>0</v>
      </c>
    </row>
    <row r="78" spans="2:26" ht="18" x14ac:dyDescent="0.35">
      <c r="B78" s="95"/>
      <c r="C78" s="96"/>
      <c r="D78" s="97"/>
      <c r="E78" s="113"/>
      <c r="F78" s="90"/>
      <c r="G78" s="91"/>
      <c r="H78" s="92"/>
      <c r="I78" s="105"/>
      <c r="J78" s="83"/>
      <c r="K78" s="83"/>
      <c r="L78" s="12"/>
      <c r="M78" s="28"/>
      <c r="N78" s="14"/>
      <c r="O78" s="11"/>
      <c r="P78" s="11"/>
      <c r="Q78" s="16"/>
      <c r="R78" s="2"/>
      <c r="S78" s="12"/>
      <c r="T78" s="17"/>
      <c r="U78" s="2"/>
      <c r="V78" s="18"/>
      <c r="W78" s="16"/>
      <c r="Y78" s="149" t="s">
        <v>54</v>
      </c>
      <c r="Z78" s="152">
        <f t="shared" si="2"/>
        <v>0</v>
      </c>
    </row>
    <row r="79" spans="2:26" ht="18.600000000000001" thickBot="1" x14ac:dyDescent="0.4">
      <c r="B79" s="95"/>
      <c r="C79" s="96"/>
      <c r="D79" s="97"/>
      <c r="E79" s="113"/>
      <c r="F79" s="90"/>
      <c r="G79" s="91"/>
      <c r="H79" s="92"/>
      <c r="I79" s="105"/>
      <c r="J79" s="83"/>
      <c r="K79" s="83"/>
      <c r="L79" s="12"/>
      <c r="M79" s="28"/>
      <c r="N79" s="14"/>
      <c r="O79" s="11"/>
      <c r="P79" s="11"/>
      <c r="Q79" s="16"/>
      <c r="R79" s="2"/>
      <c r="S79" s="12"/>
      <c r="T79" s="17"/>
      <c r="U79" s="2"/>
      <c r="V79" s="18"/>
      <c r="W79" s="16"/>
      <c r="Y79" s="150" t="s">
        <v>55</v>
      </c>
      <c r="Z79" s="153">
        <f t="shared" si="2"/>
        <v>0</v>
      </c>
    </row>
    <row r="80" spans="2:26" ht="18" x14ac:dyDescent="0.35">
      <c r="B80" s="95"/>
      <c r="C80" s="96"/>
      <c r="D80" s="97"/>
      <c r="E80" s="113"/>
      <c r="F80" s="90"/>
      <c r="G80" s="91"/>
      <c r="H80" s="92"/>
      <c r="I80" s="105"/>
      <c r="J80" s="83"/>
      <c r="K80" s="83"/>
      <c r="L80" s="12"/>
      <c r="M80" s="28"/>
      <c r="N80" s="14"/>
      <c r="O80" s="11"/>
      <c r="P80" s="11"/>
      <c r="Q80" s="16"/>
      <c r="R80" s="2"/>
      <c r="S80" s="12"/>
      <c r="T80" s="17"/>
      <c r="U80" s="2"/>
      <c r="V80" s="18"/>
      <c r="W80" s="16"/>
    </row>
    <row r="81" spans="2:23" ht="18" x14ac:dyDescent="0.35">
      <c r="B81" s="95"/>
      <c r="C81" s="96"/>
      <c r="D81" s="97"/>
      <c r="E81" s="113"/>
      <c r="F81" s="90"/>
      <c r="G81" s="91"/>
      <c r="H81" s="92"/>
      <c r="I81" s="105"/>
      <c r="J81" s="83"/>
      <c r="K81" s="83"/>
      <c r="L81" s="12"/>
      <c r="M81" s="28"/>
      <c r="N81" s="14"/>
      <c r="O81" s="11"/>
      <c r="P81" s="11"/>
      <c r="Q81" s="16"/>
      <c r="R81" s="2"/>
      <c r="S81" s="12"/>
      <c r="T81" s="17"/>
      <c r="U81" s="2"/>
      <c r="V81" s="18"/>
      <c r="W81" s="16"/>
    </row>
    <row r="82" spans="2:23" ht="18" x14ac:dyDescent="0.35">
      <c r="B82" s="95"/>
      <c r="C82" s="96"/>
      <c r="D82" s="97"/>
      <c r="E82" s="113"/>
      <c r="F82" s="90"/>
      <c r="G82" s="91"/>
      <c r="H82" s="92"/>
      <c r="I82" s="105"/>
      <c r="J82" s="83"/>
      <c r="K82" s="83"/>
      <c r="L82" s="12"/>
      <c r="M82" s="28"/>
      <c r="N82" s="14"/>
      <c r="O82" s="11"/>
      <c r="P82" s="11"/>
      <c r="Q82" s="16"/>
      <c r="R82" s="2"/>
      <c r="S82" s="12"/>
      <c r="T82" s="17"/>
      <c r="U82" s="2"/>
      <c r="V82" s="18"/>
      <c r="W82" s="16"/>
    </row>
    <row r="83" spans="2:23" ht="18" x14ac:dyDescent="0.35">
      <c r="B83" s="95"/>
      <c r="C83" s="96"/>
      <c r="D83" s="97"/>
      <c r="E83" s="113"/>
      <c r="F83" s="90"/>
      <c r="G83" s="91"/>
      <c r="H83" s="92"/>
      <c r="I83" s="105"/>
      <c r="J83" s="83"/>
      <c r="K83" s="83"/>
      <c r="L83" s="12"/>
      <c r="M83" s="28"/>
      <c r="N83" s="14"/>
      <c r="O83" s="11"/>
      <c r="P83" s="11"/>
      <c r="Q83" s="16"/>
      <c r="R83" s="2"/>
      <c r="S83" s="12"/>
      <c r="T83" s="17"/>
      <c r="U83" s="2"/>
      <c r="V83" s="18"/>
      <c r="W83" s="16"/>
    </row>
    <row r="84" spans="2:23" ht="18" x14ac:dyDescent="0.35">
      <c r="B84" s="95"/>
      <c r="C84" s="96"/>
      <c r="D84" s="97"/>
      <c r="E84" s="113"/>
      <c r="F84" s="90"/>
      <c r="G84" s="91"/>
      <c r="H84" s="92"/>
      <c r="I84" s="105"/>
      <c r="J84" s="83"/>
      <c r="K84" s="83"/>
      <c r="L84" s="12"/>
      <c r="M84" s="28"/>
      <c r="N84" s="14"/>
      <c r="O84" s="11"/>
      <c r="P84" s="11"/>
      <c r="Q84" s="16"/>
      <c r="R84" s="2"/>
      <c r="S84" s="12"/>
      <c r="T84" s="17"/>
      <c r="U84" s="2"/>
      <c r="V84" s="18"/>
      <c r="W84" s="16"/>
    </row>
    <row r="85" spans="2:23" ht="18" x14ac:dyDescent="0.35">
      <c r="B85" s="95"/>
      <c r="C85" s="96"/>
      <c r="D85" s="97"/>
      <c r="E85" s="113"/>
      <c r="F85" s="90"/>
      <c r="G85" s="91"/>
      <c r="H85" s="92"/>
      <c r="I85" s="105"/>
      <c r="J85" s="83"/>
      <c r="K85" s="83"/>
      <c r="L85" s="12"/>
      <c r="M85" s="28"/>
      <c r="N85" s="14"/>
      <c r="O85" s="11"/>
      <c r="P85" s="11"/>
      <c r="Q85" s="16"/>
      <c r="R85" s="2"/>
      <c r="S85" s="12"/>
      <c r="T85" s="17"/>
      <c r="U85" s="2"/>
      <c r="V85" s="18"/>
      <c r="W85" s="16"/>
    </row>
    <row r="86" spans="2:23" ht="18" x14ac:dyDescent="0.35">
      <c r="B86" s="95"/>
      <c r="C86" s="96"/>
      <c r="D86" s="97"/>
      <c r="E86" s="113"/>
      <c r="F86" s="90"/>
      <c r="G86" s="91"/>
      <c r="H86" s="92"/>
      <c r="I86" s="105"/>
      <c r="J86" s="83"/>
      <c r="K86" s="83"/>
      <c r="L86" s="12"/>
      <c r="M86" s="28"/>
      <c r="N86" s="14"/>
      <c r="O86" s="11"/>
      <c r="P86" s="11"/>
      <c r="Q86" s="16"/>
      <c r="R86" s="2"/>
      <c r="S86" s="12"/>
      <c r="T86" s="17"/>
      <c r="U86" s="2"/>
      <c r="V86" s="18"/>
      <c r="W86" s="16"/>
    </row>
    <row r="87" spans="2:23" ht="18" x14ac:dyDescent="0.35">
      <c r="B87" s="95"/>
      <c r="C87" s="96"/>
      <c r="D87" s="97"/>
      <c r="E87" s="113"/>
      <c r="F87" s="90"/>
      <c r="G87" s="91"/>
      <c r="H87" s="92"/>
      <c r="I87" s="105"/>
      <c r="J87" s="83"/>
      <c r="K87" s="83"/>
      <c r="L87" s="12"/>
      <c r="M87" s="28"/>
      <c r="N87" s="14"/>
      <c r="O87" s="11"/>
      <c r="P87" s="11"/>
      <c r="Q87" s="16"/>
      <c r="R87" s="2"/>
      <c r="S87" s="12"/>
      <c r="T87" s="17"/>
      <c r="U87" s="2"/>
      <c r="V87" s="18"/>
      <c r="W87" s="16"/>
    </row>
    <row r="88" spans="2:23" ht="18" x14ac:dyDescent="0.35">
      <c r="B88" s="95"/>
      <c r="C88" s="96"/>
      <c r="D88" s="97"/>
      <c r="E88" s="113"/>
      <c r="F88" s="90"/>
      <c r="G88" s="91"/>
      <c r="H88" s="92"/>
      <c r="I88" s="105"/>
      <c r="J88" s="83"/>
      <c r="K88" s="83"/>
      <c r="L88" s="12"/>
      <c r="M88" s="28"/>
      <c r="N88" s="14"/>
      <c r="O88" s="11"/>
      <c r="P88" s="11"/>
      <c r="Q88" s="16"/>
      <c r="R88" s="2"/>
      <c r="S88" s="12"/>
      <c r="T88" s="17"/>
      <c r="U88" s="2"/>
      <c r="V88" s="18"/>
      <c r="W88" s="16"/>
    </row>
    <row r="89" spans="2:23" ht="18" x14ac:dyDescent="0.35">
      <c r="B89" s="95"/>
      <c r="C89" s="96"/>
      <c r="D89" s="97"/>
      <c r="E89" s="113"/>
      <c r="F89" s="90"/>
      <c r="G89" s="91"/>
      <c r="H89" s="92"/>
      <c r="I89" s="105"/>
      <c r="J89" s="83"/>
      <c r="K89" s="83"/>
      <c r="L89" s="12"/>
      <c r="M89" s="28"/>
      <c r="N89" s="14"/>
      <c r="O89" s="11"/>
      <c r="P89" s="11"/>
      <c r="Q89" s="16"/>
      <c r="R89" s="2"/>
      <c r="S89" s="12"/>
      <c r="T89" s="17"/>
      <c r="U89" s="2"/>
      <c r="V89" s="18"/>
      <c r="W89" s="16"/>
    </row>
    <row r="90" spans="2:23" ht="18" x14ac:dyDescent="0.35">
      <c r="B90" s="95"/>
      <c r="C90" s="96"/>
      <c r="D90" s="97"/>
      <c r="E90" s="113"/>
      <c r="F90" s="90"/>
      <c r="G90" s="91"/>
      <c r="H90" s="92"/>
      <c r="I90" s="105"/>
      <c r="J90" s="83"/>
      <c r="K90" s="83"/>
      <c r="L90" s="12"/>
      <c r="M90" s="28"/>
      <c r="N90" s="14"/>
      <c r="O90" s="11"/>
      <c r="P90" s="11"/>
      <c r="Q90" s="16"/>
      <c r="R90" s="2"/>
      <c r="S90" s="12"/>
      <c r="T90" s="17"/>
      <c r="U90" s="2"/>
      <c r="V90" s="18"/>
      <c r="W90" s="16"/>
    </row>
    <row r="91" spans="2:23" ht="18" x14ac:dyDescent="0.35">
      <c r="B91" s="95"/>
      <c r="C91" s="96"/>
      <c r="D91" s="97"/>
      <c r="E91" s="113"/>
      <c r="F91" s="90"/>
      <c r="G91" s="91"/>
      <c r="H91" s="92"/>
      <c r="I91" s="105"/>
      <c r="J91" s="83"/>
      <c r="K91" s="83"/>
      <c r="L91" s="12"/>
      <c r="M91" s="28"/>
      <c r="N91" s="14"/>
      <c r="O91" s="11"/>
      <c r="P91" s="11"/>
      <c r="Q91" s="16"/>
      <c r="R91" s="2"/>
      <c r="S91" s="12"/>
      <c r="T91" s="17"/>
      <c r="U91" s="2"/>
      <c r="V91" s="18"/>
      <c r="W91" s="16"/>
    </row>
    <row r="92" spans="2:23" ht="18" x14ac:dyDescent="0.35">
      <c r="B92" s="95"/>
      <c r="C92" s="96"/>
      <c r="D92" s="97"/>
      <c r="E92" s="113"/>
      <c r="F92" s="90"/>
      <c r="G92" s="91"/>
      <c r="H92" s="92"/>
      <c r="I92" s="105"/>
      <c r="J92" s="83"/>
      <c r="K92" s="83"/>
      <c r="L92" s="12"/>
      <c r="M92" s="28"/>
      <c r="N92" s="14"/>
      <c r="O92" s="11"/>
      <c r="P92" s="11"/>
      <c r="Q92" s="16"/>
      <c r="R92" s="2"/>
      <c r="S92" s="12"/>
      <c r="T92" s="17"/>
      <c r="U92" s="2"/>
      <c r="V92" s="18"/>
      <c r="W92" s="16"/>
    </row>
    <row r="93" spans="2:23" ht="18" x14ac:dyDescent="0.35">
      <c r="B93" s="95"/>
      <c r="C93" s="96"/>
      <c r="D93" s="97"/>
      <c r="E93" s="113"/>
      <c r="F93" s="90"/>
      <c r="G93" s="91"/>
      <c r="H93" s="92"/>
      <c r="I93" s="105"/>
      <c r="J93" s="83"/>
      <c r="K93" s="83"/>
      <c r="L93" s="12"/>
      <c r="M93" s="28"/>
      <c r="N93" s="14"/>
      <c r="O93" s="11"/>
      <c r="P93" s="11"/>
      <c r="Q93" s="16"/>
      <c r="R93" s="2"/>
      <c r="S93" s="12"/>
      <c r="T93" s="17"/>
      <c r="U93" s="2"/>
      <c r="V93" s="18"/>
      <c r="W93" s="16"/>
    </row>
    <row r="94" spans="2:23" ht="18" x14ac:dyDescent="0.35">
      <c r="B94" s="95"/>
      <c r="C94" s="96"/>
      <c r="D94" s="97"/>
      <c r="E94" s="113"/>
      <c r="F94" s="90"/>
      <c r="G94" s="91"/>
      <c r="H94" s="92"/>
      <c r="I94" s="105"/>
      <c r="J94" s="83"/>
      <c r="K94" s="83"/>
      <c r="L94" s="12"/>
      <c r="M94" s="28"/>
      <c r="N94" s="14"/>
      <c r="O94" s="11"/>
      <c r="P94" s="11"/>
      <c r="Q94" s="16"/>
      <c r="R94" s="2"/>
      <c r="S94" s="12"/>
      <c r="T94" s="17"/>
      <c r="U94" s="2"/>
      <c r="V94" s="18"/>
      <c r="W94" s="16"/>
    </row>
    <row r="95" spans="2:23" ht="18" x14ac:dyDescent="0.35">
      <c r="B95" s="95"/>
      <c r="C95" s="96"/>
      <c r="D95" s="97"/>
      <c r="E95" s="113"/>
      <c r="F95" s="90"/>
      <c r="G95" s="91"/>
      <c r="H95" s="92"/>
      <c r="I95" s="105"/>
      <c r="J95" s="83"/>
      <c r="K95" s="83"/>
      <c r="L95" s="12"/>
      <c r="M95" s="28"/>
      <c r="N95" s="14"/>
      <c r="O95" s="11"/>
      <c r="P95" s="11"/>
      <c r="Q95" s="16"/>
      <c r="R95" s="2"/>
      <c r="S95" s="12"/>
      <c r="T95" s="17"/>
      <c r="U95" s="2"/>
      <c r="V95" s="18"/>
      <c r="W95" s="16"/>
    </row>
    <row r="96" spans="2:23" ht="18" x14ac:dyDescent="0.35">
      <c r="B96" s="95"/>
      <c r="C96" s="96"/>
      <c r="D96" s="97"/>
      <c r="E96" s="113"/>
      <c r="F96" s="90"/>
      <c r="G96" s="91"/>
      <c r="H96" s="92"/>
      <c r="I96" s="105"/>
      <c r="J96" s="83"/>
      <c r="K96" s="83"/>
      <c r="L96" s="12"/>
      <c r="M96" s="28"/>
      <c r="N96" s="14"/>
      <c r="O96" s="11"/>
      <c r="P96" s="11"/>
      <c r="Q96" s="16"/>
      <c r="R96" s="2"/>
      <c r="S96" s="12"/>
      <c r="T96" s="17"/>
      <c r="U96" s="2"/>
      <c r="V96" s="18"/>
      <c r="W96" s="16"/>
    </row>
    <row r="97" spans="2:23" ht="18" x14ac:dyDescent="0.35">
      <c r="B97" s="95"/>
      <c r="C97" s="96"/>
      <c r="D97" s="97"/>
      <c r="E97" s="113"/>
      <c r="F97" s="90"/>
      <c r="G97" s="91"/>
      <c r="H97" s="92"/>
      <c r="I97" s="105"/>
      <c r="J97" s="83"/>
      <c r="K97" s="83"/>
      <c r="L97" s="12"/>
      <c r="M97" s="28"/>
      <c r="N97" s="14"/>
      <c r="O97" s="11"/>
      <c r="P97" s="11"/>
      <c r="Q97" s="16"/>
      <c r="R97" s="2"/>
      <c r="S97" s="12"/>
      <c r="T97" s="17"/>
      <c r="U97" s="2"/>
      <c r="V97" s="18"/>
      <c r="W97" s="16"/>
    </row>
    <row r="98" spans="2:23" ht="18" x14ac:dyDescent="0.35">
      <c r="B98" s="95"/>
      <c r="C98" s="96"/>
      <c r="D98" s="97"/>
      <c r="E98" s="113"/>
      <c r="F98" s="90"/>
      <c r="G98" s="91"/>
      <c r="H98" s="92"/>
      <c r="I98" s="105"/>
      <c r="J98" s="83"/>
      <c r="K98" s="83"/>
      <c r="L98" s="12"/>
      <c r="M98" s="28"/>
      <c r="N98" s="14"/>
      <c r="O98" s="11"/>
      <c r="P98" s="11"/>
      <c r="Q98" s="16"/>
      <c r="R98" s="2"/>
      <c r="S98" s="12"/>
      <c r="T98" s="17"/>
      <c r="U98" s="2"/>
      <c r="V98" s="18"/>
      <c r="W98" s="16"/>
    </row>
    <row r="99" spans="2:23" ht="18" x14ac:dyDescent="0.35">
      <c r="B99" s="95"/>
      <c r="C99" s="96"/>
      <c r="D99" s="97"/>
      <c r="E99" s="113"/>
      <c r="F99" s="90"/>
      <c r="G99" s="91"/>
      <c r="H99" s="92"/>
      <c r="I99" s="105"/>
      <c r="J99" s="83"/>
      <c r="K99" s="83"/>
      <c r="L99" s="12"/>
      <c r="M99" s="28"/>
      <c r="N99" s="14"/>
      <c r="O99" s="11"/>
      <c r="P99" s="11"/>
      <c r="Q99" s="16"/>
      <c r="R99" s="2"/>
      <c r="S99" s="12"/>
      <c r="T99" s="17"/>
      <c r="U99" s="2"/>
      <c r="V99" s="18"/>
      <c r="W99" s="16"/>
    </row>
    <row r="100" spans="2:23" ht="18" x14ac:dyDescent="0.35">
      <c r="B100" s="95"/>
      <c r="C100" s="96"/>
      <c r="D100" s="97"/>
      <c r="E100" s="113"/>
      <c r="F100" s="90"/>
      <c r="G100" s="91"/>
      <c r="H100" s="92"/>
      <c r="I100" s="105"/>
      <c r="J100" s="83"/>
      <c r="K100" s="83"/>
      <c r="L100" s="12"/>
      <c r="M100" s="28"/>
      <c r="N100" s="14"/>
      <c r="O100" s="11"/>
      <c r="P100" s="11"/>
      <c r="Q100" s="16"/>
      <c r="R100" s="2"/>
      <c r="S100" s="12"/>
      <c r="T100" s="17"/>
      <c r="U100" s="2"/>
      <c r="V100" s="18"/>
      <c r="W100" s="16"/>
    </row>
    <row r="101" spans="2:23" ht="18" x14ac:dyDescent="0.35">
      <c r="B101" s="95"/>
      <c r="C101" s="96"/>
      <c r="D101" s="97"/>
      <c r="E101" s="113"/>
      <c r="F101" s="90"/>
      <c r="G101" s="91"/>
      <c r="H101" s="92"/>
      <c r="I101" s="105"/>
      <c r="J101" s="83"/>
      <c r="K101" s="83"/>
      <c r="L101" s="12"/>
      <c r="M101" s="28"/>
      <c r="N101" s="14"/>
      <c r="O101" s="11"/>
      <c r="P101" s="11"/>
      <c r="Q101" s="16"/>
      <c r="R101" s="2"/>
      <c r="S101" s="12"/>
      <c r="T101" s="17"/>
      <c r="U101" s="2"/>
      <c r="V101" s="18"/>
      <c r="W101" s="16"/>
    </row>
    <row r="102" spans="2:23" ht="18" x14ac:dyDescent="0.35">
      <c r="B102" s="95"/>
      <c r="C102" s="96"/>
      <c r="D102" s="97"/>
      <c r="E102" s="113"/>
      <c r="F102" s="90"/>
      <c r="G102" s="91"/>
      <c r="H102" s="92"/>
      <c r="I102" s="105"/>
      <c r="J102" s="83"/>
      <c r="K102" s="83"/>
      <c r="L102" s="12"/>
      <c r="M102" s="28"/>
      <c r="N102" s="14"/>
      <c r="O102" s="11"/>
      <c r="P102" s="11"/>
      <c r="Q102" s="16"/>
      <c r="R102" s="2"/>
      <c r="S102" s="12"/>
      <c r="T102" s="17"/>
      <c r="U102" s="2"/>
      <c r="V102" s="18"/>
      <c r="W102" s="16"/>
    </row>
    <row r="103" spans="2:23" ht="18" x14ac:dyDescent="0.35">
      <c r="B103" s="95"/>
      <c r="C103" s="96"/>
      <c r="D103" s="97"/>
      <c r="E103" s="113"/>
      <c r="F103" s="90"/>
      <c r="G103" s="91"/>
      <c r="H103" s="92"/>
      <c r="I103" s="105"/>
      <c r="J103" s="83"/>
      <c r="K103" s="83"/>
      <c r="L103" s="12"/>
      <c r="M103" s="28"/>
      <c r="N103" s="14"/>
      <c r="O103" s="11"/>
      <c r="P103" s="11"/>
      <c r="Q103" s="16"/>
      <c r="R103" s="2"/>
      <c r="S103" s="12"/>
      <c r="T103" s="17"/>
      <c r="U103" s="2"/>
      <c r="V103" s="18"/>
      <c r="W103" s="16"/>
    </row>
    <row r="104" spans="2:23" ht="18" x14ac:dyDescent="0.35">
      <c r="B104" s="95"/>
      <c r="C104" s="96"/>
      <c r="D104" s="97"/>
      <c r="E104" s="113"/>
      <c r="F104" s="90"/>
      <c r="G104" s="91"/>
      <c r="H104" s="92"/>
      <c r="I104" s="105"/>
      <c r="J104" s="83"/>
      <c r="K104" s="83"/>
      <c r="L104" s="12"/>
      <c r="M104" s="28"/>
      <c r="N104" s="14"/>
      <c r="O104" s="11"/>
      <c r="P104" s="11"/>
      <c r="Q104" s="16"/>
      <c r="R104" s="2"/>
      <c r="S104" s="12"/>
      <c r="T104" s="17"/>
      <c r="U104" s="2"/>
      <c r="V104" s="18"/>
      <c r="W104" s="16"/>
    </row>
    <row r="105" spans="2:23" ht="18" x14ac:dyDescent="0.35">
      <c r="B105" s="95"/>
      <c r="C105" s="96"/>
      <c r="D105" s="97"/>
      <c r="E105" s="113"/>
      <c r="F105" s="90"/>
      <c r="G105" s="91"/>
      <c r="H105" s="92"/>
      <c r="I105" s="105"/>
      <c r="J105" s="83"/>
      <c r="K105" s="83"/>
      <c r="L105" s="12"/>
      <c r="M105" s="28"/>
      <c r="N105" s="14"/>
      <c r="O105" s="11"/>
      <c r="P105" s="11"/>
      <c r="Q105" s="16"/>
      <c r="R105" s="2"/>
      <c r="S105" s="12"/>
      <c r="T105" s="17"/>
      <c r="U105" s="2"/>
      <c r="V105" s="18"/>
      <c r="W105" s="16"/>
    </row>
    <row r="106" spans="2:23" ht="18" x14ac:dyDescent="0.35">
      <c r="B106" s="95"/>
      <c r="C106" s="96"/>
      <c r="D106" s="97"/>
      <c r="E106" s="113"/>
      <c r="F106" s="90"/>
      <c r="G106" s="91"/>
      <c r="H106" s="92"/>
      <c r="I106" s="105"/>
      <c r="J106" s="83"/>
      <c r="K106" s="83"/>
      <c r="L106" s="12"/>
      <c r="M106" s="28"/>
      <c r="N106" s="14"/>
      <c r="O106" s="11"/>
      <c r="P106" s="11"/>
      <c r="Q106" s="16"/>
      <c r="R106" s="2"/>
      <c r="S106" s="12"/>
      <c r="T106" s="17"/>
      <c r="U106" s="2"/>
      <c r="V106" s="18"/>
      <c r="W106" s="16"/>
    </row>
    <row r="107" spans="2:23" ht="18" x14ac:dyDescent="0.35">
      <c r="B107" s="95"/>
      <c r="C107" s="96"/>
      <c r="D107" s="97"/>
      <c r="E107" s="113"/>
      <c r="F107" s="90"/>
      <c r="G107" s="91"/>
      <c r="H107" s="92"/>
      <c r="I107" s="105"/>
      <c r="J107" s="83"/>
      <c r="K107" s="83"/>
      <c r="L107" s="12"/>
      <c r="M107" s="28"/>
      <c r="N107" s="14"/>
      <c r="O107" s="11"/>
      <c r="P107" s="11"/>
      <c r="Q107" s="16"/>
      <c r="R107" s="2"/>
      <c r="S107" s="12"/>
      <c r="T107" s="17"/>
      <c r="U107" s="2"/>
      <c r="V107" s="18"/>
      <c r="W107" s="16"/>
    </row>
    <row r="108" spans="2:23" ht="18" x14ac:dyDescent="0.35">
      <c r="B108" s="95"/>
      <c r="C108" s="96"/>
      <c r="D108" s="97"/>
      <c r="E108" s="113"/>
      <c r="F108" s="90"/>
      <c r="G108" s="91"/>
      <c r="H108" s="92"/>
      <c r="I108" s="105"/>
      <c r="J108" s="83"/>
      <c r="K108" s="83"/>
      <c r="L108" s="12"/>
      <c r="M108" s="28"/>
      <c r="N108" s="14"/>
      <c r="O108" s="11"/>
      <c r="P108" s="11"/>
      <c r="Q108" s="16"/>
      <c r="R108" s="2"/>
      <c r="S108" s="12"/>
      <c r="T108" s="17"/>
      <c r="U108" s="2"/>
      <c r="V108" s="18"/>
      <c r="W108" s="16"/>
    </row>
    <row r="109" spans="2:23" ht="18" x14ac:dyDescent="0.35">
      <c r="B109" s="95"/>
      <c r="C109" s="96"/>
      <c r="D109" s="97"/>
      <c r="E109" s="113"/>
      <c r="F109" s="90"/>
      <c r="G109" s="91"/>
      <c r="H109" s="92"/>
      <c r="I109" s="105"/>
      <c r="J109" s="83"/>
      <c r="K109" s="83"/>
      <c r="L109" s="12"/>
      <c r="M109" s="28"/>
      <c r="N109" s="14"/>
      <c r="O109" s="11"/>
      <c r="P109" s="11"/>
      <c r="Q109" s="16"/>
      <c r="R109" s="2"/>
      <c r="S109" s="12"/>
      <c r="T109" s="17"/>
      <c r="U109" s="2"/>
      <c r="V109" s="18"/>
      <c r="W109" s="16"/>
    </row>
    <row r="110" spans="2:23" ht="18" x14ac:dyDescent="0.35">
      <c r="B110" s="95"/>
      <c r="C110" s="96"/>
      <c r="D110" s="97"/>
      <c r="E110" s="113"/>
      <c r="F110" s="90"/>
      <c r="G110" s="91"/>
      <c r="H110" s="92"/>
      <c r="I110" s="105"/>
      <c r="J110" s="83"/>
      <c r="K110" s="83"/>
      <c r="L110" s="12"/>
      <c r="M110" s="28"/>
      <c r="N110" s="14"/>
      <c r="O110" s="11"/>
      <c r="P110" s="11"/>
      <c r="Q110" s="16"/>
      <c r="R110" s="2"/>
      <c r="S110" s="12"/>
      <c r="T110" s="17"/>
      <c r="U110" s="2"/>
      <c r="V110" s="18"/>
      <c r="W110" s="16"/>
    </row>
    <row r="111" spans="2:23" ht="18" x14ac:dyDescent="0.35">
      <c r="B111" s="95"/>
      <c r="C111" s="96"/>
      <c r="D111" s="97"/>
      <c r="E111" s="113"/>
      <c r="F111" s="90"/>
      <c r="G111" s="91"/>
      <c r="H111" s="92"/>
      <c r="I111" s="105"/>
      <c r="J111" s="83"/>
      <c r="K111" s="83"/>
      <c r="L111" s="12"/>
      <c r="M111" s="28"/>
      <c r="N111" s="14"/>
      <c r="O111" s="11"/>
      <c r="P111" s="11"/>
      <c r="Q111" s="16"/>
      <c r="R111" s="2"/>
      <c r="S111" s="12"/>
      <c r="T111" s="17"/>
      <c r="U111" s="2"/>
      <c r="V111" s="18"/>
      <c r="W111" s="16"/>
    </row>
    <row r="112" spans="2:23" ht="18" x14ac:dyDescent="0.35">
      <c r="B112" s="95"/>
      <c r="C112" s="96"/>
      <c r="D112" s="97"/>
      <c r="E112" s="113"/>
      <c r="F112" s="90"/>
      <c r="G112" s="91"/>
      <c r="H112" s="92"/>
      <c r="I112" s="105"/>
      <c r="J112" s="83"/>
      <c r="K112" s="83"/>
      <c r="L112" s="12"/>
      <c r="M112" s="28"/>
      <c r="N112" s="14"/>
      <c r="O112" s="11"/>
      <c r="P112" s="11"/>
      <c r="Q112" s="16"/>
      <c r="R112" s="2"/>
      <c r="S112" s="12"/>
      <c r="T112" s="17"/>
      <c r="U112" s="2"/>
      <c r="V112" s="18"/>
      <c r="W112" s="16"/>
    </row>
    <row r="113" spans="2:23" ht="18" x14ac:dyDescent="0.35">
      <c r="B113" s="95"/>
      <c r="C113" s="96"/>
      <c r="D113" s="97"/>
      <c r="E113" s="113"/>
      <c r="F113" s="90"/>
      <c r="G113" s="91"/>
      <c r="H113" s="92"/>
      <c r="I113" s="105"/>
      <c r="J113" s="83"/>
      <c r="K113" s="83"/>
      <c r="L113" s="12"/>
      <c r="M113" s="28"/>
      <c r="N113" s="14"/>
      <c r="O113" s="11"/>
      <c r="P113" s="11"/>
      <c r="Q113" s="16"/>
      <c r="R113" s="2"/>
      <c r="S113" s="12"/>
      <c r="T113" s="17"/>
      <c r="U113" s="2"/>
      <c r="V113" s="18"/>
      <c r="W113" s="16"/>
    </row>
    <row r="114" spans="2:23" ht="18" x14ac:dyDescent="0.35">
      <c r="B114" s="95"/>
      <c r="C114" s="96"/>
      <c r="D114" s="97"/>
      <c r="E114" s="113"/>
      <c r="F114" s="90"/>
      <c r="G114" s="91"/>
      <c r="H114" s="92"/>
      <c r="I114" s="105"/>
      <c r="J114" s="83"/>
      <c r="K114" s="83"/>
      <c r="L114" s="12"/>
      <c r="M114" s="28"/>
      <c r="N114" s="14"/>
      <c r="O114" s="11"/>
      <c r="P114" s="11"/>
      <c r="Q114" s="16"/>
      <c r="R114" s="2"/>
      <c r="S114" s="12"/>
      <c r="T114" s="17"/>
      <c r="U114" s="2"/>
      <c r="V114" s="18"/>
      <c r="W114" s="16"/>
    </row>
    <row r="115" spans="2:23" ht="18" x14ac:dyDescent="0.35">
      <c r="B115" s="95"/>
      <c r="C115" s="96"/>
      <c r="D115" s="97"/>
      <c r="E115" s="113"/>
      <c r="F115" s="90"/>
      <c r="G115" s="91"/>
      <c r="H115" s="92"/>
      <c r="I115" s="105"/>
      <c r="J115" s="83"/>
      <c r="K115" s="83"/>
      <c r="L115" s="12"/>
      <c r="M115" s="28"/>
      <c r="N115" s="14"/>
      <c r="O115" s="11"/>
      <c r="P115" s="11"/>
      <c r="Q115" s="16"/>
      <c r="R115" s="2"/>
      <c r="S115" s="12"/>
      <c r="T115" s="17"/>
      <c r="U115" s="2"/>
      <c r="V115" s="18"/>
      <c r="W115" s="16"/>
    </row>
    <row r="116" spans="2:23" ht="18" x14ac:dyDescent="0.35">
      <c r="B116" s="95"/>
      <c r="C116" s="96"/>
      <c r="D116" s="97"/>
      <c r="E116" s="113"/>
      <c r="F116" s="90"/>
      <c r="G116" s="91"/>
      <c r="H116" s="92"/>
      <c r="I116" s="105"/>
      <c r="J116" s="83"/>
      <c r="K116" s="83"/>
      <c r="L116" s="12"/>
      <c r="M116" s="28"/>
      <c r="N116" s="14"/>
      <c r="O116" s="11"/>
      <c r="P116" s="11"/>
      <c r="Q116" s="16"/>
      <c r="R116" s="2"/>
      <c r="S116" s="12"/>
      <c r="T116" s="17"/>
      <c r="U116" s="2"/>
      <c r="V116" s="18"/>
      <c r="W116" s="16"/>
    </row>
    <row r="117" spans="2:23" ht="18" x14ac:dyDescent="0.35">
      <c r="B117" s="95"/>
      <c r="C117" s="96"/>
      <c r="D117" s="97"/>
      <c r="E117" s="113"/>
      <c r="F117" s="90"/>
      <c r="G117" s="91"/>
      <c r="H117" s="92"/>
      <c r="I117" s="105"/>
      <c r="J117" s="83"/>
      <c r="K117" s="83"/>
      <c r="L117" s="12"/>
      <c r="M117" s="28"/>
      <c r="N117" s="14"/>
      <c r="O117" s="11"/>
      <c r="P117" s="11"/>
      <c r="Q117" s="16"/>
      <c r="R117" s="2"/>
      <c r="S117" s="12"/>
      <c r="T117" s="17"/>
      <c r="U117" s="2"/>
      <c r="V117" s="18"/>
      <c r="W117" s="16"/>
    </row>
    <row r="118" spans="2:23" ht="18" x14ac:dyDescent="0.35">
      <c r="B118" s="95"/>
      <c r="C118" s="96"/>
      <c r="D118" s="97"/>
      <c r="E118" s="113"/>
      <c r="F118" s="90"/>
      <c r="G118" s="91"/>
      <c r="H118" s="92"/>
      <c r="I118" s="105"/>
      <c r="J118" s="83"/>
      <c r="K118" s="83"/>
      <c r="L118" s="12"/>
      <c r="M118" s="28"/>
      <c r="N118" s="14"/>
      <c r="O118" s="11"/>
      <c r="P118" s="11"/>
      <c r="Q118" s="16"/>
      <c r="R118" s="2"/>
      <c r="S118" s="12"/>
      <c r="T118" s="17"/>
      <c r="U118" s="2"/>
      <c r="V118" s="18"/>
      <c r="W118" s="16"/>
    </row>
    <row r="119" spans="2:23" ht="18" x14ac:dyDescent="0.35">
      <c r="B119" s="95"/>
      <c r="C119" s="96"/>
      <c r="D119" s="97"/>
      <c r="E119" s="113"/>
      <c r="F119" s="90"/>
      <c r="G119" s="91"/>
      <c r="H119" s="92"/>
      <c r="I119" s="105"/>
      <c r="J119" s="83"/>
      <c r="K119" s="83"/>
      <c r="L119" s="12"/>
      <c r="M119" s="28"/>
      <c r="N119" s="14"/>
      <c r="O119" s="11"/>
      <c r="P119" s="11"/>
      <c r="Q119" s="16"/>
      <c r="R119" s="2"/>
      <c r="S119" s="12"/>
      <c r="T119" s="17"/>
      <c r="U119" s="2"/>
      <c r="V119" s="18"/>
      <c r="W119" s="16"/>
    </row>
    <row r="120" spans="2:23" ht="18" x14ac:dyDescent="0.35">
      <c r="B120" s="95"/>
      <c r="C120" s="96"/>
      <c r="D120" s="97"/>
      <c r="E120" s="113"/>
      <c r="F120" s="90"/>
      <c r="G120" s="91"/>
      <c r="H120" s="92"/>
      <c r="I120" s="105"/>
      <c r="J120" s="83"/>
      <c r="K120" s="83"/>
      <c r="L120" s="12"/>
      <c r="M120" s="28"/>
      <c r="N120" s="14"/>
      <c r="O120" s="11"/>
      <c r="P120" s="11"/>
      <c r="Q120" s="16"/>
      <c r="R120" s="2"/>
      <c r="S120" s="12"/>
      <c r="T120" s="17"/>
      <c r="U120" s="2"/>
      <c r="V120" s="18"/>
      <c r="W120" s="16"/>
    </row>
    <row r="121" spans="2:23" ht="18" x14ac:dyDescent="0.35">
      <c r="B121" s="95"/>
      <c r="C121" s="96"/>
      <c r="D121" s="97"/>
      <c r="E121" s="113"/>
      <c r="F121" s="90"/>
      <c r="G121" s="91"/>
      <c r="H121" s="92"/>
      <c r="I121" s="105"/>
      <c r="J121" s="83"/>
      <c r="K121" s="83"/>
      <c r="L121" s="12"/>
      <c r="M121" s="28"/>
      <c r="N121" s="14"/>
      <c r="O121" s="11"/>
      <c r="P121" s="11"/>
      <c r="Q121" s="16"/>
      <c r="R121" s="2"/>
      <c r="S121" s="12"/>
      <c r="T121" s="17"/>
      <c r="U121" s="2"/>
      <c r="V121" s="18"/>
      <c r="W121" s="16"/>
    </row>
    <row r="122" spans="2:23" ht="18" x14ac:dyDescent="0.35">
      <c r="B122" s="95"/>
      <c r="C122" s="96"/>
      <c r="D122" s="97"/>
      <c r="E122" s="113"/>
      <c r="F122" s="99"/>
      <c r="G122" s="100"/>
      <c r="H122" s="101"/>
      <c r="I122" s="105"/>
      <c r="J122" s="83"/>
      <c r="K122" s="83"/>
      <c r="L122" s="12"/>
      <c r="M122" s="28"/>
      <c r="N122" s="14"/>
      <c r="O122" s="11"/>
      <c r="P122" s="11"/>
      <c r="Q122" s="16"/>
      <c r="R122" s="2"/>
      <c r="S122" s="12"/>
      <c r="T122" s="17"/>
      <c r="U122" s="2"/>
      <c r="V122" s="18"/>
      <c r="W122" s="16"/>
    </row>
    <row r="123" spans="2:23" ht="18" x14ac:dyDescent="0.35">
      <c r="B123" s="95"/>
      <c r="C123" s="96"/>
      <c r="D123" s="97"/>
      <c r="E123" s="113"/>
      <c r="F123" s="99"/>
      <c r="G123" s="100"/>
      <c r="H123" s="101"/>
      <c r="I123" s="105"/>
      <c r="J123" s="83"/>
      <c r="K123" s="83"/>
      <c r="L123" s="12"/>
      <c r="M123" s="28"/>
      <c r="N123" s="14"/>
      <c r="O123" s="11"/>
      <c r="P123" s="11"/>
      <c r="Q123" s="16"/>
      <c r="R123" s="2"/>
      <c r="S123" s="12"/>
      <c r="T123" s="17"/>
      <c r="U123" s="2"/>
      <c r="V123" s="18"/>
      <c r="W123" s="16"/>
    </row>
    <row r="124" spans="2:23" ht="18" x14ac:dyDescent="0.35">
      <c r="B124" s="95"/>
      <c r="C124" s="96"/>
      <c r="D124" s="97"/>
      <c r="E124" s="113"/>
      <c r="F124" s="99"/>
      <c r="G124" s="100"/>
      <c r="H124" s="101"/>
      <c r="I124" s="105"/>
      <c r="J124" s="83"/>
      <c r="K124" s="83"/>
      <c r="L124" s="12"/>
      <c r="M124" s="28"/>
      <c r="N124" s="14"/>
      <c r="O124" s="11"/>
      <c r="P124" s="11"/>
      <c r="Q124" s="16"/>
      <c r="R124" s="2"/>
      <c r="S124" s="12"/>
      <c r="T124" s="17"/>
      <c r="U124" s="2"/>
      <c r="V124" s="18"/>
      <c r="W124" s="16"/>
    </row>
    <row r="125" spans="2:23" ht="18" x14ac:dyDescent="0.35">
      <c r="B125" s="95"/>
      <c r="C125" s="96"/>
      <c r="D125" s="97"/>
      <c r="E125" s="113"/>
      <c r="F125" s="99"/>
      <c r="G125" s="100"/>
      <c r="H125" s="101"/>
      <c r="I125" s="105"/>
      <c r="J125" s="83"/>
      <c r="K125" s="83"/>
      <c r="L125" s="12"/>
      <c r="M125" s="28"/>
      <c r="N125" s="14"/>
      <c r="O125" s="11"/>
      <c r="P125" s="11"/>
      <c r="Q125" s="16"/>
      <c r="R125" s="2"/>
      <c r="S125" s="12"/>
      <c r="T125" s="17"/>
      <c r="U125" s="2"/>
      <c r="V125" s="18"/>
      <c r="W125" s="16"/>
    </row>
    <row r="126" spans="2:23" ht="18" x14ac:dyDescent="0.35">
      <c r="B126" s="95"/>
      <c r="C126" s="96"/>
      <c r="D126" s="97"/>
      <c r="E126" s="113"/>
      <c r="F126" s="99"/>
      <c r="G126" s="100"/>
      <c r="H126" s="101"/>
      <c r="I126" s="105"/>
      <c r="J126" s="83"/>
      <c r="K126" s="83"/>
      <c r="L126" s="12"/>
      <c r="M126" s="28"/>
      <c r="N126" s="14"/>
      <c r="O126" s="11"/>
      <c r="P126" s="11"/>
      <c r="Q126" s="16"/>
      <c r="R126" s="2"/>
      <c r="S126" s="12"/>
      <c r="T126" s="17"/>
      <c r="U126" s="2"/>
      <c r="V126" s="18"/>
      <c r="W126" s="16"/>
    </row>
    <row r="127" spans="2:23" ht="18" x14ac:dyDescent="0.35">
      <c r="B127" s="95"/>
      <c r="C127" s="96"/>
      <c r="D127" s="97"/>
      <c r="E127" s="113"/>
      <c r="F127" s="99"/>
      <c r="G127" s="100"/>
      <c r="H127" s="101"/>
      <c r="I127" s="105"/>
      <c r="J127" s="83"/>
      <c r="K127" s="83"/>
      <c r="L127" s="12"/>
      <c r="M127" s="28"/>
      <c r="N127" s="14"/>
      <c r="O127" s="11"/>
      <c r="P127" s="11"/>
      <c r="Q127" s="16"/>
      <c r="R127" s="2"/>
      <c r="S127" s="12"/>
      <c r="T127" s="17"/>
      <c r="U127" s="2"/>
      <c r="V127" s="18"/>
      <c r="W127" s="16"/>
    </row>
    <row r="128" spans="2:23" ht="18" x14ac:dyDescent="0.35">
      <c r="B128" s="95"/>
      <c r="C128" s="96"/>
      <c r="D128" s="97"/>
      <c r="E128" s="113"/>
      <c r="F128" s="99"/>
      <c r="G128" s="100"/>
      <c r="H128" s="101"/>
      <c r="I128" s="105"/>
      <c r="J128" s="83"/>
      <c r="K128" s="83"/>
      <c r="L128" s="12"/>
      <c r="M128" s="28"/>
      <c r="N128" s="14"/>
      <c r="O128" s="11"/>
      <c r="P128" s="11"/>
      <c r="Q128" s="16"/>
      <c r="R128" s="2"/>
      <c r="S128" s="12"/>
      <c r="T128" s="17"/>
      <c r="U128" s="2"/>
      <c r="V128" s="18"/>
      <c r="W128" s="16"/>
    </row>
    <row r="129" spans="1:23" ht="18.600000000000001" thickBot="1" x14ac:dyDescent="0.4">
      <c r="B129" s="114"/>
      <c r="C129" s="115"/>
      <c r="D129" s="116"/>
      <c r="E129" s="113"/>
      <c r="F129" s="117"/>
      <c r="G129" s="118"/>
      <c r="H129" s="119"/>
      <c r="I129" s="105"/>
      <c r="J129" s="83"/>
      <c r="K129" s="83"/>
      <c r="L129" s="30"/>
      <c r="M129" s="31"/>
      <c r="N129" s="32"/>
      <c r="O129" s="29"/>
      <c r="P129" s="29"/>
      <c r="Q129" s="33"/>
      <c r="R129" s="2"/>
      <c r="S129" s="30"/>
      <c r="T129" s="34"/>
      <c r="U129" s="2"/>
      <c r="V129" s="35"/>
      <c r="W129" s="33"/>
    </row>
    <row r="130" spans="1:23" ht="18.600000000000001" thickBot="1" x14ac:dyDescent="0.4">
      <c r="A130" s="120" t="s">
        <v>15</v>
      </c>
      <c r="B130" s="121">
        <f>SUM(B9:B129)</f>
        <v>259.5</v>
      </c>
      <c r="C130" s="122"/>
      <c r="D130" s="121"/>
      <c r="E130" s="123">
        <f>SUM(E9:E129)</f>
        <v>529.04999999999995</v>
      </c>
      <c r="F130" s="124">
        <f>SUM(F9:F129)</f>
        <v>211.39999999999992</v>
      </c>
      <c r="G130" s="82"/>
      <c r="H130" s="125"/>
      <c r="I130" s="125">
        <f>SUM(I9:I129)</f>
        <v>2452.1</v>
      </c>
      <c r="J130" s="83"/>
      <c r="K130" s="83"/>
      <c r="L130" s="126"/>
      <c r="M130" s="126">
        <f>SUM(M9:M129)</f>
        <v>68</v>
      </c>
      <c r="N130" s="127">
        <f>SUM(N9:N129)</f>
        <v>884</v>
      </c>
      <c r="O130" s="82"/>
      <c r="P130" s="82">
        <f>SUM(P9:P129)</f>
        <v>0</v>
      </c>
      <c r="Q130" s="128">
        <f>SUM(Q9:Q129)</f>
        <v>0</v>
      </c>
      <c r="R130" s="83"/>
      <c r="S130" s="84"/>
      <c r="T130" s="129">
        <f>SUM(T9:T129)</f>
        <v>200</v>
      </c>
      <c r="U130" s="83"/>
      <c r="V130" s="82"/>
      <c r="W130" s="130">
        <f>SUM(W9:W129)</f>
        <v>0</v>
      </c>
    </row>
  </sheetData>
  <sheetProtection algorithmName="SHA-512" hashValue="mY6h/0X1VNyGPIdOCPpSqyPiUS7SnBvOQ3+ogAc/DYZ0TAPCAqI9zACZY2E6qxAnokXFargBa4Qie/o4c7Atng==" saltValue="V6HQNz+YsVzpgeLXvXq/0Q==" spinCount="100000" sheet="1" objects="1" scenarios="1"/>
  <mergeCells count="8">
    <mergeCell ref="V5:W5"/>
    <mergeCell ref="Y5:Z5"/>
    <mergeCell ref="E1:G1"/>
    <mergeCell ref="B2:C2"/>
    <mergeCell ref="B3:C3"/>
    <mergeCell ref="B5:I5"/>
    <mergeCell ref="L5:Q5"/>
    <mergeCell ref="S5:T5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5B822C-9AA8-43E0-B92D-ABD5239822CB}">
  <sheetPr codeName="Sheet52"/>
  <dimension ref="A1:Z130"/>
  <sheetViews>
    <sheetView topLeftCell="I1" zoomScale="78" zoomScaleNormal="78" workbookViewId="0">
      <selection activeCell="E37" sqref="E37"/>
    </sheetView>
  </sheetViews>
  <sheetFormatPr defaultColWidth="9.109375" defaultRowHeight="14.4" x14ac:dyDescent="0.3"/>
  <cols>
    <col min="1" max="1" width="15.5546875" style="36" customWidth="1"/>
    <col min="2" max="2" width="15.88671875" style="36" customWidth="1"/>
    <col min="3" max="3" width="20" style="76" customWidth="1"/>
    <col min="4" max="4" width="20.33203125" style="36" customWidth="1"/>
    <col min="5" max="5" width="22.33203125" style="36" customWidth="1"/>
    <col min="6" max="6" width="14.6640625" style="36" customWidth="1"/>
    <col min="7" max="7" width="22" style="76" customWidth="1"/>
    <col min="8" max="8" width="18.88671875" style="36" customWidth="1"/>
    <col min="9" max="9" width="23" style="36" customWidth="1"/>
    <col min="10" max="11" width="9.109375" style="36"/>
    <col min="12" max="12" width="20.6640625" style="76" customWidth="1"/>
    <col min="13" max="13" width="15.44140625" style="76" customWidth="1"/>
    <col min="14" max="14" width="22.6640625" style="36" customWidth="1"/>
    <col min="15" max="15" width="20.5546875" style="76" customWidth="1"/>
    <col min="16" max="16" width="13.33203125" style="76" customWidth="1"/>
    <col min="17" max="17" width="21.5546875" style="76" customWidth="1"/>
    <col min="18" max="18" width="9.109375" style="36"/>
    <col min="19" max="19" width="22" style="76" customWidth="1"/>
    <col min="20" max="20" width="22.33203125" style="76" customWidth="1"/>
    <col min="21" max="21" width="9.109375" style="36"/>
    <col min="22" max="22" width="21.88671875" style="76" customWidth="1"/>
    <col min="23" max="23" width="23.109375" style="76" customWidth="1"/>
    <col min="24" max="24" width="9.109375" style="36"/>
    <col min="25" max="25" width="21.33203125" style="36" customWidth="1"/>
    <col min="26" max="26" width="21.88671875" style="36" customWidth="1"/>
    <col min="27" max="16384" width="9.109375" style="36"/>
  </cols>
  <sheetData>
    <row r="1" spans="2:26" ht="21" x14ac:dyDescent="0.4">
      <c r="E1" s="189">
        <v>44173</v>
      </c>
      <c r="F1" s="189"/>
      <c r="G1" s="189"/>
    </row>
    <row r="2" spans="2:26" ht="18" x14ac:dyDescent="0.35">
      <c r="B2" s="190" t="s">
        <v>0</v>
      </c>
      <c r="C2" s="190"/>
      <c r="D2" s="1">
        <v>10554</v>
      </c>
    </row>
    <row r="3" spans="2:26" ht="18" x14ac:dyDescent="0.35">
      <c r="B3" s="190" t="s">
        <v>1</v>
      </c>
      <c r="C3" s="190"/>
      <c r="D3" s="77">
        <f>(D2-E130-I130)</f>
        <v>6147.9</v>
      </c>
    </row>
    <row r="5" spans="2:26" ht="36.6" x14ac:dyDescent="0.7">
      <c r="B5" s="187" t="s">
        <v>2</v>
      </c>
      <c r="C5" s="187"/>
      <c r="D5" s="187"/>
      <c r="E5" s="187"/>
      <c r="F5" s="187"/>
      <c r="G5" s="187"/>
      <c r="H5" s="187"/>
      <c r="I5" s="187"/>
      <c r="L5" s="187" t="s">
        <v>3</v>
      </c>
      <c r="M5" s="187"/>
      <c r="N5" s="187"/>
      <c r="O5" s="187"/>
      <c r="P5" s="187"/>
      <c r="Q5" s="187"/>
      <c r="S5" s="191" t="s">
        <v>4</v>
      </c>
      <c r="T5" s="191"/>
      <c r="V5" s="187" t="s">
        <v>5</v>
      </c>
      <c r="W5" s="187"/>
      <c r="Y5" s="188" t="s">
        <v>105</v>
      </c>
      <c r="Z5" s="187"/>
    </row>
    <row r="7" spans="2:26" ht="15" thickBot="1" x14ac:dyDescent="0.35"/>
    <row r="8" spans="2:26" ht="18.600000000000001" thickBot="1" x14ac:dyDescent="0.4">
      <c r="B8" s="78" t="s">
        <v>6</v>
      </c>
      <c r="C8" s="79" t="s">
        <v>7</v>
      </c>
      <c r="D8" s="78" t="s">
        <v>8</v>
      </c>
      <c r="E8" s="80" t="s">
        <v>9</v>
      </c>
      <c r="F8" s="81" t="s">
        <v>6</v>
      </c>
      <c r="G8" s="81" t="s">
        <v>10</v>
      </c>
      <c r="H8" s="81" t="s">
        <v>8</v>
      </c>
      <c r="I8" s="82" t="s">
        <v>9</v>
      </c>
      <c r="J8" s="83"/>
      <c r="K8" s="83"/>
      <c r="L8" s="84" t="s">
        <v>11</v>
      </c>
      <c r="M8" s="84" t="s">
        <v>6</v>
      </c>
      <c r="N8" s="84" t="s">
        <v>9</v>
      </c>
      <c r="O8" s="82" t="s">
        <v>12</v>
      </c>
      <c r="P8" s="82" t="s">
        <v>6</v>
      </c>
      <c r="Q8" s="82" t="s">
        <v>9</v>
      </c>
      <c r="R8" s="83"/>
      <c r="S8" s="84" t="s">
        <v>13</v>
      </c>
      <c r="T8" s="85" t="s">
        <v>9</v>
      </c>
      <c r="U8" s="83"/>
      <c r="V8" s="82" t="s">
        <v>14</v>
      </c>
      <c r="W8" s="82" t="s">
        <v>9</v>
      </c>
      <c r="Y8" s="146" t="s">
        <v>106</v>
      </c>
      <c r="Z8" s="147" t="s">
        <v>107</v>
      </c>
    </row>
    <row r="9" spans="2:26" ht="18" x14ac:dyDescent="0.35">
      <c r="B9" s="86">
        <v>15</v>
      </c>
      <c r="C9" s="87" t="s">
        <v>76</v>
      </c>
      <c r="D9" s="88">
        <v>2.4</v>
      </c>
      <c r="E9" s="89">
        <v>36</v>
      </c>
      <c r="F9" s="90">
        <v>3</v>
      </c>
      <c r="G9" s="91" t="s">
        <v>90</v>
      </c>
      <c r="H9" s="92">
        <v>90</v>
      </c>
      <c r="I9" s="93">
        <v>270</v>
      </c>
      <c r="J9" s="83"/>
      <c r="K9" s="83"/>
      <c r="L9" s="3" t="s">
        <v>124</v>
      </c>
      <c r="M9" s="4">
        <v>898.5</v>
      </c>
      <c r="N9" s="5">
        <v>35055.949999999997</v>
      </c>
      <c r="O9" s="6"/>
      <c r="P9" s="7"/>
      <c r="Q9" s="8"/>
      <c r="R9" s="2"/>
      <c r="S9" s="3" t="s">
        <v>125</v>
      </c>
      <c r="T9" s="9">
        <v>100</v>
      </c>
      <c r="U9" s="2"/>
      <c r="V9" s="10"/>
      <c r="W9" s="8"/>
      <c r="Y9" s="148" t="s">
        <v>88</v>
      </c>
      <c r="Z9" s="151">
        <f>SUMIF($C$9:$C$129, Y9, $B$9:$B$129)</f>
        <v>31.5</v>
      </c>
    </row>
    <row r="10" spans="2:26" ht="18" x14ac:dyDescent="0.35">
      <c r="B10" s="95">
        <v>12</v>
      </c>
      <c r="C10" s="96" t="s">
        <v>77</v>
      </c>
      <c r="D10" s="97">
        <v>2.1</v>
      </c>
      <c r="E10" s="98">
        <v>25.200000000000003</v>
      </c>
      <c r="F10" s="90">
        <v>0.5</v>
      </c>
      <c r="G10" s="91" t="s">
        <v>90</v>
      </c>
      <c r="H10" s="92">
        <v>90</v>
      </c>
      <c r="I10" s="93">
        <v>45</v>
      </c>
      <c r="J10" s="83"/>
      <c r="K10" s="83"/>
      <c r="L10" s="12"/>
      <c r="M10" s="13"/>
      <c r="N10" s="14"/>
      <c r="O10" s="11"/>
      <c r="P10" s="15"/>
      <c r="Q10" s="16"/>
      <c r="R10" s="2"/>
      <c r="S10" s="12"/>
      <c r="T10" s="17"/>
      <c r="U10" s="2"/>
      <c r="V10" s="18"/>
      <c r="W10" s="8"/>
      <c r="Y10" s="149" t="s">
        <v>76</v>
      </c>
      <c r="Z10" s="151">
        <f t="shared" ref="Z10:Z11" si="0">SUMIF($C$9:$C$129, Y10, $B$9:$B$129)</f>
        <v>105</v>
      </c>
    </row>
    <row r="11" spans="2:26" ht="18" x14ac:dyDescent="0.35">
      <c r="B11" s="95">
        <v>16.5</v>
      </c>
      <c r="C11" s="96" t="s">
        <v>76</v>
      </c>
      <c r="D11" s="97">
        <v>2.4</v>
      </c>
      <c r="E11" s="98">
        <v>39.6</v>
      </c>
      <c r="F11" s="90">
        <v>1</v>
      </c>
      <c r="G11" s="91" t="s">
        <v>47</v>
      </c>
      <c r="H11" s="92">
        <v>13</v>
      </c>
      <c r="I11" s="93">
        <v>13</v>
      </c>
      <c r="J11" s="83"/>
      <c r="K11" s="83"/>
      <c r="L11" s="12"/>
      <c r="M11" s="13"/>
      <c r="N11" s="14"/>
      <c r="O11" s="11"/>
      <c r="P11" s="15"/>
      <c r="Q11" s="16"/>
      <c r="R11" s="2"/>
      <c r="S11" s="12"/>
      <c r="T11" s="17"/>
      <c r="U11" s="2"/>
      <c r="V11" s="18"/>
      <c r="W11" s="8"/>
      <c r="Y11" s="149" t="s">
        <v>77</v>
      </c>
      <c r="Z11" s="151">
        <f t="shared" si="0"/>
        <v>207.5</v>
      </c>
    </row>
    <row r="12" spans="2:26" ht="18" x14ac:dyDescent="0.35">
      <c r="B12" s="95">
        <v>1</v>
      </c>
      <c r="C12" s="96" t="s">
        <v>77</v>
      </c>
      <c r="D12" s="97">
        <v>2.1</v>
      </c>
      <c r="E12" s="98">
        <v>2.1</v>
      </c>
      <c r="F12" s="90">
        <v>0.5</v>
      </c>
      <c r="G12" s="91" t="s">
        <v>90</v>
      </c>
      <c r="H12" s="92">
        <v>90</v>
      </c>
      <c r="I12" s="93">
        <v>45</v>
      </c>
      <c r="J12" s="83"/>
      <c r="K12" s="83"/>
      <c r="L12" s="12"/>
      <c r="M12" s="13"/>
      <c r="N12" s="14"/>
      <c r="O12" s="11"/>
      <c r="P12" s="15"/>
      <c r="Q12" s="16"/>
      <c r="R12" s="2"/>
      <c r="S12" s="12"/>
      <c r="T12" s="17"/>
      <c r="U12" s="2"/>
      <c r="V12" s="18"/>
      <c r="W12" s="8"/>
      <c r="Y12" s="149" t="s">
        <v>89</v>
      </c>
      <c r="Z12" s="152">
        <f>SUMIF($G$9:$G$129, Y12, $F$9:$F$129)</f>
        <v>0</v>
      </c>
    </row>
    <row r="13" spans="2:26" ht="18" x14ac:dyDescent="0.35">
      <c r="B13" s="95">
        <v>16</v>
      </c>
      <c r="C13" s="96" t="s">
        <v>77</v>
      </c>
      <c r="D13" s="97">
        <v>2.1</v>
      </c>
      <c r="E13" s="98">
        <v>33.6</v>
      </c>
      <c r="F13" s="90">
        <v>57.5</v>
      </c>
      <c r="G13" s="91" t="s">
        <v>19</v>
      </c>
      <c r="H13" s="92">
        <v>2</v>
      </c>
      <c r="I13" s="93">
        <v>115</v>
      </c>
      <c r="J13" s="83"/>
      <c r="K13" s="83"/>
      <c r="L13" s="12"/>
      <c r="M13" s="13"/>
      <c r="N13" s="14"/>
      <c r="O13" s="11"/>
      <c r="P13" s="15"/>
      <c r="Q13" s="16"/>
      <c r="R13" s="2"/>
      <c r="S13" s="12"/>
      <c r="T13" s="17"/>
      <c r="U13" s="2"/>
      <c r="V13" s="18"/>
      <c r="W13" s="8"/>
      <c r="Y13" s="149" t="s">
        <v>20</v>
      </c>
      <c r="Z13" s="152">
        <f t="shared" ref="Z13:Z76" si="1">SUMIF($G$9:$G$129, Y13, $F$9:$F$129)</f>
        <v>1</v>
      </c>
    </row>
    <row r="14" spans="2:26" ht="18" x14ac:dyDescent="0.35">
      <c r="B14" s="95">
        <v>3</v>
      </c>
      <c r="C14" s="96" t="s">
        <v>76</v>
      </c>
      <c r="D14" s="97">
        <v>2.4</v>
      </c>
      <c r="E14" s="98">
        <v>7.1999999999999993</v>
      </c>
      <c r="F14" s="90">
        <v>0.2</v>
      </c>
      <c r="G14" s="91" t="s">
        <v>90</v>
      </c>
      <c r="H14" s="92">
        <v>90</v>
      </c>
      <c r="I14" s="93">
        <v>18</v>
      </c>
      <c r="J14" s="83"/>
      <c r="K14" s="83"/>
      <c r="L14" s="12"/>
      <c r="M14" s="13"/>
      <c r="N14" s="14"/>
      <c r="O14" s="11"/>
      <c r="P14" s="15"/>
      <c r="Q14" s="16"/>
      <c r="R14" s="2"/>
      <c r="S14" s="12"/>
      <c r="T14" s="17"/>
      <c r="U14" s="2"/>
      <c r="V14" s="18"/>
      <c r="W14" s="8"/>
      <c r="Y14" s="149" t="s">
        <v>19</v>
      </c>
      <c r="Z14" s="152">
        <f t="shared" si="1"/>
        <v>186.4</v>
      </c>
    </row>
    <row r="15" spans="2:26" ht="18" x14ac:dyDescent="0.35">
      <c r="B15" s="95">
        <v>3.5</v>
      </c>
      <c r="C15" s="96" t="s">
        <v>77</v>
      </c>
      <c r="D15" s="97">
        <v>2.1</v>
      </c>
      <c r="E15" s="98">
        <v>7.3500000000000005</v>
      </c>
      <c r="F15" s="90">
        <v>2</v>
      </c>
      <c r="G15" s="91" t="s">
        <v>23</v>
      </c>
      <c r="H15" s="92">
        <v>55</v>
      </c>
      <c r="I15" s="93">
        <v>110</v>
      </c>
      <c r="J15" s="83"/>
      <c r="K15" s="83"/>
      <c r="L15" s="12"/>
      <c r="M15" s="13"/>
      <c r="N15" s="14"/>
      <c r="O15" s="11"/>
      <c r="P15" s="15"/>
      <c r="Q15" s="16"/>
      <c r="R15" s="2"/>
      <c r="S15" s="12"/>
      <c r="T15" s="17"/>
      <c r="U15" s="2"/>
      <c r="V15" s="18"/>
      <c r="W15" s="8"/>
      <c r="Y15" s="149" t="s">
        <v>18</v>
      </c>
      <c r="Z15" s="152">
        <f t="shared" si="1"/>
        <v>80.5</v>
      </c>
    </row>
    <row r="16" spans="2:26" ht="18" x14ac:dyDescent="0.35">
      <c r="B16" s="95">
        <v>3.5</v>
      </c>
      <c r="C16" s="96" t="s">
        <v>76</v>
      </c>
      <c r="D16" s="97">
        <v>2.4</v>
      </c>
      <c r="E16" s="98">
        <v>8.4</v>
      </c>
      <c r="F16" s="90">
        <v>8.5</v>
      </c>
      <c r="G16" s="91" t="s">
        <v>70</v>
      </c>
      <c r="H16" s="92">
        <v>5</v>
      </c>
      <c r="I16" s="93">
        <v>42.5</v>
      </c>
      <c r="J16" s="83"/>
      <c r="K16" s="83"/>
      <c r="L16" s="12"/>
      <c r="M16" s="13"/>
      <c r="N16" s="14"/>
      <c r="O16" s="11"/>
      <c r="P16" s="15"/>
      <c r="Q16" s="16"/>
      <c r="R16" s="2"/>
      <c r="S16" s="12"/>
      <c r="T16" s="17"/>
      <c r="U16" s="2"/>
      <c r="V16" s="18"/>
      <c r="W16" s="8"/>
      <c r="Y16" s="149" t="s">
        <v>22</v>
      </c>
      <c r="Z16" s="152">
        <f t="shared" si="1"/>
        <v>0</v>
      </c>
    </row>
    <row r="17" spans="2:26" ht="18" x14ac:dyDescent="0.35">
      <c r="B17" s="95">
        <v>3.5</v>
      </c>
      <c r="C17" s="96" t="s">
        <v>77</v>
      </c>
      <c r="D17" s="97">
        <v>2.1</v>
      </c>
      <c r="E17" s="98">
        <v>7.3500000000000005</v>
      </c>
      <c r="F17" s="90">
        <v>6</v>
      </c>
      <c r="G17" s="91" t="s">
        <v>18</v>
      </c>
      <c r="H17" s="92">
        <v>10</v>
      </c>
      <c r="I17" s="93">
        <v>60</v>
      </c>
      <c r="J17" s="83"/>
      <c r="K17" s="83"/>
      <c r="L17" s="12"/>
      <c r="M17" s="13"/>
      <c r="N17" s="14"/>
      <c r="O17" s="11"/>
      <c r="P17" s="15"/>
      <c r="Q17" s="16"/>
      <c r="R17" s="2"/>
      <c r="S17" s="12"/>
      <c r="T17" s="17"/>
      <c r="U17" s="2"/>
      <c r="V17" s="18"/>
      <c r="W17" s="8"/>
      <c r="Y17" s="149" t="s">
        <v>67</v>
      </c>
      <c r="Z17" s="152">
        <f t="shared" si="1"/>
        <v>0.6</v>
      </c>
    </row>
    <row r="18" spans="2:26" ht="18" x14ac:dyDescent="0.35">
      <c r="B18" s="95">
        <v>8.5</v>
      </c>
      <c r="C18" s="96" t="s">
        <v>88</v>
      </c>
      <c r="D18" s="97">
        <v>0.9</v>
      </c>
      <c r="E18" s="98">
        <v>7.65</v>
      </c>
      <c r="F18" s="90">
        <v>1.5</v>
      </c>
      <c r="G18" s="91" t="s">
        <v>98</v>
      </c>
      <c r="H18" s="92">
        <v>5</v>
      </c>
      <c r="I18" s="93">
        <v>7.5</v>
      </c>
      <c r="J18" s="83"/>
      <c r="K18" s="83"/>
      <c r="L18" s="12"/>
      <c r="M18" s="13"/>
      <c r="N18" s="14"/>
      <c r="O18" s="11"/>
      <c r="P18" s="15"/>
      <c r="Q18" s="16"/>
      <c r="R18" s="2"/>
      <c r="S18" s="12"/>
      <c r="T18" s="17"/>
      <c r="U18" s="2"/>
      <c r="V18" s="18"/>
      <c r="W18" s="8"/>
      <c r="Y18" s="149" t="s">
        <v>90</v>
      </c>
      <c r="Z18" s="152">
        <f t="shared" si="1"/>
        <v>14.7</v>
      </c>
    </row>
    <row r="19" spans="2:26" ht="18" x14ac:dyDescent="0.35">
      <c r="B19" s="95">
        <v>1</v>
      </c>
      <c r="C19" s="96" t="s">
        <v>77</v>
      </c>
      <c r="D19" s="97">
        <v>2.1</v>
      </c>
      <c r="E19" s="98">
        <v>2.1</v>
      </c>
      <c r="F19" s="90">
        <v>1</v>
      </c>
      <c r="G19" s="91" t="s">
        <v>96</v>
      </c>
      <c r="H19" s="92">
        <v>12</v>
      </c>
      <c r="I19" s="93">
        <v>12</v>
      </c>
      <c r="J19" s="83"/>
      <c r="K19" s="83"/>
      <c r="L19" s="12"/>
      <c r="M19" s="13"/>
      <c r="N19" s="14"/>
      <c r="O19" s="11"/>
      <c r="P19" s="15"/>
      <c r="Q19" s="16"/>
      <c r="R19" s="2"/>
      <c r="S19" s="12"/>
      <c r="T19" s="17"/>
      <c r="U19" s="2"/>
      <c r="V19" s="18"/>
      <c r="W19" s="8"/>
      <c r="Y19" s="149" t="s">
        <v>91</v>
      </c>
      <c r="Z19" s="152">
        <f t="shared" si="1"/>
        <v>0</v>
      </c>
    </row>
    <row r="20" spans="2:26" ht="18" x14ac:dyDescent="0.35">
      <c r="B20" s="95">
        <v>5.5</v>
      </c>
      <c r="C20" s="96" t="s">
        <v>77</v>
      </c>
      <c r="D20" s="97">
        <v>2.1</v>
      </c>
      <c r="E20" s="98">
        <v>11.55</v>
      </c>
      <c r="F20" s="90">
        <v>2</v>
      </c>
      <c r="G20" s="91" t="s">
        <v>18</v>
      </c>
      <c r="H20" s="92">
        <v>10</v>
      </c>
      <c r="I20" s="93">
        <v>20</v>
      </c>
      <c r="J20" s="83"/>
      <c r="K20" s="83"/>
      <c r="L20" s="12"/>
      <c r="M20" s="13"/>
      <c r="N20" s="14"/>
      <c r="O20" s="11"/>
      <c r="P20" s="15"/>
      <c r="Q20" s="16"/>
      <c r="R20" s="2"/>
      <c r="S20" s="12"/>
      <c r="T20" s="17"/>
      <c r="U20" s="2"/>
      <c r="V20" s="18"/>
      <c r="W20" s="8"/>
      <c r="Y20" s="149" t="s">
        <v>92</v>
      </c>
      <c r="Z20" s="152">
        <f t="shared" si="1"/>
        <v>2.7</v>
      </c>
    </row>
    <row r="21" spans="2:26" ht="18" x14ac:dyDescent="0.35">
      <c r="B21" s="95">
        <v>2.5</v>
      </c>
      <c r="C21" s="96" t="s">
        <v>76</v>
      </c>
      <c r="D21" s="97">
        <v>2.4</v>
      </c>
      <c r="E21" s="98">
        <v>6</v>
      </c>
      <c r="F21" s="90">
        <v>2</v>
      </c>
      <c r="G21" s="91" t="s">
        <v>94</v>
      </c>
      <c r="H21" s="92">
        <v>10</v>
      </c>
      <c r="I21" s="93">
        <v>20</v>
      </c>
      <c r="J21" s="83"/>
      <c r="K21" s="83"/>
      <c r="L21" s="12"/>
      <c r="M21" s="13"/>
      <c r="N21" s="14"/>
      <c r="O21" s="11"/>
      <c r="P21" s="15"/>
      <c r="Q21" s="16"/>
      <c r="R21" s="2"/>
      <c r="S21" s="12"/>
      <c r="T21" s="17"/>
      <c r="U21" s="2"/>
      <c r="V21" s="18"/>
      <c r="W21" s="8"/>
      <c r="Y21" s="149" t="s">
        <v>68</v>
      </c>
      <c r="Z21" s="152">
        <f t="shared" si="1"/>
        <v>0</v>
      </c>
    </row>
    <row r="22" spans="2:26" ht="18" x14ac:dyDescent="0.35">
      <c r="B22" s="95">
        <v>2</v>
      </c>
      <c r="C22" s="96" t="s">
        <v>77</v>
      </c>
      <c r="D22" s="97">
        <v>2.1</v>
      </c>
      <c r="E22" s="98">
        <v>4.2</v>
      </c>
      <c r="F22" s="90">
        <v>0.5</v>
      </c>
      <c r="G22" s="91" t="s">
        <v>90</v>
      </c>
      <c r="H22" s="92">
        <v>90</v>
      </c>
      <c r="I22" s="93">
        <v>45</v>
      </c>
      <c r="J22" s="83"/>
      <c r="K22" s="83"/>
      <c r="L22" s="12"/>
      <c r="M22" s="13"/>
      <c r="N22" s="14"/>
      <c r="O22" s="11"/>
      <c r="P22" s="15"/>
      <c r="Q22" s="16"/>
      <c r="R22" s="2"/>
      <c r="S22" s="12"/>
      <c r="T22" s="17"/>
      <c r="U22" s="2"/>
      <c r="V22" s="18"/>
      <c r="W22" s="8"/>
      <c r="Y22" s="149" t="s">
        <v>93</v>
      </c>
      <c r="Z22" s="152">
        <f t="shared" si="1"/>
        <v>0</v>
      </c>
    </row>
    <row r="23" spans="2:26" ht="18" x14ac:dyDescent="0.35">
      <c r="B23" s="95">
        <v>136</v>
      </c>
      <c r="C23" s="96" t="s">
        <v>77</v>
      </c>
      <c r="D23" s="97">
        <v>2.1</v>
      </c>
      <c r="E23" s="98">
        <v>285.60000000000002</v>
      </c>
      <c r="F23" s="90">
        <v>0.6</v>
      </c>
      <c r="G23" s="91" t="s">
        <v>67</v>
      </c>
      <c r="H23" s="92">
        <v>92</v>
      </c>
      <c r="I23" s="93">
        <v>55.199999999999996</v>
      </c>
      <c r="J23" s="83"/>
      <c r="K23" s="83"/>
      <c r="L23" s="12"/>
      <c r="M23" s="13"/>
      <c r="N23" s="14"/>
      <c r="O23" s="11"/>
      <c r="P23" s="15"/>
      <c r="Q23" s="16"/>
      <c r="R23" s="2"/>
      <c r="S23" s="12"/>
      <c r="T23" s="17"/>
      <c r="U23" s="2"/>
      <c r="V23" s="18"/>
      <c r="W23" s="8"/>
      <c r="Y23" s="149" t="s">
        <v>23</v>
      </c>
      <c r="Z23" s="152">
        <f t="shared" si="1"/>
        <v>4.3</v>
      </c>
    </row>
    <row r="24" spans="2:26" ht="18" x14ac:dyDescent="0.35">
      <c r="B24" s="95">
        <v>2.5</v>
      </c>
      <c r="C24" s="96" t="s">
        <v>77</v>
      </c>
      <c r="D24" s="97">
        <v>2.1</v>
      </c>
      <c r="E24" s="98">
        <v>5.25</v>
      </c>
      <c r="F24" s="90">
        <v>1</v>
      </c>
      <c r="G24" s="91" t="s">
        <v>94</v>
      </c>
      <c r="H24" s="92">
        <v>10</v>
      </c>
      <c r="I24" s="93">
        <v>10</v>
      </c>
      <c r="J24" s="83"/>
      <c r="K24" s="83"/>
      <c r="L24" s="12"/>
      <c r="M24" s="13"/>
      <c r="N24" s="14"/>
      <c r="O24" s="11"/>
      <c r="P24" s="15"/>
      <c r="Q24" s="16"/>
      <c r="R24" s="2"/>
      <c r="S24" s="12"/>
      <c r="T24" s="17"/>
      <c r="U24" s="2"/>
      <c r="V24" s="18"/>
      <c r="W24" s="8"/>
      <c r="Y24" s="149" t="s">
        <v>24</v>
      </c>
      <c r="Z24" s="152">
        <f t="shared" si="1"/>
        <v>0.5</v>
      </c>
    </row>
    <row r="25" spans="2:26" ht="18" x14ac:dyDescent="0.35">
      <c r="B25" s="95">
        <v>24</v>
      </c>
      <c r="C25" s="96" t="s">
        <v>76</v>
      </c>
      <c r="D25" s="97">
        <v>2.4</v>
      </c>
      <c r="E25" s="98">
        <v>57.599999999999994</v>
      </c>
      <c r="F25" s="90">
        <v>1.5</v>
      </c>
      <c r="G25" s="91" t="s">
        <v>94</v>
      </c>
      <c r="H25" s="92">
        <v>10</v>
      </c>
      <c r="I25" s="93">
        <v>15</v>
      </c>
      <c r="J25" s="83"/>
      <c r="K25" s="83"/>
      <c r="L25" s="12"/>
      <c r="M25" s="13"/>
      <c r="N25" s="14"/>
      <c r="O25" s="11"/>
      <c r="P25" s="15"/>
      <c r="Q25" s="16"/>
      <c r="R25" s="2"/>
      <c r="S25" s="12"/>
      <c r="T25" s="17"/>
      <c r="U25" s="2"/>
      <c r="V25" s="18"/>
      <c r="W25" s="8"/>
      <c r="Y25" s="149" t="s">
        <v>25</v>
      </c>
      <c r="Z25" s="152">
        <f t="shared" si="1"/>
        <v>0</v>
      </c>
    </row>
    <row r="26" spans="2:26" ht="18" x14ac:dyDescent="0.35">
      <c r="B26" s="95">
        <v>3.5</v>
      </c>
      <c r="C26" s="96" t="s">
        <v>88</v>
      </c>
      <c r="D26" s="97">
        <v>0.9</v>
      </c>
      <c r="E26" s="98">
        <v>3.15</v>
      </c>
      <c r="F26" s="90">
        <v>3</v>
      </c>
      <c r="G26" s="91" t="s">
        <v>18</v>
      </c>
      <c r="H26" s="92">
        <v>10</v>
      </c>
      <c r="I26" s="93">
        <v>30</v>
      </c>
      <c r="J26" s="83"/>
      <c r="K26" s="83"/>
      <c r="L26" s="12"/>
      <c r="M26" s="13"/>
      <c r="N26" s="14"/>
      <c r="O26" s="11"/>
      <c r="P26" s="15"/>
      <c r="Q26" s="16"/>
      <c r="R26" s="2"/>
      <c r="S26" s="12"/>
      <c r="T26" s="17"/>
      <c r="U26" s="2"/>
      <c r="V26" s="18"/>
      <c r="W26" s="8"/>
      <c r="Y26" s="149" t="s">
        <v>98</v>
      </c>
      <c r="Z26" s="152">
        <f t="shared" si="1"/>
        <v>2.5</v>
      </c>
    </row>
    <row r="27" spans="2:26" ht="18" x14ac:dyDescent="0.35">
      <c r="B27" s="95">
        <v>9.5</v>
      </c>
      <c r="C27" s="96" t="s">
        <v>76</v>
      </c>
      <c r="D27" s="97">
        <v>2.4</v>
      </c>
      <c r="E27" s="98">
        <v>22.8</v>
      </c>
      <c r="F27" s="90">
        <v>1.5</v>
      </c>
      <c r="G27" s="91" t="s">
        <v>94</v>
      </c>
      <c r="H27" s="92">
        <v>10</v>
      </c>
      <c r="I27" s="93">
        <v>15</v>
      </c>
      <c r="J27" s="83"/>
      <c r="K27" s="83"/>
      <c r="L27" s="12"/>
      <c r="M27" s="13"/>
      <c r="N27" s="14"/>
      <c r="O27" s="11"/>
      <c r="P27" s="15"/>
      <c r="Q27" s="16"/>
      <c r="R27" s="2"/>
      <c r="S27" s="12"/>
      <c r="T27" s="17"/>
      <c r="U27" s="2"/>
      <c r="V27" s="18"/>
      <c r="W27" s="8"/>
      <c r="Y27" s="149" t="s">
        <v>94</v>
      </c>
      <c r="Z27" s="152">
        <f t="shared" si="1"/>
        <v>20</v>
      </c>
    </row>
    <row r="28" spans="2:26" ht="18" x14ac:dyDescent="0.35">
      <c r="B28" s="95">
        <v>2.5</v>
      </c>
      <c r="C28" s="96" t="s">
        <v>77</v>
      </c>
      <c r="D28" s="97">
        <v>2.1</v>
      </c>
      <c r="E28" s="98">
        <v>5.25</v>
      </c>
      <c r="F28" s="90">
        <v>0.5</v>
      </c>
      <c r="G28" s="91" t="s">
        <v>90</v>
      </c>
      <c r="H28" s="92">
        <v>90</v>
      </c>
      <c r="I28" s="93">
        <v>45</v>
      </c>
      <c r="J28" s="83"/>
      <c r="K28" s="83"/>
      <c r="L28" s="12"/>
      <c r="M28" s="13"/>
      <c r="N28" s="14"/>
      <c r="O28" s="11"/>
      <c r="P28" s="15"/>
      <c r="Q28" s="16"/>
      <c r="R28" s="2"/>
      <c r="S28" s="12"/>
      <c r="T28" s="17"/>
      <c r="U28" s="2"/>
      <c r="V28" s="18"/>
      <c r="W28" s="8"/>
      <c r="Y28" s="149" t="s">
        <v>42</v>
      </c>
      <c r="Z28" s="152">
        <f t="shared" si="1"/>
        <v>0</v>
      </c>
    </row>
    <row r="29" spans="2:26" ht="18" x14ac:dyDescent="0.35">
      <c r="B29" s="95">
        <v>3</v>
      </c>
      <c r="C29" s="96" t="s">
        <v>77</v>
      </c>
      <c r="D29" s="97">
        <v>2.1</v>
      </c>
      <c r="E29" s="98">
        <v>6.3000000000000007</v>
      </c>
      <c r="F29" s="90">
        <v>1</v>
      </c>
      <c r="G29" s="91" t="s">
        <v>94</v>
      </c>
      <c r="H29" s="92">
        <v>10</v>
      </c>
      <c r="I29" s="93">
        <v>10</v>
      </c>
      <c r="J29" s="83"/>
      <c r="K29" s="83"/>
      <c r="L29" s="12"/>
      <c r="M29" s="13"/>
      <c r="N29" s="14"/>
      <c r="O29" s="11"/>
      <c r="P29" s="15"/>
      <c r="Q29" s="16"/>
      <c r="R29" s="2"/>
      <c r="S29" s="12"/>
      <c r="T29" s="17"/>
      <c r="U29" s="2"/>
      <c r="V29" s="18"/>
      <c r="W29" s="8"/>
      <c r="Y29" s="149" t="s">
        <v>39</v>
      </c>
      <c r="Z29" s="152">
        <f t="shared" si="1"/>
        <v>0</v>
      </c>
    </row>
    <row r="30" spans="2:26" ht="18" x14ac:dyDescent="0.35">
      <c r="B30" s="95">
        <v>9</v>
      </c>
      <c r="C30" s="96" t="s">
        <v>76</v>
      </c>
      <c r="D30" s="97">
        <v>2.4</v>
      </c>
      <c r="E30" s="98">
        <v>21.599999999999998</v>
      </c>
      <c r="F30" s="90">
        <v>108</v>
      </c>
      <c r="G30" s="91" t="s">
        <v>19</v>
      </c>
      <c r="H30" s="92">
        <v>3</v>
      </c>
      <c r="I30" s="93">
        <v>324</v>
      </c>
      <c r="J30" s="83"/>
      <c r="K30" s="83"/>
      <c r="L30" s="12"/>
      <c r="M30" s="13"/>
      <c r="N30" s="14"/>
      <c r="O30" s="11"/>
      <c r="P30" s="15"/>
      <c r="Q30" s="16"/>
      <c r="R30" s="2"/>
      <c r="S30" s="12"/>
      <c r="T30" s="17"/>
      <c r="U30" s="2"/>
      <c r="V30" s="18"/>
      <c r="W30" s="8"/>
      <c r="Y30" s="149" t="s">
        <v>99</v>
      </c>
      <c r="Z30" s="152">
        <f t="shared" si="1"/>
        <v>0</v>
      </c>
    </row>
    <row r="31" spans="2:26" ht="18" x14ac:dyDescent="0.35">
      <c r="B31" s="95">
        <v>7.5</v>
      </c>
      <c r="C31" s="96" t="s">
        <v>88</v>
      </c>
      <c r="D31" s="97">
        <v>0.9</v>
      </c>
      <c r="E31" s="98">
        <v>6.75</v>
      </c>
      <c r="F31" s="90">
        <v>1</v>
      </c>
      <c r="G31" s="91" t="s">
        <v>18</v>
      </c>
      <c r="H31" s="92">
        <v>10</v>
      </c>
      <c r="I31" s="93">
        <v>10</v>
      </c>
      <c r="J31" s="83"/>
      <c r="K31" s="83"/>
      <c r="L31" s="12"/>
      <c r="M31" s="13"/>
      <c r="N31" s="14"/>
      <c r="O31" s="11"/>
      <c r="P31" s="15"/>
      <c r="Q31" s="16"/>
      <c r="R31" s="2"/>
      <c r="S31" s="12"/>
      <c r="T31" s="17"/>
      <c r="U31" s="2"/>
      <c r="V31" s="18"/>
      <c r="W31" s="8"/>
      <c r="Y31" s="149" t="s">
        <v>95</v>
      </c>
      <c r="Z31" s="152">
        <f t="shared" si="1"/>
        <v>0</v>
      </c>
    </row>
    <row r="32" spans="2:26" ht="18" x14ac:dyDescent="0.35">
      <c r="B32" s="95">
        <v>11</v>
      </c>
      <c r="C32" s="96" t="s">
        <v>76</v>
      </c>
      <c r="D32" s="97">
        <v>2.4</v>
      </c>
      <c r="E32" s="98">
        <v>26.4</v>
      </c>
      <c r="F32" s="90">
        <v>1.5</v>
      </c>
      <c r="G32" s="91" t="s">
        <v>84</v>
      </c>
      <c r="H32" s="92">
        <v>5</v>
      </c>
      <c r="I32" s="93">
        <v>7.5</v>
      </c>
      <c r="J32" s="83"/>
      <c r="K32" s="83"/>
      <c r="L32" s="12"/>
      <c r="M32" s="13"/>
      <c r="N32" s="14"/>
      <c r="O32" s="11"/>
      <c r="P32" s="15"/>
      <c r="Q32" s="16"/>
      <c r="R32" s="2"/>
      <c r="S32" s="12"/>
      <c r="T32" s="17"/>
      <c r="U32" s="2"/>
      <c r="V32" s="18"/>
      <c r="W32" s="8"/>
      <c r="Y32" s="149" t="s">
        <v>97</v>
      </c>
      <c r="Z32" s="152">
        <f t="shared" si="1"/>
        <v>0</v>
      </c>
    </row>
    <row r="33" spans="2:26" ht="18" x14ac:dyDescent="0.35">
      <c r="B33" s="95">
        <v>12</v>
      </c>
      <c r="C33" s="96" t="s">
        <v>88</v>
      </c>
      <c r="D33" s="97">
        <v>0.9</v>
      </c>
      <c r="E33" s="98">
        <v>10.8</v>
      </c>
      <c r="F33" s="90">
        <v>0.6</v>
      </c>
      <c r="G33" s="91" t="s">
        <v>92</v>
      </c>
      <c r="H33" s="92">
        <v>75</v>
      </c>
      <c r="I33" s="93">
        <v>45</v>
      </c>
      <c r="J33" s="83"/>
      <c r="K33" s="83"/>
      <c r="L33" s="12"/>
      <c r="M33" s="13"/>
      <c r="N33" s="14"/>
      <c r="O33" s="11"/>
      <c r="P33" s="15"/>
      <c r="Q33" s="16"/>
      <c r="R33" s="2"/>
      <c r="S33" s="12"/>
      <c r="T33" s="17"/>
      <c r="U33" s="2"/>
      <c r="V33" s="18"/>
      <c r="W33" s="8"/>
      <c r="Y33" s="149" t="s">
        <v>43</v>
      </c>
      <c r="Z33" s="152">
        <f t="shared" si="1"/>
        <v>0.5</v>
      </c>
    </row>
    <row r="34" spans="2:26" ht="18" x14ac:dyDescent="0.35">
      <c r="B34" s="95">
        <v>8.5</v>
      </c>
      <c r="C34" s="96" t="s">
        <v>77</v>
      </c>
      <c r="D34" s="97">
        <v>2.1</v>
      </c>
      <c r="E34" s="98">
        <v>17.850000000000001</v>
      </c>
      <c r="F34" s="90">
        <v>20.5</v>
      </c>
      <c r="G34" s="91" t="s">
        <v>19</v>
      </c>
      <c r="H34" s="92">
        <v>2</v>
      </c>
      <c r="I34" s="93">
        <v>41</v>
      </c>
      <c r="J34" s="83"/>
      <c r="K34" s="83"/>
      <c r="L34" s="12"/>
      <c r="M34" s="13"/>
      <c r="N34" s="14"/>
      <c r="O34" s="11"/>
      <c r="P34" s="15"/>
      <c r="Q34" s="16"/>
      <c r="R34" s="2"/>
      <c r="S34" s="12"/>
      <c r="T34" s="17"/>
      <c r="U34" s="2"/>
      <c r="V34" s="18"/>
      <c r="W34" s="8"/>
      <c r="Y34" s="149" t="s">
        <v>32</v>
      </c>
      <c r="Z34" s="152">
        <f t="shared" si="1"/>
        <v>0</v>
      </c>
    </row>
    <row r="35" spans="2:26" ht="18" x14ac:dyDescent="0.35">
      <c r="B35" s="95">
        <v>3</v>
      </c>
      <c r="C35" s="96" t="s">
        <v>76</v>
      </c>
      <c r="D35" s="97">
        <v>2.4</v>
      </c>
      <c r="E35" s="98">
        <v>7.1999999999999993</v>
      </c>
      <c r="F35" s="90">
        <v>1</v>
      </c>
      <c r="G35" s="91" t="s">
        <v>18</v>
      </c>
      <c r="H35" s="92">
        <v>10</v>
      </c>
      <c r="I35" s="93">
        <v>10</v>
      </c>
      <c r="J35" s="83"/>
      <c r="K35" s="83"/>
      <c r="L35" s="12"/>
      <c r="M35" s="13"/>
      <c r="N35" s="14"/>
      <c r="O35" s="11"/>
      <c r="P35" s="15"/>
      <c r="Q35" s="16"/>
      <c r="R35" s="2"/>
      <c r="S35" s="12"/>
      <c r="T35" s="17"/>
      <c r="U35" s="2"/>
      <c r="V35" s="18"/>
      <c r="W35" s="8"/>
      <c r="Y35" s="149" t="s">
        <v>33</v>
      </c>
      <c r="Z35" s="152">
        <f t="shared" si="1"/>
        <v>0</v>
      </c>
    </row>
    <row r="36" spans="2:26" ht="18" x14ac:dyDescent="0.35">
      <c r="B36" s="95">
        <v>10.5</v>
      </c>
      <c r="C36" s="96" t="s">
        <v>77</v>
      </c>
      <c r="D36" s="97">
        <v>2.1</v>
      </c>
      <c r="E36" s="98">
        <v>22.05</v>
      </c>
      <c r="F36" s="90">
        <v>0.5</v>
      </c>
      <c r="G36" s="91" t="s">
        <v>43</v>
      </c>
      <c r="H36" s="92">
        <v>3</v>
      </c>
      <c r="I36" s="93">
        <v>1.5</v>
      </c>
      <c r="J36" s="83"/>
      <c r="K36" s="83"/>
      <c r="L36" s="12"/>
      <c r="M36" s="13"/>
      <c r="N36" s="14"/>
      <c r="O36" s="11"/>
      <c r="P36" s="15"/>
      <c r="Q36" s="16"/>
      <c r="R36" s="2"/>
      <c r="S36" s="12"/>
      <c r="T36" s="17"/>
      <c r="U36" s="2"/>
      <c r="V36" s="18"/>
      <c r="W36" s="8"/>
      <c r="Y36" s="149" t="s">
        <v>30</v>
      </c>
      <c r="Z36" s="152">
        <f t="shared" si="1"/>
        <v>0</v>
      </c>
    </row>
    <row r="37" spans="2:26" ht="18" x14ac:dyDescent="0.35">
      <c r="B37" s="95">
        <v>8</v>
      </c>
      <c r="C37" s="96" t="s">
        <v>76</v>
      </c>
      <c r="D37" s="97">
        <v>2.4</v>
      </c>
      <c r="E37" s="98">
        <v>19.2</v>
      </c>
      <c r="F37" s="90">
        <v>1.5</v>
      </c>
      <c r="G37" s="91" t="s">
        <v>90</v>
      </c>
      <c r="H37" s="92">
        <v>90</v>
      </c>
      <c r="I37" s="93">
        <v>135</v>
      </c>
      <c r="J37" s="83"/>
      <c r="K37" s="83"/>
      <c r="L37" s="12"/>
      <c r="M37" s="13"/>
      <c r="N37" s="14"/>
      <c r="O37" s="11"/>
      <c r="P37" s="15"/>
      <c r="Q37" s="16"/>
      <c r="R37" s="2"/>
      <c r="S37" s="12"/>
      <c r="T37" s="17"/>
      <c r="U37" s="2"/>
      <c r="V37" s="18"/>
      <c r="W37" s="8"/>
      <c r="Y37" s="149" t="s">
        <v>31</v>
      </c>
      <c r="Z37" s="152">
        <f t="shared" si="1"/>
        <v>0</v>
      </c>
    </row>
    <row r="38" spans="2:26" ht="18" x14ac:dyDescent="0.35">
      <c r="B38" s="95"/>
      <c r="C38" s="96"/>
      <c r="D38" s="97"/>
      <c r="E38" s="98"/>
      <c r="F38" s="90">
        <v>7.5</v>
      </c>
      <c r="G38" s="91" t="s">
        <v>18</v>
      </c>
      <c r="H38" s="92">
        <v>10</v>
      </c>
      <c r="I38" s="93">
        <v>75</v>
      </c>
      <c r="J38" s="83"/>
      <c r="K38" s="83"/>
      <c r="L38" s="12"/>
      <c r="M38" s="13"/>
      <c r="N38" s="14"/>
      <c r="O38" s="11"/>
      <c r="P38" s="15"/>
      <c r="Q38" s="16"/>
      <c r="R38" s="2"/>
      <c r="S38" s="12"/>
      <c r="T38" s="17"/>
      <c r="U38" s="2"/>
      <c r="V38" s="18"/>
      <c r="W38" s="8"/>
      <c r="Y38" s="149" t="s">
        <v>84</v>
      </c>
      <c r="Z38" s="152">
        <f t="shared" si="1"/>
        <v>5.6</v>
      </c>
    </row>
    <row r="39" spans="2:26" ht="18" x14ac:dyDescent="0.35">
      <c r="B39" s="95"/>
      <c r="C39" s="96"/>
      <c r="D39" s="97"/>
      <c r="E39" s="98"/>
      <c r="F39" s="90">
        <v>2.5</v>
      </c>
      <c r="G39" s="91" t="s">
        <v>84</v>
      </c>
      <c r="H39" s="92">
        <v>5</v>
      </c>
      <c r="I39" s="93">
        <v>12.5</v>
      </c>
      <c r="J39" s="83"/>
      <c r="K39" s="83"/>
      <c r="L39" s="12"/>
      <c r="M39" s="13"/>
      <c r="N39" s="14"/>
      <c r="O39" s="11"/>
      <c r="P39" s="15"/>
      <c r="Q39" s="16"/>
      <c r="R39" s="2"/>
      <c r="S39" s="12"/>
      <c r="T39" s="17"/>
      <c r="U39" s="2"/>
      <c r="V39" s="18"/>
      <c r="W39" s="8"/>
      <c r="Y39" s="149" t="s">
        <v>85</v>
      </c>
      <c r="Z39" s="152">
        <f t="shared" si="1"/>
        <v>1.5999999999999999</v>
      </c>
    </row>
    <row r="40" spans="2:26" ht="18" x14ac:dyDescent="0.35">
      <c r="B40" s="95"/>
      <c r="C40" s="96"/>
      <c r="D40" s="97"/>
      <c r="E40" s="98"/>
      <c r="F40" s="90">
        <v>0.5</v>
      </c>
      <c r="G40" s="91" t="s">
        <v>86</v>
      </c>
      <c r="H40" s="92">
        <v>40</v>
      </c>
      <c r="I40" s="93">
        <v>20</v>
      </c>
      <c r="J40" s="83"/>
      <c r="K40" s="83"/>
      <c r="L40" s="12"/>
      <c r="M40" s="13"/>
      <c r="N40" s="14"/>
      <c r="O40" s="11"/>
      <c r="P40" s="15"/>
      <c r="Q40" s="16"/>
      <c r="R40" s="2"/>
      <c r="S40" s="12"/>
      <c r="T40" s="17"/>
      <c r="U40" s="2"/>
      <c r="V40" s="18"/>
      <c r="W40" s="8"/>
      <c r="Y40" s="149" t="s">
        <v>86</v>
      </c>
      <c r="Z40" s="152">
        <f t="shared" si="1"/>
        <v>0.5</v>
      </c>
    </row>
    <row r="41" spans="2:26" ht="18" x14ac:dyDescent="0.35">
      <c r="B41" s="95"/>
      <c r="C41" s="96"/>
      <c r="D41" s="97"/>
      <c r="E41" s="98"/>
      <c r="F41" s="90">
        <v>1</v>
      </c>
      <c r="G41" s="91" t="s">
        <v>85</v>
      </c>
      <c r="H41" s="92">
        <v>10</v>
      </c>
      <c r="I41" s="93">
        <v>10</v>
      </c>
      <c r="J41" s="83"/>
      <c r="K41" s="83"/>
      <c r="L41" s="12"/>
      <c r="M41" s="13"/>
      <c r="N41" s="14"/>
      <c r="O41" s="11"/>
      <c r="P41" s="15"/>
      <c r="Q41" s="16"/>
      <c r="R41" s="2"/>
      <c r="S41" s="12"/>
      <c r="T41" s="17"/>
      <c r="U41" s="2"/>
      <c r="V41" s="18"/>
      <c r="W41" s="8"/>
      <c r="Y41" s="149" t="s">
        <v>87</v>
      </c>
      <c r="Z41" s="152">
        <f t="shared" si="1"/>
        <v>0</v>
      </c>
    </row>
    <row r="42" spans="2:26" ht="18" x14ac:dyDescent="0.35">
      <c r="B42" s="95"/>
      <c r="C42" s="96"/>
      <c r="D42" s="97"/>
      <c r="E42" s="98"/>
      <c r="F42" s="90">
        <v>1</v>
      </c>
      <c r="G42" s="91" t="s">
        <v>70</v>
      </c>
      <c r="H42" s="92">
        <v>5</v>
      </c>
      <c r="I42" s="93">
        <v>5</v>
      </c>
      <c r="J42" s="83"/>
      <c r="K42" s="83"/>
      <c r="L42" s="12"/>
      <c r="M42" s="13"/>
      <c r="N42" s="14"/>
      <c r="O42" s="11"/>
      <c r="P42" s="15"/>
      <c r="Q42" s="16"/>
      <c r="R42" s="2"/>
      <c r="S42" s="12"/>
      <c r="T42" s="17"/>
      <c r="U42" s="2"/>
      <c r="V42" s="18"/>
      <c r="W42" s="8"/>
      <c r="Y42" s="149" t="s">
        <v>46</v>
      </c>
      <c r="Z42" s="152">
        <f t="shared" si="1"/>
        <v>0</v>
      </c>
    </row>
    <row r="43" spans="2:26" ht="18" x14ac:dyDescent="0.35">
      <c r="B43" s="95"/>
      <c r="C43" s="96"/>
      <c r="D43" s="97"/>
      <c r="E43" s="98"/>
      <c r="F43" s="90">
        <v>0.2</v>
      </c>
      <c r="G43" s="91" t="s">
        <v>23</v>
      </c>
      <c r="H43" s="92">
        <v>55</v>
      </c>
      <c r="I43" s="93">
        <v>11</v>
      </c>
      <c r="J43" s="83"/>
      <c r="K43" s="83"/>
      <c r="L43" s="12"/>
      <c r="M43" s="13"/>
      <c r="N43" s="14"/>
      <c r="O43" s="11"/>
      <c r="P43" s="15"/>
      <c r="Q43" s="16"/>
      <c r="R43" s="2"/>
      <c r="S43" s="12"/>
      <c r="T43" s="17"/>
      <c r="U43" s="2"/>
      <c r="V43" s="18"/>
      <c r="W43" s="8"/>
      <c r="Y43" s="149" t="s">
        <v>47</v>
      </c>
      <c r="Z43" s="152">
        <f t="shared" si="1"/>
        <v>1</v>
      </c>
    </row>
    <row r="44" spans="2:26" ht="18" x14ac:dyDescent="0.35">
      <c r="B44" s="95"/>
      <c r="C44" s="96"/>
      <c r="D44" s="97"/>
      <c r="E44" s="98"/>
      <c r="F44" s="90">
        <v>8</v>
      </c>
      <c r="G44" s="91" t="s">
        <v>18</v>
      </c>
      <c r="H44" s="92">
        <v>10</v>
      </c>
      <c r="I44" s="93">
        <v>80</v>
      </c>
      <c r="J44" s="83"/>
      <c r="K44" s="83"/>
      <c r="L44" s="12"/>
      <c r="M44" s="13"/>
      <c r="N44" s="14"/>
      <c r="O44" s="11"/>
      <c r="P44" s="15"/>
      <c r="Q44" s="16"/>
      <c r="R44" s="2"/>
      <c r="S44" s="12"/>
      <c r="T44" s="17"/>
      <c r="U44" s="2"/>
      <c r="V44" s="18"/>
      <c r="W44" s="8"/>
      <c r="Y44" s="149" t="s">
        <v>48</v>
      </c>
      <c r="Z44" s="152">
        <f t="shared" si="1"/>
        <v>4</v>
      </c>
    </row>
    <row r="45" spans="2:26" ht="18" x14ac:dyDescent="0.35">
      <c r="B45" s="95"/>
      <c r="C45" s="96"/>
      <c r="D45" s="97"/>
      <c r="E45" s="98"/>
      <c r="F45" s="90">
        <v>2</v>
      </c>
      <c r="G45" s="91" t="s">
        <v>48</v>
      </c>
      <c r="H45" s="92">
        <v>6</v>
      </c>
      <c r="I45" s="93">
        <v>12</v>
      </c>
      <c r="J45" s="83"/>
      <c r="K45" s="83"/>
      <c r="L45" s="12"/>
      <c r="M45" s="13"/>
      <c r="N45" s="14"/>
      <c r="O45" s="11"/>
      <c r="P45" s="15"/>
      <c r="Q45" s="16"/>
      <c r="R45" s="2"/>
      <c r="S45" s="12"/>
      <c r="T45" s="17"/>
      <c r="U45" s="2"/>
      <c r="V45" s="18"/>
      <c r="W45" s="8"/>
      <c r="Y45" s="149" t="s">
        <v>83</v>
      </c>
      <c r="Z45" s="152">
        <f t="shared" si="1"/>
        <v>0</v>
      </c>
    </row>
    <row r="46" spans="2:26" ht="18" x14ac:dyDescent="0.35">
      <c r="B46" s="95"/>
      <c r="C46" s="96"/>
      <c r="D46" s="97"/>
      <c r="E46" s="98"/>
      <c r="F46" s="90">
        <v>0.4</v>
      </c>
      <c r="G46" s="91" t="s">
        <v>92</v>
      </c>
      <c r="H46" s="92">
        <v>75</v>
      </c>
      <c r="I46" s="93">
        <v>30</v>
      </c>
      <c r="J46" s="83"/>
      <c r="K46" s="83"/>
      <c r="L46" s="12"/>
      <c r="M46" s="13"/>
      <c r="N46" s="14"/>
      <c r="O46" s="11"/>
      <c r="P46" s="15"/>
      <c r="Q46" s="16"/>
      <c r="R46" s="2"/>
      <c r="S46" s="12"/>
      <c r="T46" s="17"/>
      <c r="U46" s="2"/>
      <c r="V46" s="18"/>
      <c r="W46" s="8"/>
      <c r="Y46" s="149" t="s">
        <v>96</v>
      </c>
      <c r="Z46" s="152">
        <f t="shared" si="1"/>
        <v>1</v>
      </c>
    </row>
    <row r="47" spans="2:26" ht="18" x14ac:dyDescent="0.35">
      <c r="B47" s="95"/>
      <c r="C47" s="96"/>
      <c r="D47" s="97"/>
      <c r="E47" s="98"/>
      <c r="F47" s="90">
        <v>0.4</v>
      </c>
      <c r="G47" s="91" t="s">
        <v>19</v>
      </c>
      <c r="H47" s="92">
        <v>2</v>
      </c>
      <c r="I47" s="93">
        <v>0.8</v>
      </c>
      <c r="J47" s="83"/>
      <c r="K47" s="83"/>
      <c r="L47" s="12"/>
      <c r="M47" s="13"/>
      <c r="N47" s="14"/>
      <c r="O47" s="11"/>
      <c r="P47" s="15"/>
      <c r="Q47" s="16"/>
      <c r="R47" s="2"/>
      <c r="S47" s="12"/>
      <c r="T47" s="17"/>
      <c r="U47" s="2"/>
      <c r="V47" s="18"/>
      <c r="W47" s="8"/>
      <c r="Y47" s="149" t="s">
        <v>73</v>
      </c>
      <c r="Z47" s="152">
        <f t="shared" si="1"/>
        <v>0</v>
      </c>
    </row>
    <row r="48" spans="2:26" ht="18" x14ac:dyDescent="0.35">
      <c r="B48" s="95"/>
      <c r="C48" s="96"/>
      <c r="D48" s="97"/>
      <c r="E48" s="98"/>
      <c r="F48" s="90">
        <v>0.6</v>
      </c>
      <c r="G48" s="91" t="s">
        <v>94</v>
      </c>
      <c r="H48" s="92">
        <v>10</v>
      </c>
      <c r="I48" s="93">
        <v>6</v>
      </c>
      <c r="J48" s="83"/>
      <c r="K48" s="83"/>
      <c r="L48" s="12"/>
      <c r="M48" s="13"/>
      <c r="N48" s="14"/>
      <c r="O48" s="11"/>
      <c r="P48" s="15"/>
      <c r="Q48" s="16"/>
      <c r="R48" s="2"/>
      <c r="S48" s="12"/>
      <c r="T48" s="17"/>
      <c r="U48" s="2"/>
      <c r="V48" s="18"/>
      <c r="W48" s="8"/>
      <c r="Y48" s="149" t="s">
        <v>74</v>
      </c>
      <c r="Z48" s="152">
        <f t="shared" si="1"/>
        <v>0</v>
      </c>
    </row>
    <row r="49" spans="2:26" ht="18" x14ac:dyDescent="0.35">
      <c r="B49" s="95"/>
      <c r="C49" s="96"/>
      <c r="D49" s="97"/>
      <c r="E49" s="98"/>
      <c r="F49" s="90">
        <v>0.6</v>
      </c>
      <c r="G49" s="91" t="s">
        <v>84</v>
      </c>
      <c r="H49" s="92">
        <v>5</v>
      </c>
      <c r="I49" s="93">
        <v>3</v>
      </c>
      <c r="J49" s="83"/>
      <c r="K49" s="83"/>
      <c r="L49" s="12"/>
      <c r="M49" s="13"/>
      <c r="N49" s="14"/>
      <c r="O49" s="11"/>
      <c r="P49" s="15"/>
      <c r="Q49" s="16"/>
      <c r="R49" s="2"/>
      <c r="S49" s="12"/>
      <c r="T49" s="17"/>
      <c r="U49" s="2"/>
      <c r="V49" s="18"/>
      <c r="W49" s="8"/>
      <c r="Y49" s="149" t="s">
        <v>70</v>
      </c>
      <c r="Z49" s="152">
        <f t="shared" si="1"/>
        <v>24</v>
      </c>
    </row>
    <row r="50" spans="2:26" ht="18" x14ac:dyDescent="0.35">
      <c r="B50" s="95"/>
      <c r="C50" s="96"/>
      <c r="D50" s="97"/>
      <c r="E50" s="98"/>
      <c r="F50" s="90">
        <v>0.4</v>
      </c>
      <c r="G50" s="91" t="s">
        <v>85</v>
      </c>
      <c r="H50" s="92">
        <v>10</v>
      </c>
      <c r="I50" s="93">
        <v>4</v>
      </c>
      <c r="J50" s="83"/>
      <c r="K50" s="83"/>
      <c r="L50" s="12"/>
      <c r="M50" s="13"/>
      <c r="N50" s="14"/>
      <c r="O50" s="11"/>
      <c r="P50" s="15"/>
      <c r="Q50" s="16"/>
      <c r="R50" s="2"/>
      <c r="S50" s="12"/>
      <c r="T50" s="17"/>
      <c r="U50" s="2"/>
      <c r="V50" s="18"/>
      <c r="W50" s="8"/>
      <c r="Y50" s="149" t="s">
        <v>64</v>
      </c>
      <c r="Z50" s="152">
        <f t="shared" si="1"/>
        <v>0</v>
      </c>
    </row>
    <row r="51" spans="2:26" ht="18" x14ac:dyDescent="0.35">
      <c r="B51" s="95"/>
      <c r="C51" s="96"/>
      <c r="D51" s="97"/>
      <c r="E51" s="98"/>
      <c r="F51" s="90">
        <v>11</v>
      </c>
      <c r="G51" s="91" t="s">
        <v>94</v>
      </c>
      <c r="H51" s="92">
        <v>10</v>
      </c>
      <c r="I51" s="93">
        <v>110</v>
      </c>
      <c r="J51" s="83"/>
      <c r="K51" s="83"/>
      <c r="L51" s="12"/>
      <c r="M51" s="13"/>
      <c r="N51" s="14"/>
      <c r="O51" s="11"/>
      <c r="P51" s="15"/>
      <c r="Q51" s="16"/>
      <c r="R51" s="2"/>
      <c r="S51" s="12"/>
      <c r="T51" s="17"/>
      <c r="U51" s="2"/>
      <c r="V51" s="18"/>
      <c r="W51" s="8"/>
      <c r="Y51" s="149" t="s">
        <v>65</v>
      </c>
      <c r="Z51" s="152">
        <f t="shared" si="1"/>
        <v>0</v>
      </c>
    </row>
    <row r="52" spans="2:26" ht="18" x14ac:dyDescent="0.35">
      <c r="B52" s="95"/>
      <c r="C52" s="96"/>
      <c r="D52" s="97"/>
      <c r="E52" s="98"/>
      <c r="F52" s="90">
        <v>1</v>
      </c>
      <c r="G52" s="91" t="s">
        <v>98</v>
      </c>
      <c r="H52" s="92">
        <v>5</v>
      </c>
      <c r="I52" s="93">
        <v>5</v>
      </c>
      <c r="J52" s="83"/>
      <c r="K52" s="83"/>
      <c r="L52" s="12"/>
      <c r="M52" s="13"/>
      <c r="N52" s="14"/>
      <c r="O52" s="11"/>
      <c r="P52" s="15"/>
      <c r="Q52" s="16"/>
      <c r="R52" s="2"/>
      <c r="S52" s="12"/>
      <c r="T52" s="17"/>
      <c r="U52" s="2"/>
      <c r="V52" s="18"/>
      <c r="W52" s="8"/>
      <c r="Y52" s="149" t="s">
        <v>66</v>
      </c>
      <c r="Z52" s="152">
        <f t="shared" si="1"/>
        <v>0</v>
      </c>
    </row>
    <row r="53" spans="2:26" ht="18" x14ac:dyDescent="0.35">
      <c r="B53" s="95"/>
      <c r="C53" s="96"/>
      <c r="D53" s="97"/>
      <c r="E53" s="98"/>
      <c r="F53" s="90">
        <v>42</v>
      </c>
      <c r="G53" s="91" t="s">
        <v>18</v>
      </c>
      <c r="H53" s="92">
        <v>12</v>
      </c>
      <c r="I53" s="93">
        <v>504</v>
      </c>
      <c r="J53" s="83"/>
      <c r="K53" s="83"/>
      <c r="L53" s="12"/>
      <c r="M53" s="13"/>
      <c r="N53" s="14"/>
      <c r="O53" s="11"/>
      <c r="P53" s="15"/>
      <c r="Q53" s="16"/>
      <c r="R53" s="2"/>
      <c r="S53" s="12"/>
      <c r="T53" s="17"/>
      <c r="U53" s="2"/>
      <c r="V53" s="18"/>
      <c r="W53" s="8"/>
      <c r="Y53" s="149" t="s">
        <v>100</v>
      </c>
      <c r="Z53" s="152">
        <f t="shared" si="1"/>
        <v>0</v>
      </c>
    </row>
    <row r="54" spans="2:26" ht="18" x14ac:dyDescent="0.35">
      <c r="B54" s="95"/>
      <c r="C54" s="96"/>
      <c r="D54" s="97"/>
      <c r="E54" s="98"/>
      <c r="F54" s="90">
        <v>3.5</v>
      </c>
      <c r="G54" s="91" t="s">
        <v>102</v>
      </c>
      <c r="H54" s="92">
        <v>5</v>
      </c>
      <c r="I54" s="93">
        <v>17.5</v>
      </c>
      <c r="J54" s="83"/>
      <c r="K54" s="83"/>
      <c r="L54" s="12"/>
      <c r="M54" s="13"/>
      <c r="N54" s="14"/>
      <c r="O54" s="11"/>
      <c r="P54" s="15"/>
      <c r="Q54" s="16"/>
      <c r="R54" s="2"/>
      <c r="S54" s="12"/>
      <c r="T54" s="17"/>
      <c r="U54" s="2"/>
      <c r="V54" s="18"/>
      <c r="W54" s="8"/>
      <c r="Y54" s="149" t="s">
        <v>101</v>
      </c>
      <c r="Z54" s="152">
        <f t="shared" si="1"/>
        <v>0</v>
      </c>
    </row>
    <row r="55" spans="2:26" ht="18" x14ac:dyDescent="0.35">
      <c r="B55" s="95"/>
      <c r="C55" s="96"/>
      <c r="D55" s="97"/>
      <c r="E55" s="98"/>
      <c r="F55" s="90">
        <v>4.5</v>
      </c>
      <c r="G55" s="91" t="s">
        <v>90</v>
      </c>
      <c r="H55" s="92">
        <v>90</v>
      </c>
      <c r="I55" s="93">
        <v>405</v>
      </c>
      <c r="J55" s="83"/>
      <c r="K55" s="83"/>
      <c r="L55" s="12"/>
      <c r="M55" s="13"/>
      <c r="N55" s="14"/>
      <c r="O55" s="11"/>
      <c r="P55" s="15"/>
      <c r="Q55" s="16"/>
      <c r="R55" s="2"/>
      <c r="S55" s="12"/>
      <c r="T55" s="17"/>
      <c r="U55" s="2"/>
      <c r="V55" s="18"/>
      <c r="W55" s="8"/>
      <c r="Y55" s="149" t="s">
        <v>102</v>
      </c>
      <c r="Z55" s="152">
        <f t="shared" si="1"/>
        <v>3.5</v>
      </c>
    </row>
    <row r="56" spans="2:26" ht="18" x14ac:dyDescent="0.35">
      <c r="B56" s="95"/>
      <c r="C56" s="96"/>
      <c r="D56" s="97"/>
      <c r="E56" s="98"/>
      <c r="F56" s="90">
        <v>0.5</v>
      </c>
      <c r="G56" s="91" t="s">
        <v>24</v>
      </c>
      <c r="H56" s="92">
        <v>35</v>
      </c>
      <c r="I56" s="93">
        <v>17.5</v>
      </c>
      <c r="J56" s="83"/>
      <c r="K56" s="83"/>
      <c r="L56" s="12"/>
      <c r="M56" s="13"/>
      <c r="N56" s="14"/>
      <c r="O56" s="11"/>
      <c r="P56" s="15"/>
      <c r="Q56" s="16"/>
      <c r="R56" s="2"/>
      <c r="S56" s="12"/>
      <c r="T56" s="17"/>
      <c r="U56" s="2"/>
      <c r="V56" s="18"/>
      <c r="W56" s="8"/>
      <c r="Y56" s="149" t="s">
        <v>26</v>
      </c>
      <c r="Z56" s="152">
        <f t="shared" si="1"/>
        <v>0</v>
      </c>
    </row>
    <row r="57" spans="2:26" ht="18" x14ac:dyDescent="0.35">
      <c r="B57" s="95"/>
      <c r="C57" s="96"/>
      <c r="D57" s="97"/>
      <c r="E57" s="98"/>
      <c r="F57" s="90">
        <v>1</v>
      </c>
      <c r="G57" s="91" t="s">
        <v>84</v>
      </c>
      <c r="H57" s="92">
        <v>5</v>
      </c>
      <c r="I57" s="93">
        <v>5</v>
      </c>
      <c r="J57" s="83"/>
      <c r="K57" s="83"/>
      <c r="L57" s="12"/>
      <c r="M57" s="13"/>
      <c r="N57" s="14"/>
      <c r="O57" s="11"/>
      <c r="P57" s="15"/>
      <c r="Q57" s="16"/>
      <c r="R57" s="2"/>
      <c r="S57" s="12"/>
      <c r="T57" s="17"/>
      <c r="U57" s="2"/>
      <c r="V57" s="18"/>
      <c r="W57" s="8"/>
      <c r="Y57" s="149" t="s">
        <v>27</v>
      </c>
      <c r="Z57" s="152">
        <f t="shared" si="1"/>
        <v>0</v>
      </c>
    </row>
    <row r="58" spans="2:26" ht="18" x14ac:dyDescent="0.35">
      <c r="B58" s="95"/>
      <c r="C58" s="96"/>
      <c r="D58" s="97"/>
      <c r="E58" s="98"/>
      <c r="F58" s="90">
        <v>0.2</v>
      </c>
      <c r="G58" s="91" t="s">
        <v>85</v>
      </c>
      <c r="H58" s="92">
        <v>10</v>
      </c>
      <c r="I58" s="93">
        <v>2</v>
      </c>
      <c r="J58" s="83"/>
      <c r="K58" s="83"/>
      <c r="L58" s="12"/>
      <c r="M58" s="13"/>
      <c r="N58" s="14"/>
      <c r="O58" s="11"/>
      <c r="P58" s="15"/>
      <c r="Q58" s="16"/>
      <c r="R58" s="2"/>
      <c r="S58" s="12"/>
      <c r="T58" s="17"/>
      <c r="U58" s="2"/>
      <c r="V58" s="18"/>
      <c r="W58" s="8"/>
      <c r="Y58" s="149" t="s">
        <v>28</v>
      </c>
      <c r="Z58" s="152">
        <f t="shared" si="1"/>
        <v>0</v>
      </c>
    </row>
    <row r="59" spans="2:26" ht="18" x14ac:dyDescent="0.35">
      <c r="B59" s="95"/>
      <c r="C59" s="96"/>
      <c r="D59" s="97"/>
      <c r="E59" s="98"/>
      <c r="F59" s="90">
        <v>0.4</v>
      </c>
      <c r="G59" s="91" t="s">
        <v>94</v>
      </c>
      <c r="H59" s="92">
        <v>10</v>
      </c>
      <c r="I59" s="93">
        <v>4</v>
      </c>
      <c r="J59" s="83"/>
      <c r="K59" s="83"/>
      <c r="L59" s="12"/>
      <c r="M59" s="13"/>
      <c r="N59" s="14"/>
      <c r="O59" s="11"/>
      <c r="P59" s="15"/>
      <c r="Q59" s="16"/>
      <c r="R59" s="2"/>
      <c r="S59" s="12"/>
      <c r="T59" s="17"/>
      <c r="U59" s="2"/>
      <c r="V59" s="18"/>
      <c r="W59" s="8"/>
      <c r="Y59" s="149" t="s">
        <v>29</v>
      </c>
      <c r="Z59" s="152">
        <f t="shared" si="1"/>
        <v>0</v>
      </c>
    </row>
    <row r="60" spans="2:26" ht="18" x14ac:dyDescent="0.35">
      <c r="B60" s="95"/>
      <c r="C60" s="96"/>
      <c r="D60" s="97"/>
      <c r="E60" s="98"/>
      <c r="F60" s="90">
        <v>2.5</v>
      </c>
      <c r="G60" s="91" t="s">
        <v>18</v>
      </c>
      <c r="H60" s="92">
        <v>12</v>
      </c>
      <c r="I60" s="93">
        <v>30</v>
      </c>
      <c r="J60" s="83"/>
      <c r="K60" s="83"/>
      <c r="L60" s="12"/>
      <c r="M60" s="13"/>
      <c r="N60" s="14"/>
      <c r="O60" s="11"/>
      <c r="P60" s="15"/>
      <c r="Q60" s="16"/>
      <c r="R60" s="2"/>
      <c r="S60" s="12"/>
      <c r="T60" s="17"/>
      <c r="U60" s="2"/>
      <c r="V60" s="18"/>
      <c r="W60" s="8"/>
      <c r="Y60" s="149" t="s">
        <v>34</v>
      </c>
      <c r="Z60" s="152">
        <f t="shared" si="1"/>
        <v>0</v>
      </c>
    </row>
    <row r="61" spans="2:26" ht="18" x14ac:dyDescent="0.35">
      <c r="B61" s="95"/>
      <c r="C61" s="96"/>
      <c r="D61" s="97"/>
      <c r="E61" s="98"/>
      <c r="F61" s="90">
        <v>1</v>
      </c>
      <c r="G61" s="91" t="s">
        <v>94</v>
      </c>
      <c r="H61" s="92">
        <v>10</v>
      </c>
      <c r="I61" s="93">
        <v>10</v>
      </c>
      <c r="J61" s="83"/>
      <c r="K61" s="83"/>
      <c r="L61" s="12"/>
      <c r="M61" s="13"/>
      <c r="N61" s="14"/>
      <c r="O61" s="11"/>
      <c r="P61" s="15"/>
      <c r="Q61" s="16"/>
      <c r="R61" s="2"/>
      <c r="S61" s="12"/>
      <c r="T61" s="17"/>
      <c r="U61" s="2"/>
      <c r="V61" s="18"/>
      <c r="W61" s="8"/>
      <c r="Y61" s="149" t="s">
        <v>35</v>
      </c>
      <c r="Z61" s="152">
        <f t="shared" si="1"/>
        <v>0</v>
      </c>
    </row>
    <row r="62" spans="2:26" ht="18" x14ac:dyDescent="0.35">
      <c r="B62" s="95"/>
      <c r="C62" s="96"/>
      <c r="D62" s="97"/>
      <c r="E62" s="98"/>
      <c r="F62" s="90">
        <v>2.5</v>
      </c>
      <c r="G62" s="91" t="s">
        <v>18</v>
      </c>
      <c r="H62" s="92">
        <v>12</v>
      </c>
      <c r="I62" s="93">
        <v>30</v>
      </c>
      <c r="J62" s="83"/>
      <c r="K62" s="83"/>
      <c r="L62" s="12"/>
      <c r="M62" s="13"/>
      <c r="N62" s="14"/>
      <c r="O62" s="11"/>
      <c r="P62" s="15"/>
      <c r="Q62" s="16"/>
      <c r="R62" s="2"/>
      <c r="S62" s="12"/>
      <c r="T62" s="17"/>
      <c r="U62" s="2"/>
      <c r="V62" s="18"/>
      <c r="W62" s="8"/>
      <c r="Y62" s="149" t="s">
        <v>36</v>
      </c>
      <c r="Z62" s="152">
        <f t="shared" si="1"/>
        <v>0</v>
      </c>
    </row>
    <row r="63" spans="2:26" ht="18" x14ac:dyDescent="0.35">
      <c r="B63" s="95"/>
      <c r="C63" s="96"/>
      <c r="D63" s="97"/>
      <c r="E63" s="98"/>
      <c r="F63" s="90">
        <v>2</v>
      </c>
      <c r="G63" s="91" t="s">
        <v>48</v>
      </c>
      <c r="H63" s="92">
        <v>6</v>
      </c>
      <c r="I63" s="93">
        <v>12</v>
      </c>
      <c r="J63" s="83"/>
      <c r="K63" s="83"/>
      <c r="L63" s="12"/>
      <c r="M63" s="13"/>
      <c r="N63" s="14"/>
      <c r="O63" s="11"/>
      <c r="P63" s="15"/>
      <c r="Q63" s="16"/>
      <c r="R63" s="2"/>
      <c r="S63" s="12"/>
      <c r="T63" s="17"/>
      <c r="U63" s="2"/>
      <c r="V63" s="18"/>
      <c r="W63" s="8"/>
      <c r="Y63" s="149" t="s">
        <v>37</v>
      </c>
      <c r="Z63" s="152">
        <f t="shared" si="1"/>
        <v>0</v>
      </c>
    </row>
    <row r="64" spans="2:26" ht="18" x14ac:dyDescent="0.35">
      <c r="B64" s="95"/>
      <c r="C64" s="96"/>
      <c r="D64" s="97"/>
      <c r="E64" s="98"/>
      <c r="F64" s="90">
        <v>0.5</v>
      </c>
      <c r="G64" s="91" t="s">
        <v>23</v>
      </c>
      <c r="H64" s="92">
        <v>55</v>
      </c>
      <c r="I64" s="93">
        <v>27.5</v>
      </c>
      <c r="J64" s="83"/>
      <c r="K64" s="83"/>
      <c r="L64" s="12"/>
      <c r="M64" s="13"/>
      <c r="N64" s="14"/>
      <c r="O64" s="11"/>
      <c r="P64" s="15"/>
      <c r="Q64" s="16"/>
      <c r="R64" s="2"/>
      <c r="S64" s="12"/>
      <c r="T64" s="17"/>
      <c r="U64" s="2"/>
      <c r="V64" s="18"/>
      <c r="W64" s="8"/>
      <c r="Y64" s="149" t="s">
        <v>38</v>
      </c>
      <c r="Z64" s="152">
        <f t="shared" si="1"/>
        <v>0</v>
      </c>
    </row>
    <row r="65" spans="2:26" ht="18" x14ac:dyDescent="0.35">
      <c r="B65" s="95"/>
      <c r="C65" s="96"/>
      <c r="D65" s="97"/>
      <c r="E65" s="98"/>
      <c r="F65" s="99">
        <v>2.5</v>
      </c>
      <c r="G65" s="100" t="s">
        <v>18</v>
      </c>
      <c r="H65" s="101">
        <v>12</v>
      </c>
      <c r="I65" s="102">
        <v>30</v>
      </c>
      <c r="J65" s="83"/>
      <c r="K65" s="83"/>
      <c r="L65" s="12"/>
      <c r="M65" s="13"/>
      <c r="N65" s="14"/>
      <c r="O65" s="11"/>
      <c r="P65" s="15"/>
      <c r="Q65" s="16"/>
      <c r="R65" s="2"/>
      <c r="S65" s="12"/>
      <c r="T65" s="17"/>
      <c r="U65" s="2"/>
      <c r="V65" s="18"/>
      <c r="W65" s="8"/>
      <c r="Y65" s="149" t="s">
        <v>40</v>
      </c>
      <c r="Z65" s="152">
        <f t="shared" si="1"/>
        <v>0</v>
      </c>
    </row>
    <row r="66" spans="2:26" ht="18" x14ac:dyDescent="0.35">
      <c r="B66" s="95"/>
      <c r="C66" s="96"/>
      <c r="D66" s="97"/>
      <c r="E66" s="98"/>
      <c r="F66" s="90">
        <v>0.5</v>
      </c>
      <c r="G66" s="91" t="s">
        <v>92</v>
      </c>
      <c r="H66" s="92">
        <v>75</v>
      </c>
      <c r="I66" s="93">
        <v>37.5</v>
      </c>
      <c r="J66" s="83"/>
      <c r="K66" s="83"/>
      <c r="L66" s="12"/>
      <c r="M66" s="13"/>
      <c r="N66" s="14"/>
      <c r="O66" s="11"/>
      <c r="P66" s="15"/>
      <c r="Q66" s="16"/>
      <c r="R66" s="2"/>
      <c r="S66" s="12"/>
      <c r="T66" s="17"/>
      <c r="U66" s="2"/>
      <c r="V66" s="18"/>
      <c r="W66" s="8"/>
      <c r="Y66" s="149" t="s">
        <v>41</v>
      </c>
      <c r="Z66" s="152">
        <f t="shared" si="1"/>
        <v>0</v>
      </c>
    </row>
    <row r="67" spans="2:26" ht="18" x14ac:dyDescent="0.35">
      <c r="B67" s="95"/>
      <c r="C67" s="96"/>
      <c r="D67" s="97"/>
      <c r="E67" s="98"/>
      <c r="F67" s="103">
        <v>1</v>
      </c>
      <c r="G67" s="94" t="s">
        <v>18</v>
      </c>
      <c r="H67" s="104">
        <v>12</v>
      </c>
      <c r="I67" s="105">
        <v>12</v>
      </c>
      <c r="J67" s="83"/>
      <c r="K67" s="83"/>
      <c r="L67" s="12"/>
      <c r="M67" s="13"/>
      <c r="N67" s="14"/>
      <c r="O67" s="11"/>
      <c r="P67" s="15"/>
      <c r="Q67" s="16"/>
      <c r="R67" s="2"/>
      <c r="S67" s="12"/>
      <c r="T67" s="17"/>
      <c r="U67" s="2"/>
      <c r="V67" s="18"/>
      <c r="W67" s="8"/>
      <c r="Y67" s="149" t="s">
        <v>69</v>
      </c>
      <c r="Z67" s="152">
        <f t="shared" si="1"/>
        <v>0</v>
      </c>
    </row>
    <row r="68" spans="2:26" ht="18" x14ac:dyDescent="0.35">
      <c r="B68" s="95"/>
      <c r="C68" s="96"/>
      <c r="D68" s="97"/>
      <c r="E68" s="98"/>
      <c r="F68" s="90">
        <v>1.2</v>
      </c>
      <c r="G68" s="91" t="s">
        <v>92</v>
      </c>
      <c r="H68" s="92">
        <v>75</v>
      </c>
      <c r="I68" s="105">
        <v>90</v>
      </c>
      <c r="J68" s="83"/>
      <c r="K68" s="83"/>
      <c r="L68" s="12"/>
      <c r="M68" s="13"/>
      <c r="N68" s="14"/>
      <c r="O68" s="11"/>
      <c r="P68" s="15"/>
      <c r="Q68" s="16"/>
      <c r="R68" s="2"/>
      <c r="S68" s="12"/>
      <c r="T68" s="17"/>
      <c r="U68" s="2"/>
      <c r="V68" s="18"/>
      <c r="W68" s="8"/>
      <c r="Y68" s="149" t="s">
        <v>108</v>
      </c>
      <c r="Z68" s="152">
        <f t="shared" si="1"/>
        <v>0</v>
      </c>
    </row>
    <row r="69" spans="2:26" ht="18" x14ac:dyDescent="0.35">
      <c r="B69" s="95"/>
      <c r="C69" s="96"/>
      <c r="D69" s="97"/>
      <c r="E69" s="98"/>
      <c r="F69" s="90">
        <v>1.5</v>
      </c>
      <c r="G69" s="91" t="s">
        <v>18</v>
      </c>
      <c r="H69" s="92">
        <v>12</v>
      </c>
      <c r="I69" s="105">
        <v>18</v>
      </c>
      <c r="J69" s="83"/>
      <c r="K69" s="83"/>
      <c r="L69" s="12"/>
      <c r="M69" s="13"/>
      <c r="N69" s="14"/>
      <c r="O69" s="11"/>
      <c r="P69" s="15"/>
      <c r="Q69" s="16"/>
      <c r="R69" s="2"/>
      <c r="S69" s="12"/>
      <c r="T69" s="17"/>
      <c r="U69" s="2"/>
      <c r="V69" s="18"/>
      <c r="W69" s="8"/>
      <c r="Y69" s="149" t="s">
        <v>44</v>
      </c>
      <c r="Z69" s="152">
        <f t="shared" si="1"/>
        <v>0</v>
      </c>
    </row>
    <row r="70" spans="2:26" ht="18" x14ac:dyDescent="0.35">
      <c r="B70" s="95"/>
      <c r="C70" s="96"/>
      <c r="D70" s="97"/>
      <c r="E70" s="98"/>
      <c r="F70" s="90">
        <v>0.4</v>
      </c>
      <c r="G70" s="91" t="s">
        <v>23</v>
      </c>
      <c r="H70" s="92">
        <v>55</v>
      </c>
      <c r="I70" s="105">
        <v>22</v>
      </c>
      <c r="J70" s="83"/>
      <c r="K70" s="83"/>
      <c r="L70" s="12"/>
      <c r="M70" s="13"/>
      <c r="N70" s="14"/>
      <c r="O70" s="11"/>
      <c r="P70" s="15"/>
      <c r="Q70" s="16"/>
      <c r="R70" s="2"/>
      <c r="S70" s="12"/>
      <c r="T70" s="17"/>
      <c r="U70" s="2"/>
      <c r="V70" s="18"/>
      <c r="W70" s="8"/>
      <c r="Y70" s="149" t="s">
        <v>45</v>
      </c>
      <c r="Z70" s="152">
        <f t="shared" si="1"/>
        <v>0</v>
      </c>
    </row>
    <row r="71" spans="2:26" ht="18" x14ac:dyDescent="0.35">
      <c r="B71" s="95"/>
      <c r="C71" s="96"/>
      <c r="D71" s="97"/>
      <c r="E71" s="98"/>
      <c r="F71" s="90">
        <v>1</v>
      </c>
      <c r="G71" s="91" t="s">
        <v>20</v>
      </c>
      <c r="H71" s="92">
        <v>1</v>
      </c>
      <c r="I71" s="105">
        <v>1</v>
      </c>
      <c r="J71" s="83"/>
      <c r="K71" s="83"/>
      <c r="L71" s="12"/>
      <c r="M71" s="13"/>
      <c r="N71" s="14"/>
      <c r="O71" s="11"/>
      <c r="P71" s="15"/>
      <c r="Q71" s="16"/>
      <c r="R71" s="2"/>
      <c r="S71" s="12"/>
      <c r="T71" s="17"/>
      <c r="U71" s="2"/>
      <c r="V71" s="18"/>
      <c r="W71" s="8"/>
      <c r="Y71" s="149" t="s">
        <v>49</v>
      </c>
      <c r="Z71" s="152">
        <f t="shared" si="1"/>
        <v>0</v>
      </c>
    </row>
    <row r="72" spans="2:26" ht="18" x14ac:dyDescent="0.35">
      <c r="B72" s="106"/>
      <c r="C72" s="107"/>
      <c r="D72" s="108"/>
      <c r="E72" s="109"/>
      <c r="F72" s="90">
        <v>1.2</v>
      </c>
      <c r="G72" s="91" t="s">
        <v>23</v>
      </c>
      <c r="H72" s="92">
        <v>55</v>
      </c>
      <c r="I72" s="105">
        <v>66</v>
      </c>
      <c r="J72" s="83"/>
      <c r="K72" s="83"/>
      <c r="L72" s="12"/>
      <c r="M72" s="13"/>
      <c r="N72" s="14"/>
      <c r="O72" s="11"/>
      <c r="P72" s="15"/>
      <c r="Q72" s="16"/>
      <c r="R72" s="2"/>
      <c r="S72" s="12"/>
      <c r="T72" s="17"/>
      <c r="U72" s="2"/>
      <c r="V72" s="18"/>
      <c r="W72" s="8"/>
      <c r="Y72" s="149" t="s">
        <v>50</v>
      </c>
      <c r="Z72" s="152">
        <f t="shared" si="1"/>
        <v>0</v>
      </c>
    </row>
    <row r="73" spans="2:26" ht="18" x14ac:dyDescent="0.35">
      <c r="B73" s="95"/>
      <c r="C73" s="96"/>
      <c r="D73" s="97"/>
      <c r="E73" s="98"/>
      <c r="F73" s="90">
        <v>3.5</v>
      </c>
      <c r="G73" s="91" t="s">
        <v>90</v>
      </c>
      <c r="H73" s="92">
        <v>90</v>
      </c>
      <c r="I73" s="105">
        <v>315</v>
      </c>
      <c r="J73" s="83"/>
      <c r="K73" s="83"/>
      <c r="L73" s="20"/>
      <c r="M73" s="21"/>
      <c r="N73" s="22"/>
      <c r="O73" s="19"/>
      <c r="P73" s="23"/>
      <c r="Q73" s="24"/>
      <c r="R73" s="2"/>
      <c r="S73" s="20"/>
      <c r="T73" s="25"/>
      <c r="U73" s="2"/>
      <c r="V73" s="26"/>
      <c r="W73" s="27"/>
      <c r="Y73" s="149" t="s">
        <v>51</v>
      </c>
      <c r="Z73" s="152">
        <f t="shared" si="1"/>
        <v>0</v>
      </c>
    </row>
    <row r="74" spans="2:26" ht="18" x14ac:dyDescent="0.35">
      <c r="B74" s="110"/>
      <c r="C74" s="111"/>
      <c r="D74" s="112"/>
      <c r="E74" s="113"/>
      <c r="F74" s="90">
        <v>14.5</v>
      </c>
      <c r="G74" s="91" t="s">
        <v>70</v>
      </c>
      <c r="H74" s="92">
        <v>5</v>
      </c>
      <c r="I74" s="105">
        <v>72.5</v>
      </c>
      <c r="J74" s="83"/>
      <c r="K74" s="83"/>
      <c r="L74" s="12"/>
      <c r="M74" s="28"/>
      <c r="N74" s="14"/>
      <c r="O74" s="11"/>
      <c r="P74" s="11"/>
      <c r="Q74" s="16"/>
      <c r="R74" s="2"/>
      <c r="S74" s="12"/>
      <c r="T74" s="17"/>
      <c r="U74" s="2"/>
      <c r="V74" s="18"/>
      <c r="W74" s="16"/>
      <c r="Y74" s="149" t="s">
        <v>52</v>
      </c>
      <c r="Z74" s="152">
        <f t="shared" si="1"/>
        <v>0</v>
      </c>
    </row>
    <row r="75" spans="2:26" ht="18" x14ac:dyDescent="0.35">
      <c r="B75" s="95"/>
      <c r="C75" s="96"/>
      <c r="D75" s="97"/>
      <c r="E75" s="113"/>
      <c r="F75" s="90"/>
      <c r="G75" s="91"/>
      <c r="H75" s="92"/>
      <c r="I75" s="105"/>
      <c r="J75" s="83"/>
      <c r="K75" s="83"/>
      <c r="L75" s="12"/>
      <c r="M75" s="28"/>
      <c r="N75" s="14"/>
      <c r="O75" s="11"/>
      <c r="P75" s="11"/>
      <c r="Q75" s="16"/>
      <c r="R75" s="2"/>
      <c r="S75" s="12"/>
      <c r="T75" s="17"/>
      <c r="U75" s="2"/>
      <c r="V75" s="18"/>
      <c r="W75" s="16"/>
      <c r="Y75" s="149" t="s">
        <v>72</v>
      </c>
      <c r="Z75" s="152">
        <f t="shared" si="1"/>
        <v>0</v>
      </c>
    </row>
    <row r="76" spans="2:26" ht="18" x14ac:dyDescent="0.35">
      <c r="B76" s="95"/>
      <c r="C76" s="96"/>
      <c r="D76" s="97"/>
      <c r="E76" s="113"/>
      <c r="F76" s="90"/>
      <c r="G76" s="91"/>
      <c r="H76" s="92"/>
      <c r="I76" s="105"/>
      <c r="J76" s="83"/>
      <c r="K76" s="83"/>
      <c r="L76" s="12"/>
      <c r="M76" s="28"/>
      <c r="N76" s="14"/>
      <c r="O76" s="11"/>
      <c r="P76" s="11"/>
      <c r="Q76" s="16"/>
      <c r="R76" s="2"/>
      <c r="S76" s="12"/>
      <c r="T76" s="17"/>
      <c r="U76" s="2"/>
      <c r="V76" s="18"/>
      <c r="W76" s="16"/>
      <c r="Y76" s="149" t="s">
        <v>71</v>
      </c>
      <c r="Z76" s="152">
        <f t="shared" si="1"/>
        <v>0</v>
      </c>
    </row>
    <row r="77" spans="2:26" ht="18" x14ac:dyDescent="0.35">
      <c r="B77" s="95"/>
      <c r="C77" s="96"/>
      <c r="D77" s="97"/>
      <c r="E77" s="113"/>
      <c r="F77" s="90"/>
      <c r="G77" s="91"/>
      <c r="H77" s="92"/>
      <c r="I77" s="105"/>
      <c r="J77" s="83"/>
      <c r="K77" s="83"/>
      <c r="L77" s="12"/>
      <c r="M77" s="28"/>
      <c r="N77" s="14"/>
      <c r="O77" s="11"/>
      <c r="P77" s="11"/>
      <c r="Q77" s="16"/>
      <c r="R77" s="2"/>
      <c r="S77" s="12"/>
      <c r="T77" s="17"/>
      <c r="U77" s="2"/>
      <c r="V77" s="18"/>
      <c r="W77" s="16"/>
      <c r="Y77" s="149" t="s">
        <v>53</v>
      </c>
      <c r="Z77" s="152">
        <f t="shared" ref="Z77:Z79" si="2">SUMIF($G$9:$G$129, Y77, $F$9:$F$129)</f>
        <v>0</v>
      </c>
    </row>
    <row r="78" spans="2:26" ht="18" x14ac:dyDescent="0.35">
      <c r="B78" s="95"/>
      <c r="C78" s="96"/>
      <c r="D78" s="97"/>
      <c r="E78" s="113"/>
      <c r="F78" s="90"/>
      <c r="G78" s="91"/>
      <c r="H78" s="92"/>
      <c r="I78" s="105"/>
      <c r="J78" s="83"/>
      <c r="K78" s="83"/>
      <c r="L78" s="12"/>
      <c r="M78" s="28"/>
      <c r="N78" s="14"/>
      <c r="O78" s="11"/>
      <c r="P78" s="11"/>
      <c r="Q78" s="16"/>
      <c r="R78" s="2"/>
      <c r="S78" s="12"/>
      <c r="T78" s="17"/>
      <c r="U78" s="2"/>
      <c r="V78" s="18"/>
      <c r="W78" s="16"/>
      <c r="Y78" s="149" t="s">
        <v>54</v>
      </c>
      <c r="Z78" s="152">
        <f t="shared" si="2"/>
        <v>0</v>
      </c>
    </row>
    <row r="79" spans="2:26" ht="18.600000000000001" thickBot="1" x14ac:dyDescent="0.4">
      <c r="B79" s="95"/>
      <c r="C79" s="96"/>
      <c r="D79" s="97"/>
      <c r="E79" s="113"/>
      <c r="F79" s="90"/>
      <c r="G79" s="91"/>
      <c r="H79" s="92"/>
      <c r="I79" s="105"/>
      <c r="J79" s="83"/>
      <c r="K79" s="83"/>
      <c r="L79" s="12"/>
      <c r="M79" s="28"/>
      <c r="N79" s="14"/>
      <c r="O79" s="11"/>
      <c r="P79" s="11"/>
      <c r="Q79" s="16"/>
      <c r="R79" s="2"/>
      <c r="S79" s="12"/>
      <c r="T79" s="17"/>
      <c r="U79" s="2"/>
      <c r="V79" s="18"/>
      <c r="W79" s="16"/>
      <c r="Y79" s="150" t="s">
        <v>55</v>
      </c>
      <c r="Z79" s="153">
        <f t="shared" si="2"/>
        <v>0</v>
      </c>
    </row>
    <row r="80" spans="2:26" ht="18" x14ac:dyDescent="0.35">
      <c r="B80" s="95"/>
      <c r="C80" s="96"/>
      <c r="D80" s="97"/>
      <c r="E80" s="113"/>
      <c r="F80" s="90"/>
      <c r="G80" s="91"/>
      <c r="H80" s="92"/>
      <c r="I80" s="105"/>
      <c r="J80" s="83"/>
      <c r="K80" s="83"/>
      <c r="L80" s="12"/>
      <c r="M80" s="28"/>
      <c r="N80" s="14"/>
      <c r="O80" s="11"/>
      <c r="P80" s="11"/>
      <c r="Q80" s="16"/>
      <c r="R80" s="2"/>
      <c r="S80" s="12"/>
      <c r="T80" s="17"/>
      <c r="U80" s="2"/>
      <c r="V80" s="18"/>
      <c r="W80" s="16"/>
    </row>
    <row r="81" spans="2:23" ht="18" x14ac:dyDescent="0.35">
      <c r="B81" s="95"/>
      <c r="C81" s="96"/>
      <c r="D81" s="97"/>
      <c r="E81" s="113"/>
      <c r="F81" s="90"/>
      <c r="G81" s="91"/>
      <c r="H81" s="92"/>
      <c r="I81" s="105"/>
      <c r="J81" s="83"/>
      <c r="K81" s="83"/>
      <c r="L81" s="12"/>
      <c r="M81" s="28"/>
      <c r="N81" s="14"/>
      <c r="O81" s="11"/>
      <c r="P81" s="11"/>
      <c r="Q81" s="16"/>
      <c r="R81" s="2"/>
      <c r="S81" s="12"/>
      <c r="T81" s="17"/>
      <c r="U81" s="2"/>
      <c r="V81" s="18"/>
      <c r="W81" s="16"/>
    </row>
    <row r="82" spans="2:23" ht="18" x14ac:dyDescent="0.35">
      <c r="B82" s="95"/>
      <c r="C82" s="96"/>
      <c r="D82" s="97"/>
      <c r="E82" s="113"/>
      <c r="F82" s="90"/>
      <c r="G82" s="91"/>
      <c r="H82" s="92"/>
      <c r="I82" s="105"/>
      <c r="J82" s="83"/>
      <c r="K82" s="83"/>
      <c r="L82" s="12"/>
      <c r="M82" s="28"/>
      <c r="N82" s="14"/>
      <c r="O82" s="11"/>
      <c r="P82" s="11"/>
      <c r="Q82" s="16"/>
      <c r="R82" s="2"/>
      <c r="S82" s="12"/>
      <c r="T82" s="17"/>
      <c r="U82" s="2"/>
      <c r="V82" s="18"/>
      <c r="W82" s="16"/>
    </row>
    <row r="83" spans="2:23" ht="18" x14ac:dyDescent="0.35">
      <c r="B83" s="95"/>
      <c r="C83" s="96"/>
      <c r="D83" s="97"/>
      <c r="E83" s="113"/>
      <c r="F83" s="90"/>
      <c r="G83" s="91"/>
      <c r="H83" s="92"/>
      <c r="I83" s="105"/>
      <c r="J83" s="83"/>
      <c r="K83" s="83"/>
      <c r="L83" s="12"/>
      <c r="M83" s="28"/>
      <c r="N83" s="14"/>
      <c r="O83" s="11"/>
      <c r="P83" s="11"/>
      <c r="Q83" s="16"/>
      <c r="R83" s="2"/>
      <c r="S83" s="12"/>
      <c r="T83" s="17"/>
      <c r="U83" s="2"/>
      <c r="V83" s="18"/>
      <c r="W83" s="16"/>
    </row>
    <row r="84" spans="2:23" ht="18" x14ac:dyDescent="0.35">
      <c r="B84" s="95"/>
      <c r="C84" s="96"/>
      <c r="D84" s="97"/>
      <c r="E84" s="113"/>
      <c r="F84" s="90"/>
      <c r="G84" s="91"/>
      <c r="H84" s="92"/>
      <c r="I84" s="105"/>
      <c r="J84" s="83"/>
      <c r="K84" s="83"/>
      <c r="L84" s="12"/>
      <c r="M84" s="28"/>
      <c r="N84" s="14"/>
      <c r="O84" s="11"/>
      <c r="P84" s="11"/>
      <c r="Q84" s="16"/>
      <c r="R84" s="2"/>
      <c r="S84" s="12"/>
      <c r="T84" s="17"/>
      <c r="U84" s="2"/>
      <c r="V84" s="18"/>
      <c r="W84" s="16"/>
    </row>
    <row r="85" spans="2:23" ht="18" x14ac:dyDescent="0.35">
      <c r="B85" s="95"/>
      <c r="C85" s="96"/>
      <c r="D85" s="97"/>
      <c r="E85" s="113"/>
      <c r="F85" s="90"/>
      <c r="G85" s="91"/>
      <c r="H85" s="92"/>
      <c r="I85" s="105"/>
      <c r="J85" s="83"/>
      <c r="K85" s="83"/>
      <c r="L85" s="12"/>
      <c r="M85" s="28"/>
      <c r="N85" s="14"/>
      <c r="O85" s="11"/>
      <c r="P85" s="11"/>
      <c r="Q85" s="16"/>
      <c r="R85" s="2"/>
      <c r="S85" s="12"/>
      <c r="T85" s="17"/>
      <c r="U85" s="2"/>
      <c r="V85" s="18"/>
      <c r="W85" s="16"/>
    </row>
    <row r="86" spans="2:23" ht="18" x14ac:dyDescent="0.35">
      <c r="B86" s="95"/>
      <c r="C86" s="96"/>
      <c r="D86" s="97"/>
      <c r="E86" s="113"/>
      <c r="F86" s="90"/>
      <c r="G86" s="91"/>
      <c r="H86" s="92"/>
      <c r="I86" s="105"/>
      <c r="J86" s="83"/>
      <c r="K86" s="83"/>
      <c r="L86" s="12"/>
      <c r="M86" s="28"/>
      <c r="N86" s="14"/>
      <c r="O86" s="11"/>
      <c r="P86" s="11"/>
      <c r="Q86" s="16"/>
      <c r="R86" s="2"/>
      <c r="S86" s="12"/>
      <c r="T86" s="17"/>
      <c r="U86" s="2"/>
      <c r="V86" s="18"/>
      <c r="W86" s="16"/>
    </row>
    <row r="87" spans="2:23" ht="18" x14ac:dyDescent="0.35">
      <c r="B87" s="95"/>
      <c r="C87" s="96"/>
      <c r="D87" s="97"/>
      <c r="E87" s="113"/>
      <c r="F87" s="90"/>
      <c r="G87" s="91"/>
      <c r="H87" s="92"/>
      <c r="I87" s="105"/>
      <c r="J87" s="83"/>
      <c r="K87" s="83"/>
      <c r="L87" s="12"/>
      <c r="M87" s="28"/>
      <c r="N87" s="14"/>
      <c r="O87" s="11"/>
      <c r="P87" s="11"/>
      <c r="Q87" s="16"/>
      <c r="R87" s="2"/>
      <c r="S87" s="12"/>
      <c r="T87" s="17"/>
      <c r="U87" s="2"/>
      <c r="V87" s="18"/>
      <c r="W87" s="16"/>
    </row>
    <row r="88" spans="2:23" ht="18" x14ac:dyDescent="0.35">
      <c r="B88" s="95"/>
      <c r="C88" s="96"/>
      <c r="D88" s="97"/>
      <c r="E88" s="113"/>
      <c r="F88" s="90"/>
      <c r="G88" s="91"/>
      <c r="H88" s="92"/>
      <c r="I88" s="105"/>
      <c r="J88" s="83"/>
      <c r="K88" s="83"/>
      <c r="L88" s="12"/>
      <c r="M88" s="28"/>
      <c r="N88" s="14"/>
      <c r="O88" s="11"/>
      <c r="P88" s="11"/>
      <c r="Q88" s="16"/>
      <c r="R88" s="2"/>
      <c r="S88" s="12"/>
      <c r="T88" s="17"/>
      <c r="U88" s="2"/>
      <c r="V88" s="18"/>
      <c r="W88" s="16"/>
    </row>
    <row r="89" spans="2:23" ht="18" x14ac:dyDescent="0.35">
      <c r="B89" s="95"/>
      <c r="C89" s="96"/>
      <c r="D89" s="97"/>
      <c r="E89" s="113"/>
      <c r="F89" s="90"/>
      <c r="G89" s="91"/>
      <c r="H89" s="92"/>
      <c r="I89" s="105"/>
      <c r="J89" s="83"/>
      <c r="K89" s="83"/>
      <c r="L89" s="12"/>
      <c r="M89" s="28"/>
      <c r="N89" s="14"/>
      <c r="O89" s="11"/>
      <c r="P89" s="11"/>
      <c r="Q89" s="16"/>
      <c r="R89" s="2"/>
      <c r="S89" s="12"/>
      <c r="T89" s="17"/>
      <c r="U89" s="2"/>
      <c r="V89" s="18"/>
      <c r="W89" s="16"/>
    </row>
    <row r="90" spans="2:23" ht="18" x14ac:dyDescent="0.35">
      <c r="B90" s="95"/>
      <c r="C90" s="96"/>
      <c r="D90" s="97"/>
      <c r="E90" s="113"/>
      <c r="F90" s="90"/>
      <c r="G90" s="91"/>
      <c r="H90" s="92"/>
      <c r="I90" s="105"/>
      <c r="J90" s="83"/>
      <c r="K90" s="83"/>
      <c r="L90" s="12"/>
      <c r="M90" s="28"/>
      <c r="N90" s="14"/>
      <c r="O90" s="11"/>
      <c r="P90" s="11"/>
      <c r="Q90" s="16"/>
      <c r="R90" s="2"/>
      <c r="S90" s="12"/>
      <c r="T90" s="17"/>
      <c r="U90" s="2"/>
      <c r="V90" s="18"/>
      <c r="W90" s="16"/>
    </row>
    <row r="91" spans="2:23" ht="18" x14ac:dyDescent="0.35">
      <c r="B91" s="95"/>
      <c r="C91" s="96"/>
      <c r="D91" s="97"/>
      <c r="E91" s="113"/>
      <c r="F91" s="90"/>
      <c r="G91" s="91"/>
      <c r="H91" s="92"/>
      <c r="I91" s="105"/>
      <c r="J91" s="83"/>
      <c r="K91" s="83"/>
      <c r="L91" s="12"/>
      <c r="M91" s="28"/>
      <c r="N91" s="14"/>
      <c r="O91" s="11"/>
      <c r="P91" s="11"/>
      <c r="Q91" s="16"/>
      <c r="R91" s="2"/>
      <c r="S91" s="12"/>
      <c r="T91" s="17"/>
      <c r="U91" s="2"/>
      <c r="V91" s="18"/>
      <c r="W91" s="16"/>
    </row>
    <row r="92" spans="2:23" ht="18" x14ac:dyDescent="0.35">
      <c r="B92" s="95"/>
      <c r="C92" s="96"/>
      <c r="D92" s="97"/>
      <c r="E92" s="113"/>
      <c r="F92" s="90"/>
      <c r="G92" s="91"/>
      <c r="H92" s="92"/>
      <c r="I92" s="105"/>
      <c r="J92" s="83"/>
      <c r="K92" s="83"/>
      <c r="L92" s="12"/>
      <c r="M92" s="28"/>
      <c r="N92" s="14"/>
      <c r="O92" s="11"/>
      <c r="P92" s="11"/>
      <c r="Q92" s="16"/>
      <c r="R92" s="2"/>
      <c r="S92" s="12"/>
      <c r="T92" s="17"/>
      <c r="U92" s="2"/>
      <c r="V92" s="18"/>
      <c r="W92" s="16"/>
    </row>
    <row r="93" spans="2:23" ht="18" x14ac:dyDescent="0.35">
      <c r="B93" s="95"/>
      <c r="C93" s="96"/>
      <c r="D93" s="97"/>
      <c r="E93" s="113"/>
      <c r="F93" s="90"/>
      <c r="G93" s="91"/>
      <c r="H93" s="92"/>
      <c r="I93" s="105"/>
      <c r="J93" s="83"/>
      <c r="K93" s="83"/>
      <c r="L93" s="12"/>
      <c r="M93" s="28"/>
      <c r="N93" s="14"/>
      <c r="O93" s="11"/>
      <c r="P93" s="11"/>
      <c r="Q93" s="16"/>
      <c r="R93" s="2"/>
      <c r="S93" s="12"/>
      <c r="T93" s="17"/>
      <c r="U93" s="2"/>
      <c r="V93" s="18"/>
      <c r="W93" s="16"/>
    </row>
    <row r="94" spans="2:23" ht="18" x14ac:dyDescent="0.35">
      <c r="B94" s="95"/>
      <c r="C94" s="96"/>
      <c r="D94" s="97"/>
      <c r="E94" s="113"/>
      <c r="F94" s="90"/>
      <c r="G94" s="91"/>
      <c r="H94" s="92"/>
      <c r="I94" s="105"/>
      <c r="J94" s="83"/>
      <c r="K94" s="83"/>
      <c r="L94" s="12"/>
      <c r="M94" s="28"/>
      <c r="N94" s="14"/>
      <c r="O94" s="11"/>
      <c r="P94" s="11"/>
      <c r="Q94" s="16"/>
      <c r="R94" s="2"/>
      <c r="S94" s="12"/>
      <c r="T94" s="17"/>
      <c r="U94" s="2"/>
      <c r="V94" s="18"/>
      <c r="W94" s="16"/>
    </row>
    <row r="95" spans="2:23" ht="18" x14ac:dyDescent="0.35">
      <c r="B95" s="95"/>
      <c r="C95" s="96"/>
      <c r="D95" s="97"/>
      <c r="E95" s="113"/>
      <c r="F95" s="90"/>
      <c r="G95" s="91"/>
      <c r="H95" s="92"/>
      <c r="I95" s="105"/>
      <c r="J95" s="83"/>
      <c r="K95" s="83"/>
      <c r="L95" s="12"/>
      <c r="M95" s="28"/>
      <c r="N95" s="14"/>
      <c r="O95" s="11"/>
      <c r="P95" s="11"/>
      <c r="Q95" s="16"/>
      <c r="R95" s="2"/>
      <c r="S95" s="12"/>
      <c r="T95" s="17"/>
      <c r="U95" s="2"/>
      <c r="V95" s="18"/>
      <c r="W95" s="16"/>
    </row>
    <row r="96" spans="2:23" ht="18" x14ac:dyDescent="0.35">
      <c r="B96" s="95"/>
      <c r="C96" s="96"/>
      <c r="D96" s="97"/>
      <c r="E96" s="113"/>
      <c r="F96" s="90"/>
      <c r="G96" s="91"/>
      <c r="H96" s="92"/>
      <c r="I96" s="105"/>
      <c r="J96" s="83"/>
      <c r="K96" s="83"/>
      <c r="L96" s="12"/>
      <c r="M96" s="28"/>
      <c r="N96" s="14"/>
      <c r="O96" s="11"/>
      <c r="P96" s="11"/>
      <c r="Q96" s="16"/>
      <c r="R96" s="2"/>
      <c r="S96" s="12"/>
      <c r="T96" s="17"/>
      <c r="U96" s="2"/>
      <c r="V96" s="18"/>
      <c r="W96" s="16"/>
    </row>
    <row r="97" spans="2:23" ht="18" x14ac:dyDescent="0.35">
      <c r="B97" s="95"/>
      <c r="C97" s="96"/>
      <c r="D97" s="97"/>
      <c r="E97" s="113"/>
      <c r="F97" s="90"/>
      <c r="G97" s="91"/>
      <c r="H97" s="92"/>
      <c r="I97" s="105"/>
      <c r="J97" s="83"/>
      <c r="K97" s="83"/>
      <c r="L97" s="12"/>
      <c r="M97" s="28"/>
      <c r="N97" s="14"/>
      <c r="O97" s="11"/>
      <c r="P97" s="11"/>
      <c r="Q97" s="16"/>
      <c r="R97" s="2"/>
      <c r="S97" s="12"/>
      <c r="T97" s="17"/>
      <c r="U97" s="2"/>
      <c r="V97" s="18"/>
      <c r="W97" s="16"/>
    </row>
    <row r="98" spans="2:23" ht="18" x14ac:dyDescent="0.35">
      <c r="B98" s="95"/>
      <c r="C98" s="96"/>
      <c r="D98" s="97"/>
      <c r="E98" s="113"/>
      <c r="F98" s="90"/>
      <c r="G98" s="91"/>
      <c r="H98" s="92"/>
      <c r="I98" s="105"/>
      <c r="J98" s="83"/>
      <c r="K98" s="83"/>
      <c r="L98" s="12"/>
      <c r="M98" s="28"/>
      <c r="N98" s="14"/>
      <c r="O98" s="11"/>
      <c r="P98" s="11"/>
      <c r="Q98" s="16"/>
      <c r="R98" s="2"/>
      <c r="S98" s="12"/>
      <c r="T98" s="17"/>
      <c r="U98" s="2"/>
      <c r="V98" s="18"/>
      <c r="W98" s="16"/>
    </row>
    <row r="99" spans="2:23" ht="18" x14ac:dyDescent="0.35">
      <c r="B99" s="95"/>
      <c r="C99" s="96"/>
      <c r="D99" s="97"/>
      <c r="E99" s="113"/>
      <c r="F99" s="90"/>
      <c r="G99" s="91"/>
      <c r="H99" s="92"/>
      <c r="I99" s="105"/>
      <c r="J99" s="83"/>
      <c r="K99" s="83"/>
      <c r="L99" s="12"/>
      <c r="M99" s="28"/>
      <c r="N99" s="14"/>
      <c r="O99" s="11"/>
      <c r="P99" s="11"/>
      <c r="Q99" s="16"/>
      <c r="R99" s="2"/>
      <c r="S99" s="12"/>
      <c r="T99" s="17"/>
      <c r="U99" s="2"/>
      <c r="V99" s="18"/>
      <c r="W99" s="16"/>
    </row>
    <row r="100" spans="2:23" ht="18" x14ac:dyDescent="0.35">
      <c r="B100" s="95"/>
      <c r="C100" s="96"/>
      <c r="D100" s="97"/>
      <c r="E100" s="113"/>
      <c r="F100" s="90"/>
      <c r="G100" s="91"/>
      <c r="H100" s="92"/>
      <c r="I100" s="105"/>
      <c r="J100" s="83"/>
      <c r="K100" s="83"/>
      <c r="L100" s="12"/>
      <c r="M100" s="28"/>
      <c r="N100" s="14"/>
      <c r="O100" s="11"/>
      <c r="P100" s="11"/>
      <c r="Q100" s="16"/>
      <c r="R100" s="2"/>
      <c r="S100" s="12"/>
      <c r="T100" s="17"/>
      <c r="U100" s="2"/>
      <c r="V100" s="18"/>
      <c r="W100" s="16"/>
    </row>
    <row r="101" spans="2:23" ht="18" x14ac:dyDescent="0.35">
      <c r="B101" s="95"/>
      <c r="C101" s="96"/>
      <c r="D101" s="97"/>
      <c r="E101" s="113"/>
      <c r="F101" s="90"/>
      <c r="G101" s="91"/>
      <c r="H101" s="92"/>
      <c r="I101" s="105"/>
      <c r="J101" s="83"/>
      <c r="K101" s="83"/>
      <c r="L101" s="12"/>
      <c r="M101" s="28"/>
      <c r="N101" s="14"/>
      <c r="O101" s="11"/>
      <c r="P101" s="11"/>
      <c r="Q101" s="16"/>
      <c r="R101" s="2"/>
      <c r="S101" s="12"/>
      <c r="T101" s="17"/>
      <c r="U101" s="2"/>
      <c r="V101" s="18"/>
      <c r="W101" s="16"/>
    </row>
    <row r="102" spans="2:23" ht="18" x14ac:dyDescent="0.35">
      <c r="B102" s="95"/>
      <c r="C102" s="96"/>
      <c r="D102" s="97"/>
      <c r="E102" s="113"/>
      <c r="F102" s="90"/>
      <c r="G102" s="91"/>
      <c r="H102" s="92"/>
      <c r="I102" s="105"/>
      <c r="J102" s="83"/>
      <c r="K102" s="83"/>
      <c r="L102" s="12"/>
      <c r="M102" s="28"/>
      <c r="N102" s="14"/>
      <c r="O102" s="11"/>
      <c r="P102" s="11"/>
      <c r="Q102" s="16"/>
      <c r="R102" s="2"/>
      <c r="S102" s="12"/>
      <c r="T102" s="17"/>
      <c r="U102" s="2"/>
      <c r="V102" s="18"/>
      <c r="W102" s="16"/>
    </row>
    <row r="103" spans="2:23" ht="18" x14ac:dyDescent="0.35">
      <c r="B103" s="95"/>
      <c r="C103" s="96"/>
      <c r="D103" s="97"/>
      <c r="E103" s="113"/>
      <c r="F103" s="90"/>
      <c r="G103" s="91"/>
      <c r="H103" s="92"/>
      <c r="I103" s="105"/>
      <c r="J103" s="83"/>
      <c r="K103" s="83"/>
      <c r="L103" s="12"/>
      <c r="M103" s="28"/>
      <c r="N103" s="14"/>
      <c r="O103" s="11"/>
      <c r="P103" s="11"/>
      <c r="Q103" s="16"/>
      <c r="R103" s="2"/>
      <c r="S103" s="12"/>
      <c r="T103" s="17"/>
      <c r="U103" s="2"/>
      <c r="V103" s="18"/>
      <c r="W103" s="16"/>
    </row>
    <row r="104" spans="2:23" ht="18" x14ac:dyDescent="0.35">
      <c r="B104" s="95"/>
      <c r="C104" s="96"/>
      <c r="D104" s="97"/>
      <c r="E104" s="113"/>
      <c r="F104" s="90"/>
      <c r="G104" s="91"/>
      <c r="H104" s="92"/>
      <c r="I104" s="105"/>
      <c r="J104" s="83"/>
      <c r="K104" s="83"/>
      <c r="L104" s="12"/>
      <c r="M104" s="28"/>
      <c r="N104" s="14"/>
      <c r="O104" s="11"/>
      <c r="P104" s="11"/>
      <c r="Q104" s="16"/>
      <c r="R104" s="2"/>
      <c r="S104" s="12"/>
      <c r="T104" s="17"/>
      <c r="U104" s="2"/>
      <c r="V104" s="18"/>
      <c r="W104" s="16"/>
    </row>
    <row r="105" spans="2:23" ht="18" x14ac:dyDescent="0.35">
      <c r="B105" s="95"/>
      <c r="C105" s="96"/>
      <c r="D105" s="97"/>
      <c r="E105" s="113"/>
      <c r="F105" s="90"/>
      <c r="G105" s="91"/>
      <c r="H105" s="92"/>
      <c r="I105" s="105"/>
      <c r="J105" s="83"/>
      <c r="K105" s="83"/>
      <c r="L105" s="12"/>
      <c r="M105" s="28"/>
      <c r="N105" s="14"/>
      <c r="O105" s="11"/>
      <c r="P105" s="11"/>
      <c r="Q105" s="16"/>
      <c r="R105" s="2"/>
      <c r="S105" s="12"/>
      <c r="T105" s="17"/>
      <c r="U105" s="2"/>
      <c r="V105" s="18"/>
      <c r="W105" s="16"/>
    </row>
    <row r="106" spans="2:23" ht="18" x14ac:dyDescent="0.35">
      <c r="B106" s="95"/>
      <c r="C106" s="96"/>
      <c r="D106" s="97"/>
      <c r="E106" s="113"/>
      <c r="F106" s="90"/>
      <c r="G106" s="91"/>
      <c r="H106" s="92"/>
      <c r="I106" s="105"/>
      <c r="J106" s="83"/>
      <c r="K106" s="83"/>
      <c r="L106" s="12"/>
      <c r="M106" s="28"/>
      <c r="N106" s="14"/>
      <c r="O106" s="11"/>
      <c r="P106" s="11"/>
      <c r="Q106" s="16"/>
      <c r="R106" s="2"/>
      <c r="S106" s="12"/>
      <c r="T106" s="17"/>
      <c r="U106" s="2"/>
      <c r="V106" s="18"/>
      <c r="W106" s="16"/>
    </row>
    <row r="107" spans="2:23" ht="18" x14ac:dyDescent="0.35">
      <c r="B107" s="95"/>
      <c r="C107" s="96"/>
      <c r="D107" s="97"/>
      <c r="E107" s="113"/>
      <c r="F107" s="90"/>
      <c r="G107" s="91"/>
      <c r="H107" s="92"/>
      <c r="I107" s="105"/>
      <c r="J107" s="83"/>
      <c r="K107" s="83"/>
      <c r="L107" s="12"/>
      <c r="M107" s="28"/>
      <c r="N107" s="14"/>
      <c r="O107" s="11"/>
      <c r="P107" s="11"/>
      <c r="Q107" s="16"/>
      <c r="R107" s="2"/>
      <c r="S107" s="12"/>
      <c r="T107" s="17"/>
      <c r="U107" s="2"/>
      <c r="V107" s="18"/>
      <c r="W107" s="16"/>
    </row>
    <row r="108" spans="2:23" ht="18" x14ac:dyDescent="0.35">
      <c r="B108" s="95"/>
      <c r="C108" s="96"/>
      <c r="D108" s="97"/>
      <c r="E108" s="113"/>
      <c r="F108" s="90"/>
      <c r="G108" s="91"/>
      <c r="H108" s="92"/>
      <c r="I108" s="105"/>
      <c r="J108" s="83"/>
      <c r="K108" s="83"/>
      <c r="L108" s="12"/>
      <c r="M108" s="28"/>
      <c r="N108" s="14"/>
      <c r="O108" s="11"/>
      <c r="P108" s="11"/>
      <c r="Q108" s="16"/>
      <c r="R108" s="2"/>
      <c r="S108" s="12"/>
      <c r="T108" s="17"/>
      <c r="U108" s="2"/>
      <c r="V108" s="18"/>
      <c r="W108" s="16"/>
    </row>
    <row r="109" spans="2:23" ht="18" x14ac:dyDescent="0.35">
      <c r="B109" s="95"/>
      <c r="C109" s="96"/>
      <c r="D109" s="97"/>
      <c r="E109" s="113"/>
      <c r="F109" s="90"/>
      <c r="G109" s="91"/>
      <c r="H109" s="92"/>
      <c r="I109" s="105"/>
      <c r="J109" s="83"/>
      <c r="K109" s="83"/>
      <c r="L109" s="12"/>
      <c r="M109" s="28"/>
      <c r="N109" s="14"/>
      <c r="O109" s="11"/>
      <c r="P109" s="11"/>
      <c r="Q109" s="16"/>
      <c r="R109" s="2"/>
      <c r="S109" s="12"/>
      <c r="T109" s="17"/>
      <c r="U109" s="2"/>
      <c r="V109" s="18"/>
      <c r="W109" s="16"/>
    </row>
    <row r="110" spans="2:23" ht="18" x14ac:dyDescent="0.35">
      <c r="B110" s="95"/>
      <c r="C110" s="96"/>
      <c r="D110" s="97"/>
      <c r="E110" s="113"/>
      <c r="F110" s="90"/>
      <c r="G110" s="91"/>
      <c r="H110" s="92"/>
      <c r="I110" s="105"/>
      <c r="J110" s="83"/>
      <c r="K110" s="83"/>
      <c r="L110" s="12"/>
      <c r="M110" s="28"/>
      <c r="N110" s="14"/>
      <c r="O110" s="11"/>
      <c r="P110" s="11"/>
      <c r="Q110" s="16"/>
      <c r="R110" s="2"/>
      <c r="S110" s="12"/>
      <c r="T110" s="17"/>
      <c r="U110" s="2"/>
      <c r="V110" s="18"/>
      <c r="W110" s="16"/>
    </row>
    <row r="111" spans="2:23" ht="18" x14ac:dyDescent="0.35">
      <c r="B111" s="95"/>
      <c r="C111" s="96"/>
      <c r="D111" s="97"/>
      <c r="E111" s="113"/>
      <c r="F111" s="90"/>
      <c r="G111" s="91"/>
      <c r="H111" s="92"/>
      <c r="I111" s="105"/>
      <c r="J111" s="83"/>
      <c r="K111" s="83"/>
      <c r="L111" s="12"/>
      <c r="M111" s="28"/>
      <c r="N111" s="14"/>
      <c r="O111" s="11"/>
      <c r="P111" s="11"/>
      <c r="Q111" s="16"/>
      <c r="R111" s="2"/>
      <c r="S111" s="12"/>
      <c r="T111" s="17"/>
      <c r="U111" s="2"/>
      <c r="V111" s="18"/>
      <c r="W111" s="16"/>
    </row>
    <row r="112" spans="2:23" ht="18" x14ac:dyDescent="0.35">
      <c r="B112" s="95"/>
      <c r="C112" s="96"/>
      <c r="D112" s="97"/>
      <c r="E112" s="113"/>
      <c r="F112" s="90"/>
      <c r="G112" s="91"/>
      <c r="H112" s="92"/>
      <c r="I112" s="105"/>
      <c r="J112" s="83"/>
      <c r="K112" s="83"/>
      <c r="L112" s="12"/>
      <c r="M112" s="28"/>
      <c r="N112" s="14"/>
      <c r="O112" s="11"/>
      <c r="P112" s="11"/>
      <c r="Q112" s="16"/>
      <c r="R112" s="2"/>
      <c r="S112" s="12"/>
      <c r="T112" s="17"/>
      <c r="U112" s="2"/>
      <c r="V112" s="18"/>
      <c r="W112" s="16"/>
    </row>
    <row r="113" spans="2:23" ht="18" x14ac:dyDescent="0.35">
      <c r="B113" s="95"/>
      <c r="C113" s="96"/>
      <c r="D113" s="97"/>
      <c r="E113" s="113"/>
      <c r="F113" s="90"/>
      <c r="G113" s="91"/>
      <c r="H113" s="92"/>
      <c r="I113" s="105"/>
      <c r="J113" s="83"/>
      <c r="K113" s="83"/>
      <c r="L113" s="12"/>
      <c r="M113" s="28"/>
      <c r="N113" s="14"/>
      <c r="O113" s="11"/>
      <c r="P113" s="11"/>
      <c r="Q113" s="16"/>
      <c r="R113" s="2"/>
      <c r="S113" s="12"/>
      <c r="T113" s="17"/>
      <c r="U113" s="2"/>
      <c r="V113" s="18"/>
      <c r="W113" s="16"/>
    </row>
    <row r="114" spans="2:23" ht="18" x14ac:dyDescent="0.35">
      <c r="B114" s="95"/>
      <c r="C114" s="96"/>
      <c r="D114" s="97"/>
      <c r="E114" s="113"/>
      <c r="F114" s="90"/>
      <c r="G114" s="91"/>
      <c r="H114" s="92"/>
      <c r="I114" s="105"/>
      <c r="J114" s="83"/>
      <c r="K114" s="83"/>
      <c r="L114" s="12"/>
      <c r="M114" s="28"/>
      <c r="N114" s="14"/>
      <c r="O114" s="11"/>
      <c r="P114" s="11"/>
      <c r="Q114" s="16"/>
      <c r="R114" s="2"/>
      <c r="S114" s="12"/>
      <c r="T114" s="17"/>
      <c r="U114" s="2"/>
      <c r="V114" s="18"/>
      <c r="W114" s="16"/>
    </row>
    <row r="115" spans="2:23" ht="18" x14ac:dyDescent="0.35">
      <c r="B115" s="95"/>
      <c r="C115" s="96"/>
      <c r="D115" s="97"/>
      <c r="E115" s="113"/>
      <c r="F115" s="90"/>
      <c r="G115" s="91"/>
      <c r="H115" s="92"/>
      <c r="I115" s="105"/>
      <c r="J115" s="83"/>
      <c r="K115" s="83"/>
      <c r="L115" s="12"/>
      <c r="M115" s="28"/>
      <c r="N115" s="14"/>
      <c r="O115" s="11"/>
      <c r="P115" s="11"/>
      <c r="Q115" s="16"/>
      <c r="R115" s="2"/>
      <c r="S115" s="12"/>
      <c r="T115" s="17"/>
      <c r="U115" s="2"/>
      <c r="V115" s="18"/>
      <c r="W115" s="16"/>
    </row>
    <row r="116" spans="2:23" ht="18" x14ac:dyDescent="0.35">
      <c r="B116" s="95"/>
      <c r="C116" s="96"/>
      <c r="D116" s="97"/>
      <c r="E116" s="113"/>
      <c r="F116" s="90"/>
      <c r="G116" s="91"/>
      <c r="H116" s="92"/>
      <c r="I116" s="105"/>
      <c r="J116" s="83"/>
      <c r="K116" s="83"/>
      <c r="L116" s="12"/>
      <c r="M116" s="28"/>
      <c r="N116" s="14"/>
      <c r="O116" s="11"/>
      <c r="P116" s="11"/>
      <c r="Q116" s="16"/>
      <c r="R116" s="2"/>
      <c r="S116" s="12"/>
      <c r="T116" s="17"/>
      <c r="U116" s="2"/>
      <c r="V116" s="18"/>
      <c r="W116" s="16"/>
    </row>
    <row r="117" spans="2:23" ht="18" x14ac:dyDescent="0.35">
      <c r="B117" s="95"/>
      <c r="C117" s="96"/>
      <c r="D117" s="97"/>
      <c r="E117" s="113"/>
      <c r="F117" s="90"/>
      <c r="G117" s="91"/>
      <c r="H117" s="92"/>
      <c r="I117" s="105"/>
      <c r="J117" s="83"/>
      <c r="K117" s="83"/>
      <c r="L117" s="12"/>
      <c r="M117" s="28"/>
      <c r="N117" s="14"/>
      <c r="O117" s="11"/>
      <c r="P117" s="11"/>
      <c r="Q117" s="16"/>
      <c r="R117" s="2"/>
      <c r="S117" s="12"/>
      <c r="T117" s="17"/>
      <c r="U117" s="2"/>
      <c r="V117" s="18"/>
      <c r="W117" s="16"/>
    </row>
    <row r="118" spans="2:23" ht="18" x14ac:dyDescent="0.35">
      <c r="B118" s="95"/>
      <c r="C118" s="96"/>
      <c r="D118" s="97"/>
      <c r="E118" s="113"/>
      <c r="F118" s="90"/>
      <c r="G118" s="91"/>
      <c r="H118" s="92"/>
      <c r="I118" s="105"/>
      <c r="J118" s="83"/>
      <c r="K118" s="83"/>
      <c r="L118" s="12"/>
      <c r="M118" s="28"/>
      <c r="N118" s="14"/>
      <c r="O118" s="11"/>
      <c r="P118" s="11"/>
      <c r="Q118" s="16"/>
      <c r="R118" s="2"/>
      <c r="S118" s="12"/>
      <c r="T118" s="17"/>
      <c r="U118" s="2"/>
      <c r="V118" s="18"/>
      <c r="W118" s="16"/>
    </row>
    <row r="119" spans="2:23" ht="18" x14ac:dyDescent="0.35">
      <c r="B119" s="95"/>
      <c r="C119" s="96"/>
      <c r="D119" s="97"/>
      <c r="E119" s="113"/>
      <c r="F119" s="90"/>
      <c r="G119" s="91"/>
      <c r="H119" s="92"/>
      <c r="I119" s="105"/>
      <c r="J119" s="83"/>
      <c r="K119" s="83"/>
      <c r="L119" s="12"/>
      <c r="M119" s="28"/>
      <c r="N119" s="14"/>
      <c r="O119" s="11"/>
      <c r="P119" s="11"/>
      <c r="Q119" s="16"/>
      <c r="R119" s="2"/>
      <c r="S119" s="12"/>
      <c r="T119" s="17"/>
      <c r="U119" s="2"/>
      <c r="V119" s="18"/>
      <c r="W119" s="16"/>
    </row>
    <row r="120" spans="2:23" ht="18" x14ac:dyDescent="0.35">
      <c r="B120" s="95"/>
      <c r="C120" s="96"/>
      <c r="D120" s="97"/>
      <c r="E120" s="113"/>
      <c r="F120" s="90"/>
      <c r="G120" s="91"/>
      <c r="H120" s="92"/>
      <c r="I120" s="105"/>
      <c r="J120" s="83"/>
      <c r="K120" s="83"/>
      <c r="L120" s="12"/>
      <c r="M120" s="28"/>
      <c r="N120" s="14"/>
      <c r="O120" s="11"/>
      <c r="P120" s="11"/>
      <c r="Q120" s="16"/>
      <c r="R120" s="2"/>
      <c r="S120" s="12"/>
      <c r="T120" s="17"/>
      <c r="U120" s="2"/>
      <c r="V120" s="18"/>
      <c r="W120" s="16"/>
    </row>
    <row r="121" spans="2:23" ht="18" x14ac:dyDescent="0.35">
      <c r="B121" s="95"/>
      <c r="C121" s="96"/>
      <c r="D121" s="97"/>
      <c r="E121" s="113"/>
      <c r="F121" s="90"/>
      <c r="G121" s="91"/>
      <c r="H121" s="92"/>
      <c r="I121" s="105"/>
      <c r="J121" s="83"/>
      <c r="K121" s="83"/>
      <c r="L121" s="12"/>
      <c r="M121" s="28"/>
      <c r="N121" s="14"/>
      <c r="O121" s="11"/>
      <c r="P121" s="11"/>
      <c r="Q121" s="16"/>
      <c r="R121" s="2"/>
      <c r="S121" s="12"/>
      <c r="T121" s="17"/>
      <c r="U121" s="2"/>
      <c r="V121" s="18"/>
      <c r="W121" s="16"/>
    </row>
    <row r="122" spans="2:23" ht="18" x14ac:dyDescent="0.35">
      <c r="B122" s="95"/>
      <c r="C122" s="96"/>
      <c r="D122" s="97"/>
      <c r="E122" s="113"/>
      <c r="F122" s="99"/>
      <c r="G122" s="100"/>
      <c r="H122" s="101"/>
      <c r="I122" s="105"/>
      <c r="J122" s="83"/>
      <c r="K122" s="83"/>
      <c r="L122" s="12"/>
      <c r="M122" s="28"/>
      <c r="N122" s="14"/>
      <c r="O122" s="11"/>
      <c r="P122" s="11"/>
      <c r="Q122" s="16"/>
      <c r="R122" s="2"/>
      <c r="S122" s="12"/>
      <c r="T122" s="17"/>
      <c r="U122" s="2"/>
      <c r="V122" s="18"/>
      <c r="W122" s="16"/>
    </row>
    <row r="123" spans="2:23" ht="18" x14ac:dyDescent="0.35">
      <c r="B123" s="95"/>
      <c r="C123" s="96"/>
      <c r="D123" s="97"/>
      <c r="E123" s="113"/>
      <c r="F123" s="99"/>
      <c r="G123" s="100"/>
      <c r="H123" s="101"/>
      <c r="I123" s="105"/>
      <c r="J123" s="83"/>
      <c r="K123" s="83"/>
      <c r="L123" s="12"/>
      <c r="M123" s="28"/>
      <c r="N123" s="14"/>
      <c r="O123" s="11"/>
      <c r="P123" s="11"/>
      <c r="Q123" s="16"/>
      <c r="R123" s="2"/>
      <c r="S123" s="12"/>
      <c r="T123" s="17"/>
      <c r="U123" s="2"/>
      <c r="V123" s="18"/>
      <c r="W123" s="16"/>
    </row>
    <row r="124" spans="2:23" ht="18" x14ac:dyDescent="0.35">
      <c r="B124" s="95"/>
      <c r="C124" s="96"/>
      <c r="D124" s="97"/>
      <c r="E124" s="113"/>
      <c r="F124" s="99"/>
      <c r="G124" s="100"/>
      <c r="H124" s="101"/>
      <c r="I124" s="105"/>
      <c r="J124" s="83"/>
      <c r="K124" s="83"/>
      <c r="L124" s="12"/>
      <c r="M124" s="28"/>
      <c r="N124" s="14"/>
      <c r="O124" s="11"/>
      <c r="P124" s="11"/>
      <c r="Q124" s="16"/>
      <c r="R124" s="2"/>
      <c r="S124" s="12"/>
      <c r="T124" s="17"/>
      <c r="U124" s="2"/>
      <c r="V124" s="18"/>
      <c r="W124" s="16"/>
    </row>
    <row r="125" spans="2:23" ht="18" x14ac:dyDescent="0.35">
      <c r="B125" s="95"/>
      <c r="C125" s="96"/>
      <c r="D125" s="97"/>
      <c r="E125" s="113"/>
      <c r="F125" s="99"/>
      <c r="G125" s="100"/>
      <c r="H125" s="101"/>
      <c r="I125" s="105"/>
      <c r="J125" s="83"/>
      <c r="K125" s="83"/>
      <c r="L125" s="12"/>
      <c r="M125" s="28"/>
      <c r="N125" s="14"/>
      <c r="O125" s="11"/>
      <c r="P125" s="11"/>
      <c r="Q125" s="16"/>
      <c r="R125" s="2"/>
      <c r="S125" s="12"/>
      <c r="T125" s="17"/>
      <c r="U125" s="2"/>
      <c r="V125" s="18"/>
      <c r="W125" s="16"/>
    </row>
    <row r="126" spans="2:23" ht="18" x14ac:dyDescent="0.35">
      <c r="B126" s="95"/>
      <c r="C126" s="96"/>
      <c r="D126" s="97"/>
      <c r="E126" s="113"/>
      <c r="F126" s="99"/>
      <c r="G126" s="100"/>
      <c r="H126" s="101"/>
      <c r="I126" s="105"/>
      <c r="J126" s="83"/>
      <c r="K126" s="83"/>
      <c r="L126" s="12"/>
      <c r="M126" s="28"/>
      <c r="N126" s="14"/>
      <c r="O126" s="11"/>
      <c r="P126" s="11"/>
      <c r="Q126" s="16"/>
      <c r="R126" s="2"/>
      <c r="S126" s="12"/>
      <c r="T126" s="17"/>
      <c r="U126" s="2"/>
      <c r="V126" s="18"/>
      <c r="W126" s="16"/>
    </row>
    <row r="127" spans="2:23" ht="18" x14ac:dyDescent="0.35">
      <c r="B127" s="95"/>
      <c r="C127" s="96"/>
      <c r="D127" s="97"/>
      <c r="E127" s="113"/>
      <c r="F127" s="99"/>
      <c r="G127" s="100"/>
      <c r="H127" s="101"/>
      <c r="I127" s="105"/>
      <c r="J127" s="83"/>
      <c r="K127" s="83"/>
      <c r="L127" s="12"/>
      <c r="M127" s="28"/>
      <c r="N127" s="14"/>
      <c r="O127" s="11"/>
      <c r="P127" s="11"/>
      <c r="Q127" s="16"/>
      <c r="R127" s="2"/>
      <c r="S127" s="12"/>
      <c r="T127" s="17"/>
      <c r="U127" s="2"/>
      <c r="V127" s="18"/>
      <c r="W127" s="16"/>
    </row>
    <row r="128" spans="2:23" ht="18" x14ac:dyDescent="0.35">
      <c r="B128" s="95"/>
      <c r="C128" s="96"/>
      <c r="D128" s="97"/>
      <c r="E128" s="113"/>
      <c r="F128" s="99"/>
      <c r="G128" s="100"/>
      <c r="H128" s="101"/>
      <c r="I128" s="105"/>
      <c r="J128" s="83"/>
      <c r="K128" s="83"/>
      <c r="L128" s="12"/>
      <c r="M128" s="28"/>
      <c r="N128" s="14"/>
      <c r="O128" s="11"/>
      <c r="P128" s="11"/>
      <c r="Q128" s="16"/>
      <c r="R128" s="2"/>
      <c r="S128" s="12"/>
      <c r="T128" s="17"/>
      <c r="U128" s="2"/>
      <c r="V128" s="18"/>
      <c r="W128" s="16"/>
    </row>
    <row r="129" spans="1:23" ht="18.600000000000001" thickBot="1" x14ac:dyDescent="0.4">
      <c r="B129" s="114"/>
      <c r="C129" s="115"/>
      <c r="D129" s="116"/>
      <c r="E129" s="113"/>
      <c r="F129" s="117"/>
      <c r="G129" s="118"/>
      <c r="H129" s="119"/>
      <c r="I129" s="105"/>
      <c r="J129" s="83"/>
      <c r="K129" s="83"/>
      <c r="L129" s="30"/>
      <c r="M129" s="31"/>
      <c r="N129" s="32"/>
      <c r="O129" s="29"/>
      <c r="P129" s="29"/>
      <c r="Q129" s="33"/>
      <c r="R129" s="2"/>
      <c r="S129" s="30"/>
      <c r="T129" s="34"/>
      <c r="U129" s="2"/>
      <c r="V129" s="35"/>
      <c r="W129" s="33"/>
    </row>
    <row r="130" spans="1:23" ht="18.600000000000001" thickBot="1" x14ac:dyDescent="0.4">
      <c r="A130" s="120" t="s">
        <v>15</v>
      </c>
      <c r="B130" s="121">
        <f>SUM(B9:B129)</f>
        <v>344</v>
      </c>
      <c r="C130" s="122"/>
      <c r="D130" s="121"/>
      <c r="E130" s="123">
        <f>SUM(E9:E129)</f>
        <v>716.09999999999991</v>
      </c>
      <c r="F130" s="124">
        <f>SUM(F9:F129)</f>
        <v>354.89999999999992</v>
      </c>
      <c r="G130" s="82"/>
      <c r="H130" s="125"/>
      <c r="I130" s="125">
        <f>SUM(I9:I129)</f>
        <v>3690</v>
      </c>
      <c r="J130" s="83"/>
      <c r="K130" s="83"/>
      <c r="L130" s="126"/>
      <c r="M130" s="126">
        <f>SUM(M9:M129)</f>
        <v>898.5</v>
      </c>
      <c r="N130" s="127">
        <f>SUM(N9:N129)</f>
        <v>35055.949999999997</v>
      </c>
      <c r="O130" s="82"/>
      <c r="P130" s="82">
        <f>SUM(P9:P129)</f>
        <v>0</v>
      </c>
      <c r="Q130" s="128">
        <f>SUM(Q9:Q129)</f>
        <v>0</v>
      </c>
      <c r="R130" s="83"/>
      <c r="S130" s="84"/>
      <c r="T130" s="129">
        <f>SUM(T9:T129)</f>
        <v>100</v>
      </c>
      <c r="U130" s="83"/>
      <c r="V130" s="82"/>
      <c r="W130" s="130">
        <f>SUM(W9:W129)</f>
        <v>0</v>
      </c>
    </row>
  </sheetData>
  <sheetProtection algorithmName="SHA-512" hashValue="2VCsXNzGtXIFSv6YrhbkJNd2MZo2ePC5LMqn2aGIZ/3wyR48azLeXPcysfWQvlJEcpo9PemGcOYrpHhnz+M3/g==" saltValue="sJE6BtwTYpqnB3uj1aOV/Q==" spinCount="100000" sheet="1" objects="1" scenarios="1"/>
  <mergeCells count="8">
    <mergeCell ref="V5:W5"/>
    <mergeCell ref="Y5:Z5"/>
    <mergeCell ref="E1:G1"/>
    <mergeCell ref="B2:C2"/>
    <mergeCell ref="B3:C3"/>
    <mergeCell ref="B5:I5"/>
    <mergeCell ref="L5:Q5"/>
    <mergeCell ref="S5:T5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6EE375-379B-44BE-855A-B1D7AD26D59F}">
  <sheetPr codeName="Sheet51"/>
  <dimension ref="A1:Z130"/>
  <sheetViews>
    <sheetView topLeftCell="M1" zoomScale="80" zoomScaleNormal="80" workbookViewId="0">
      <selection activeCell="T9" sqref="T9"/>
    </sheetView>
  </sheetViews>
  <sheetFormatPr defaultColWidth="9.109375" defaultRowHeight="14.4" x14ac:dyDescent="0.3"/>
  <cols>
    <col min="1" max="1" width="15.5546875" style="36" customWidth="1"/>
    <col min="2" max="2" width="15.88671875" style="36" customWidth="1"/>
    <col min="3" max="3" width="20" style="76" customWidth="1"/>
    <col min="4" max="4" width="20.33203125" style="36" customWidth="1"/>
    <col min="5" max="5" width="22.33203125" style="36" customWidth="1"/>
    <col min="6" max="6" width="14.6640625" style="36" customWidth="1"/>
    <col min="7" max="7" width="22" style="76" customWidth="1"/>
    <col min="8" max="8" width="18.88671875" style="36" customWidth="1"/>
    <col min="9" max="9" width="23" style="36" customWidth="1"/>
    <col min="10" max="11" width="9.109375" style="36"/>
    <col min="12" max="12" width="20.6640625" style="76" customWidth="1"/>
    <col min="13" max="13" width="15.44140625" style="76" customWidth="1"/>
    <col min="14" max="14" width="22.6640625" style="36" customWidth="1"/>
    <col min="15" max="15" width="20.5546875" style="76" customWidth="1"/>
    <col min="16" max="16" width="13.33203125" style="76" customWidth="1"/>
    <col min="17" max="17" width="21.5546875" style="76" customWidth="1"/>
    <col min="18" max="18" width="9.109375" style="36"/>
    <col min="19" max="19" width="22" style="76" customWidth="1"/>
    <col min="20" max="20" width="22.33203125" style="76" customWidth="1"/>
    <col min="21" max="21" width="9.109375" style="36"/>
    <col min="22" max="22" width="21.88671875" style="76" customWidth="1"/>
    <col min="23" max="23" width="23.109375" style="76" customWidth="1"/>
    <col min="24" max="24" width="9.109375" style="36"/>
    <col min="25" max="25" width="21.33203125" style="36" customWidth="1"/>
    <col min="26" max="26" width="21.88671875" style="36" customWidth="1"/>
    <col min="27" max="16384" width="9.109375" style="36"/>
  </cols>
  <sheetData>
    <row r="1" spans="2:26" ht="21" x14ac:dyDescent="0.4">
      <c r="E1" s="189">
        <v>44174</v>
      </c>
      <c r="F1" s="189"/>
      <c r="G1" s="189"/>
    </row>
    <row r="2" spans="2:26" ht="18" x14ac:dyDescent="0.35">
      <c r="B2" s="190" t="s">
        <v>0</v>
      </c>
      <c r="C2" s="190"/>
      <c r="D2" s="1">
        <v>8920</v>
      </c>
    </row>
    <row r="3" spans="2:26" ht="18" x14ac:dyDescent="0.35">
      <c r="B3" s="190" t="s">
        <v>1</v>
      </c>
      <c r="C3" s="190"/>
      <c r="D3" s="77">
        <f>(D2-E130-I130)</f>
        <v>1469.3899999999994</v>
      </c>
    </row>
    <row r="5" spans="2:26" ht="36.6" x14ac:dyDescent="0.7">
      <c r="B5" s="187" t="s">
        <v>2</v>
      </c>
      <c r="C5" s="187"/>
      <c r="D5" s="187"/>
      <c r="E5" s="187"/>
      <c r="F5" s="187"/>
      <c r="G5" s="187"/>
      <c r="H5" s="187"/>
      <c r="I5" s="187"/>
      <c r="L5" s="187" t="s">
        <v>3</v>
      </c>
      <c r="M5" s="187"/>
      <c r="N5" s="187"/>
      <c r="O5" s="187"/>
      <c r="P5" s="187"/>
      <c r="Q5" s="187"/>
      <c r="S5" s="191" t="s">
        <v>4</v>
      </c>
      <c r="T5" s="191"/>
      <c r="V5" s="187" t="s">
        <v>5</v>
      </c>
      <c r="W5" s="187"/>
      <c r="Y5" s="188" t="s">
        <v>105</v>
      </c>
      <c r="Z5" s="187"/>
    </row>
    <row r="7" spans="2:26" ht="15" thickBot="1" x14ac:dyDescent="0.35"/>
    <row r="8" spans="2:26" ht="18.600000000000001" thickBot="1" x14ac:dyDescent="0.4">
      <c r="B8" s="78" t="s">
        <v>6</v>
      </c>
      <c r="C8" s="79" t="s">
        <v>7</v>
      </c>
      <c r="D8" s="78" t="s">
        <v>8</v>
      </c>
      <c r="E8" s="80" t="s">
        <v>9</v>
      </c>
      <c r="F8" s="81" t="s">
        <v>6</v>
      </c>
      <c r="G8" s="81" t="s">
        <v>10</v>
      </c>
      <c r="H8" s="81" t="s">
        <v>8</v>
      </c>
      <c r="I8" s="82" t="s">
        <v>9</v>
      </c>
      <c r="J8" s="83"/>
      <c r="K8" s="83"/>
      <c r="L8" s="84" t="s">
        <v>11</v>
      </c>
      <c r="M8" s="84" t="s">
        <v>6</v>
      </c>
      <c r="N8" s="84" t="s">
        <v>9</v>
      </c>
      <c r="O8" s="82" t="s">
        <v>12</v>
      </c>
      <c r="P8" s="82" t="s">
        <v>6</v>
      </c>
      <c r="Q8" s="82" t="s">
        <v>9</v>
      </c>
      <c r="R8" s="83"/>
      <c r="S8" s="84" t="s">
        <v>13</v>
      </c>
      <c r="T8" s="85" t="s">
        <v>9</v>
      </c>
      <c r="U8" s="83"/>
      <c r="V8" s="82" t="s">
        <v>14</v>
      </c>
      <c r="W8" s="82" t="s">
        <v>9</v>
      </c>
      <c r="Y8" s="146" t="s">
        <v>106</v>
      </c>
      <c r="Z8" s="147" t="s">
        <v>107</v>
      </c>
    </row>
    <row r="9" spans="2:26" ht="18" x14ac:dyDescent="0.35">
      <c r="B9" s="86">
        <v>0.4</v>
      </c>
      <c r="C9" s="87" t="s">
        <v>76</v>
      </c>
      <c r="D9" s="88">
        <v>2.4</v>
      </c>
      <c r="E9" s="89">
        <v>0.96</v>
      </c>
      <c r="F9" s="90">
        <v>0.4</v>
      </c>
      <c r="G9" s="91" t="s">
        <v>94</v>
      </c>
      <c r="H9" s="92">
        <v>10</v>
      </c>
      <c r="I9" s="93">
        <v>4</v>
      </c>
      <c r="J9" s="83"/>
      <c r="K9" s="83"/>
      <c r="L9" s="3"/>
      <c r="M9" s="4"/>
      <c r="N9" s="5"/>
      <c r="O9" s="6" t="s">
        <v>126</v>
      </c>
      <c r="P9" s="7">
        <v>2080</v>
      </c>
      <c r="Q9" s="8">
        <v>5512</v>
      </c>
      <c r="R9" s="2"/>
      <c r="S9" s="3" t="s">
        <v>125</v>
      </c>
      <c r="T9" s="9">
        <v>50</v>
      </c>
      <c r="U9" s="2"/>
      <c r="V9" s="10"/>
      <c r="W9" s="8"/>
      <c r="Y9" s="148" t="s">
        <v>88</v>
      </c>
      <c r="Z9" s="151">
        <f>SUMIF($C$9:$C$129, Y9, $B$9:$B$129)</f>
        <v>4</v>
      </c>
    </row>
    <row r="10" spans="2:26" ht="18" x14ac:dyDescent="0.35">
      <c r="B10" s="95">
        <v>3</v>
      </c>
      <c r="C10" s="96" t="s">
        <v>76</v>
      </c>
      <c r="D10" s="97">
        <v>2.4</v>
      </c>
      <c r="E10" s="98">
        <v>7.1999999999999993</v>
      </c>
      <c r="F10" s="90">
        <v>0.4</v>
      </c>
      <c r="G10" s="91" t="s">
        <v>18</v>
      </c>
      <c r="H10" s="92">
        <v>12</v>
      </c>
      <c r="I10" s="93">
        <v>4.8000000000000007</v>
      </c>
      <c r="J10" s="83"/>
      <c r="K10" s="83"/>
      <c r="L10" s="12"/>
      <c r="M10" s="13"/>
      <c r="N10" s="14"/>
      <c r="O10" s="11" t="s">
        <v>127</v>
      </c>
      <c r="P10" s="15">
        <v>3080</v>
      </c>
      <c r="Q10" s="16">
        <v>10010</v>
      </c>
      <c r="R10" s="2"/>
      <c r="S10" s="12"/>
      <c r="T10" s="17"/>
      <c r="U10" s="2"/>
      <c r="V10" s="18"/>
      <c r="W10" s="8"/>
      <c r="Y10" s="149" t="s">
        <v>76</v>
      </c>
      <c r="Z10" s="151">
        <f t="shared" ref="Z10:Z11" si="0">SUMIF($C$9:$C$129, Y10, $B$9:$B$129)</f>
        <v>189.9</v>
      </c>
    </row>
    <row r="11" spans="2:26" ht="18" x14ac:dyDescent="0.35">
      <c r="B11" s="95">
        <v>7</v>
      </c>
      <c r="C11" s="96" t="s">
        <v>77</v>
      </c>
      <c r="D11" s="97">
        <v>2.1</v>
      </c>
      <c r="E11" s="98">
        <v>14.700000000000001</v>
      </c>
      <c r="F11" s="90">
        <v>0.4</v>
      </c>
      <c r="G11" s="91" t="s">
        <v>90</v>
      </c>
      <c r="H11" s="92">
        <v>90</v>
      </c>
      <c r="I11" s="93">
        <v>36</v>
      </c>
      <c r="J11" s="83"/>
      <c r="K11" s="83"/>
      <c r="L11" s="12"/>
      <c r="M11" s="13"/>
      <c r="N11" s="14"/>
      <c r="O11" s="11" t="s">
        <v>128</v>
      </c>
      <c r="P11" s="15">
        <v>700</v>
      </c>
      <c r="Q11" s="16">
        <v>1260</v>
      </c>
      <c r="R11" s="2"/>
      <c r="S11" s="12"/>
      <c r="T11" s="17"/>
      <c r="U11" s="2"/>
      <c r="V11" s="18"/>
      <c r="W11" s="8"/>
      <c r="Y11" s="149" t="s">
        <v>77</v>
      </c>
      <c r="Z11" s="151">
        <f t="shared" si="0"/>
        <v>57.5</v>
      </c>
    </row>
    <row r="12" spans="2:26" ht="18" x14ac:dyDescent="0.35">
      <c r="B12" s="95">
        <v>3</v>
      </c>
      <c r="C12" s="96" t="s">
        <v>77</v>
      </c>
      <c r="D12" s="97">
        <v>2.1</v>
      </c>
      <c r="E12" s="98">
        <v>6.3000000000000007</v>
      </c>
      <c r="F12" s="90">
        <v>9.8000000000000007</v>
      </c>
      <c r="G12" s="91" t="s">
        <v>90</v>
      </c>
      <c r="H12" s="92">
        <v>90</v>
      </c>
      <c r="I12" s="93">
        <v>882.00000000000011</v>
      </c>
      <c r="J12" s="83"/>
      <c r="K12" s="83"/>
      <c r="L12" s="12"/>
      <c r="M12" s="13"/>
      <c r="N12" s="14"/>
      <c r="O12" s="11"/>
      <c r="P12" s="15"/>
      <c r="Q12" s="16"/>
      <c r="R12" s="2"/>
      <c r="S12" s="12"/>
      <c r="T12" s="17"/>
      <c r="U12" s="2"/>
      <c r="V12" s="18"/>
      <c r="W12" s="8"/>
      <c r="Y12" s="149" t="s">
        <v>89</v>
      </c>
      <c r="Z12" s="152">
        <f>SUMIF($G$9:$G$129, Y12, $F$9:$F$129)</f>
        <v>0</v>
      </c>
    </row>
    <row r="13" spans="2:26" ht="18" x14ac:dyDescent="0.35">
      <c r="B13" s="95">
        <v>16.5</v>
      </c>
      <c r="C13" s="96" t="s">
        <v>76</v>
      </c>
      <c r="D13" s="97">
        <v>2.4</v>
      </c>
      <c r="E13" s="98">
        <v>39.6</v>
      </c>
      <c r="F13" s="90">
        <v>1.4</v>
      </c>
      <c r="G13" s="91" t="s">
        <v>92</v>
      </c>
      <c r="H13" s="92">
        <v>75</v>
      </c>
      <c r="I13" s="93">
        <v>105</v>
      </c>
      <c r="J13" s="83"/>
      <c r="K13" s="83"/>
      <c r="L13" s="12"/>
      <c r="M13" s="13"/>
      <c r="N13" s="14"/>
      <c r="O13" s="11"/>
      <c r="P13" s="15"/>
      <c r="Q13" s="16"/>
      <c r="R13" s="2"/>
      <c r="S13" s="12"/>
      <c r="T13" s="17"/>
      <c r="U13" s="2"/>
      <c r="V13" s="18"/>
      <c r="W13" s="8"/>
      <c r="Y13" s="149" t="s">
        <v>20</v>
      </c>
      <c r="Z13" s="152">
        <f t="shared" ref="Z13:Z76" si="1">SUMIF($G$9:$G$129, Y13, $F$9:$F$129)</f>
        <v>5</v>
      </c>
    </row>
    <row r="14" spans="2:26" ht="18" x14ac:dyDescent="0.35">
      <c r="B14" s="95">
        <v>4.5</v>
      </c>
      <c r="C14" s="96" t="s">
        <v>77</v>
      </c>
      <c r="D14" s="97">
        <v>2.1</v>
      </c>
      <c r="E14" s="98">
        <v>9.4500000000000011</v>
      </c>
      <c r="F14" s="90">
        <v>4</v>
      </c>
      <c r="G14" s="91" t="s">
        <v>20</v>
      </c>
      <c r="H14" s="92">
        <v>1</v>
      </c>
      <c r="I14" s="93">
        <v>4</v>
      </c>
      <c r="J14" s="83"/>
      <c r="K14" s="83"/>
      <c r="L14" s="12"/>
      <c r="M14" s="13"/>
      <c r="N14" s="14"/>
      <c r="O14" s="11"/>
      <c r="P14" s="15"/>
      <c r="Q14" s="16"/>
      <c r="R14" s="2"/>
      <c r="S14" s="12"/>
      <c r="T14" s="17"/>
      <c r="U14" s="2"/>
      <c r="V14" s="18"/>
      <c r="W14" s="8"/>
      <c r="Y14" s="149" t="s">
        <v>19</v>
      </c>
      <c r="Z14" s="152">
        <f t="shared" si="1"/>
        <v>19.5</v>
      </c>
    </row>
    <row r="15" spans="2:26" ht="18" x14ac:dyDescent="0.35">
      <c r="B15" s="95">
        <v>40</v>
      </c>
      <c r="C15" s="96" t="s">
        <v>76</v>
      </c>
      <c r="D15" s="97">
        <v>2.4</v>
      </c>
      <c r="E15" s="98">
        <v>96</v>
      </c>
      <c r="F15" s="90">
        <v>2</v>
      </c>
      <c r="G15" s="91" t="s">
        <v>94</v>
      </c>
      <c r="H15" s="92">
        <v>10</v>
      </c>
      <c r="I15" s="93">
        <v>20</v>
      </c>
      <c r="J15" s="83"/>
      <c r="K15" s="83"/>
      <c r="L15" s="12"/>
      <c r="M15" s="13"/>
      <c r="N15" s="14"/>
      <c r="O15" s="11"/>
      <c r="P15" s="15"/>
      <c r="Q15" s="16"/>
      <c r="R15" s="2"/>
      <c r="S15" s="12"/>
      <c r="T15" s="17"/>
      <c r="U15" s="2"/>
      <c r="V15" s="18"/>
      <c r="W15" s="8"/>
      <c r="Y15" s="149" t="s">
        <v>18</v>
      </c>
      <c r="Z15" s="152">
        <f t="shared" si="1"/>
        <v>16.399999999999999</v>
      </c>
    </row>
    <row r="16" spans="2:26" ht="18" x14ac:dyDescent="0.35">
      <c r="B16" s="95">
        <v>2</v>
      </c>
      <c r="C16" s="96" t="s">
        <v>76</v>
      </c>
      <c r="D16" s="97">
        <v>2.4</v>
      </c>
      <c r="E16" s="98">
        <v>4.8</v>
      </c>
      <c r="F16" s="90">
        <v>0.2</v>
      </c>
      <c r="G16" s="91" t="s">
        <v>90</v>
      </c>
      <c r="H16" s="92">
        <v>90</v>
      </c>
      <c r="I16" s="93">
        <v>18</v>
      </c>
      <c r="J16" s="83"/>
      <c r="K16" s="83"/>
      <c r="L16" s="12"/>
      <c r="M16" s="13"/>
      <c r="N16" s="14"/>
      <c r="O16" s="11"/>
      <c r="P16" s="15"/>
      <c r="Q16" s="16"/>
      <c r="R16" s="2"/>
      <c r="S16" s="12"/>
      <c r="T16" s="17"/>
      <c r="U16" s="2"/>
      <c r="V16" s="18"/>
      <c r="W16" s="8"/>
      <c r="Y16" s="149" t="s">
        <v>22</v>
      </c>
      <c r="Z16" s="152">
        <f t="shared" si="1"/>
        <v>0</v>
      </c>
    </row>
    <row r="17" spans="2:26" ht="18" x14ac:dyDescent="0.35">
      <c r="B17" s="95">
        <v>1</v>
      </c>
      <c r="C17" s="96" t="s">
        <v>77</v>
      </c>
      <c r="D17" s="97">
        <v>2.1</v>
      </c>
      <c r="E17" s="98">
        <v>2.1</v>
      </c>
      <c r="F17" s="90">
        <v>0.5</v>
      </c>
      <c r="G17" s="91" t="s">
        <v>18</v>
      </c>
      <c r="H17" s="92">
        <v>12</v>
      </c>
      <c r="I17" s="93">
        <v>6</v>
      </c>
      <c r="J17" s="83"/>
      <c r="K17" s="83"/>
      <c r="L17" s="12"/>
      <c r="M17" s="13"/>
      <c r="N17" s="14"/>
      <c r="O17" s="11"/>
      <c r="P17" s="15"/>
      <c r="Q17" s="16"/>
      <c r="R17" s="2"/>
      <c r="S17" s="12"/>
      <c r="T17" s="17"/>
      <c r="U17" s="2"/>
      <c r="V17" s="18"/>
      <c r="W17" s="8"/>
      <c r="Y17" s="149" t="s">
        <v>67</v>
      </c>
      <c r="Z17" s="152">
        <f t="shared" si="1"/>
        <v>0</v>
      </c>
    </row>
    <row r="18" spans="2:26" ht="18" x14ac:dyDescent="0.35">
      <c r="B18" s="95">
        <v>1.5</v>
      </c>
      <c r="C18" s="96" t="s">
        <v>76</v>
      </c>
      <c r="D18" s="97">
        <v>2.4</v>
      </c>
      <c r="E18" s="98">
        <v>3.5999999999999996</v>
      </c>
      <c r="F18" s="90">
        <v>132</v>
      </c>
      <c r="G18" s="91" t="s">
        <v>48</v>
      </c>
      <c r="H18" s="92">
        <v>7</v>
      </c>
      <c r="I18" s="93">
        <v>924</v>
      </c>
      <c r="J18" s="83"/>
      <c r="K18" s="83"/>
      <c r="L18" s="12"/>
      <c r="M18" s="13"/>
      <c r="N18" s="14"/>
      <c r="O18" s="11"/>
      <c r="P18" s="15"/>
      <c r="Q18" s="16"/>
      <c r="R18" s="2"/>
      <c r="S18" s="12"/>
      <c r="T18" s="17"/>
      <c r="U18" s="2"/>
      <c r="V18" s="18"/>
      <c r="W18" s="8"/>
      <c r="Y18" s="149" t="s">
        <v>90</v>
      </c>
      <c r="Z18" s="152">
        <f t="shared" si="1"/>
        <v>41.000000000000007</v>
      </c>
    </row>
    <row r="19" spans="2:26" ht="18" x14ac:dyDescent="0.35">
      <c r="B19" s="95">
        <v>1.5</v>
      </c>
      <c r="C19" s="96" t="s">
        <v>77</v>
      </c>
      <c r="D19" s="97">
        <v>2.1</v>
      </c>
      <c r="E19" s="98">
        <v>3.1500000000000004</v>
      </c>
      <c r="F19" s="90">
        <v>0.5</v>
      </c>
      <c r="G19" s="91" t="s">
        <v>92</v>
      </c>
      <c r="H19" s="92">
        <v>75</v>
      </c>
      <c r="I19" s="93">
        <v>37.5</v>
      </c>
      <c r="J19" s="83"/>
      <c r="K19" s="83"/>
      <c r="L19" s="12"/>
      <c r="M19" s="13"/>
      <c r="N19" s="14"/>
      <c r="O19" s="11"/>
      <c r="P19" s="15"/>
      <c r="Q19" s="16"/>
      <c r="R19" s="2"/>
      <c r="S19" s="12"/>
      <c r="T19" s="17"/>
      <c r="U19" s="2"/>
      <c r="V19" s="18"/>
      <c r="W19" s="8"/>
      <c r="Y19" s="149" t="s">
        <v>91</v>
      </c>
      <c r="Z19" s="152">
        <f t="shared" si="1"/>
        <v>0.4</v>
      </c>
    </row>
    <row r="20" spans="2:26" ht="18" x14ac:dyDescent="0.35">
      <c r="B20" s="95">
        <v>10.5</v>
      </c>
      <c r="C20" s="96" t="s">
        <v>77</v>
      </c>
      <c r="D20" s="97">
        <v>2.1</v>
      </c>
      <c r="E20" s="98">
        <v>22.05</v>
      </c>
      <c r="F20" s="90">
        <v>0.5</v>
      </c>
      <c r="G20" s="91" t="s">
        <v>84</v>
      </c>
      <c r="H20" s="92">
        <v>5</v>
      </c>
      <c r="I20" s="93">
        <v>2.5</v>
      </c>
      <c r="J20" s="83"/>
      <c r="K20" s="83"/>
      <c r="L20" s="12"/>
      <c r="M20" s="13"/>
      <c r="N20" s="14"/>
      <c r="O20" s="11"/>
      <c r="P20" s="15"/>
      <c r="Q20" s="16"/>
      <c r="R20" s="2"/>
      <c r="S20" s="12"/>
      <c r="T20" s="17"/>
      <c r="U20" s="2"/>
      <c r="V20" s="18"/>
      <c r="W20" s="8"/>
      <c r="Y20" s="149" t="s">
        <v>92</v>
      </c>
      <c r="Z20" s="152">
        <f t="shared" si="1"/>
        <v>4.5</v>
      </c>
    </row>
    <row r="21" spans="2:26" ht="18" x14ac:dyDescent="0.35">
      <c r="B21" s="95">
        <v>15</v>
      </c>
      <c r="C21" s="96" t="s">
        <v>76</v>
      </c>
      <c r="D21" s="97">
        <v>2.4</v>
      </c>
      <c r="E21" s="98">
        <v>36</v>
      </c>
      <c r="F21" s="90">
        <v>0.4</v>
      </c>
      <c r="G21" s="91" t="s">
        <v>85</v>
      </c>
      <c r="H21" s="92">
        <v>10</v>
      </c>
      <c r="I21" s="93">
        <v>4</v>
      </c>
      <c r="J21" s="83"/>
      <c r="K21" s="83"/>
      <c r="L21" s="12"/>
      <c r="M21" s="13"/>
      <c r="N21" s="14"/>
      <c r="O21" s="11"/>
      <c r="P21" s="15"/>
      <c r="Q21" s="16"/>
      <c r="R21" s="2"/>
      <c r="S21" s="12"/>
      <c r="T21" s="17"/>
      <c r="U21" s="2"/>
      <c r="V21" s="18"/>
      <c r="W21" s="8"/>
      <c r="Y21" s="149" t="s">
        <v>68</v>
      </c>
      <c r="Z21" s="152">
        <f t="shared" si="1"/>
        <v>0</v>
      </c>
    </row>
    <row r="22" spans="2:26" ht="18" x14ac:dyDescent="0.35">
      <c r="B22" s="95">
        <v>51.5</v>
      </c>
      <c r="C22" s="96" t="s">
        <v>76</v>
      </c>
      <c r="D22" s="97">
        <v>2.4</v>
      </c>
      <c r="E22" s="98">
        <v>123.6</v>
      </c>
      <c r="F22" s="90">
        <v>0.2</v>
      </c>
      <c r="G22" s="91" t="s">
        <v>84</v>
      </c>
      <c r="H22" s="92">
        <v>5</v>
      </c>
      <c r="I22" s="93">
        <v>1</v>
      </c>
      <c r="J22" s="83"/>
      <c r="K22" s="83"/>
      <c r="L22" s="12"/>
      <c r="M22" s="13"/>
      <c r="N22" s="14"/>
      <c r="O22" s="11"/>
      <c r="P22" s="15"/>
      <c r="Q22" s="16"/>
      <c r="R22" s="2"/>
      <c r="S22" s="12"/>
      <c r="T22" s="17"/>
      <c r="U22" s="2"/>
      <c r="V22" s="18"/>
      <c r="W22" s="8"/>
      <c r="Y22" s="149" t="s">
        <v>93</v>
      </c>
      <c r="Z22" s="152">
        <f t="shared" si="1"/>
        <v>0</v>
      </c>
    </row>
    <row r="23" spans="2:26" ht="18" x14ac:dyDescent="0.35">
      <c r="B23" s="95">
        <v>3.5</v>
      </c>
      <c r="C23" s="96" t="s">
        <v>77</v>
      </c>
      <c r="D23" s="97">
        <v>2.1</v>
      </c>
      <c r="E23" s="98">
        <v>7.3500000000000005</v>
      </c>
      <c r="F23" s="90">
        <v>5</v>
      </c>
      <c r="G23" s="91" t="s">
        <v>18</v>
      </c>
      <c r="H23" s="92">
        <v>12</v>
      </c>
      <c r="I23" s="93">
        <v>60</v>
      </c>
      <c r="J23" s="83"/>
      <c r="K23" s="83"/>
      <c r="L23" s="12"/>
      <c r="M23" s="13"/>
      <c r="N23" s="14"/>
      <c r="O23" s="11"/>
      <c r="P23" s="15"/>
      <c r="Q23" s="16"/>
      <c r="R23" s="2"/>
      <c r="S23" s="12"/>
      <c r="T23" s="17"/>
      <c r="U23" s="2"/>
      <c r="V23" s="18"/>
      <c r="W23" s="8"/>
      <c r="Y23" s="149" t="s">
        <v>23</v>
      </c>
      <c r="Z23" s="152">
        <f t="shared" si="1"/>
        <v>4.6999999999999993</v>
      </c>
    </row>
    <row r="24" spans="2:26" ht="18" x14ac:dyDescent="0.35">
      <c r="B24" s="95">
        <v>2.5</v>
      </c>
      <c r="C24" s="96" t="s">
        <v>77</v>
      </c>
      <c r="D24" s="97">
        <v>2.1</v>
      </c>
      <c r="E24" s="98">
        <v>5.25</v>
      </c>
      <c r="F24" s="90">
        <v>0.4</v>
      </c>
      <c r="G24" s="91" t="s">
        <v>23</v>
      </c>
      <c r="H24" s="92">
        <v>55</v>
      </c>
      <c r="I24" s="93">
        <v>22</v>
      </c>
      <c r="J24" s="83"/>
      <c r="K24" s="83"/>
      <c r="L24" s="12"/>
      <c r="M24" s="13"/>
      <c r="N24" s="14"/>
      <c r="O24" s="11"/>
      <c r="P24" s="15"/>
      <c r="Q24" s="16"/>
      <c r="R24" s="2"/>
      <c r="S24" s="12"/>
      <c r="T24" s="17"/>
      <c r="U24" s="2"/>
      <c r="V24" s="18"/>
      <c r="W24" s="8"/>
      <c r="Y24" s="149" t="s">
        <v>24</v>
      </c>
      <c r="Z24" s="152">
        <f t="shared" si="1"/>
        <v>0</v>
      </c>
    </row>
    <row r="25" spans="2:26" ht="18" x14ac:dyDescent="0.35">
      <c r="B25" s="95">
        <v>4.5</v>
      </c>
      <c r="C25" s="96" t="s">
        <v>76</v>
      </c>
      <c r="D25" s="97">
        <v>2.4</v>
      </c>
      <c r="E25" s="98">
        <v>10.799999999999999</v>
      </c>
      <c r="F25" s="90">
        <v>0.2</v>
      </c>
      <c r="G25" s="91" t="s">
        <v>84</v>
      </c>
      <c r="H25" s="92">
        <v>5</v>
      </c>
      <c r="I25" s="93">
        <v>1</v>
      </c>
      <c r="J25" s="83"/>
      <c r="K25" s="83"/>
      <c r="L25" s="12"/>
      <c r="M25" s="13"/>
      <c r="N25" s="14"/>
      <c r="O25" s="11"/>
      <c r="P25" s="15"/>
      <c r="Q25" s="16"/>
      <c r="R25" s="2"/>
      <c r="S25" s="12"/>
      <c r="T25" s="17"/>
      <c r="U25" s="2"/>
      <c r="V25" s="18"/>
      <c r="W25" s="8"/>
      <c r="Y25" s="149" t="s">
        <v>25</v>
      </c>
      <c r="Z25" s="152">
        <f t="shared" si="1"/>
        <v>33.5</v>
      </c>
    </row>
    <row r="26" spans="2:26" ht="18" x14ac:dyDescent="0.35">
      <c r="B26" s="95">
        <v>11.5</v>
      </c>
      <c r="C26" s="96" t="s">
        <v>77</v>
      </c>
      <c r="D26" s="97">
        <v>2.1</v>
      </c>
      <c r="E26" s="98">
        <v>24.150000000000002</v>
      </c>
      <c r="F26" s="90">
        <v>1</v>
      </c>
      <c r="G26" s="91" t="s">
        <v>18</v>
      </c>
      <c r="H26" s="92">
        <v>12</v>
      </c>
      <c r="I26" s="93">
        <v>12</v>
      </c>
      <c r="J26" s="83"/>
      <c r="K26" s="83"/>
      <c r="L26" s="12"/>
      <c r="M26" s="13"/>
      <c r="N26" s="14"/>
      <c r="O26" s="11"/>
      <c r="P26" s="15"/>
      <c r="Q26" s="16"/>
      <c r="R26" s="2"/>
      <c r="S26" s="12"/>
      <c r="T26" s="17"/>
      <c r="U26" s="2"/>
      <c r="V26" s="18"/>
      <c r="W26" s="8"/>
      <c r="Y26" s="149" t="s">
        <v>98</v>
      </c>
      <c r="Z26" s="152">
        <f t="shared" si="1"/>
        <v>0</v>
      </c>
    </row>
    <row r="27" spans="2:26" ht="18" x14ac:dyDescent="0.35">
      <c r="B27" s="95">
        <v>8</v>
      </c>
      <c r="C27" s="96" t="s">
        <v>76</v>
      </c>
      <c r="D27" s="97">
        <v>2.4</v>
      </c>
      <c r="E27" s="98">
        <v>19.2</v>
      </c>
      <c r="F27" s="90">
        <v>0.2</v>
      </c>
      <c r="G27" s="91" t="s">
        <v>90</v>
      </c>
      <c r="H27" s="92">
        <v>90</v>
      </c>
      <c r="I27" s="93">
        <v>18</v>
      </c>
      <c r="J27" s="83"/>
      <c r="K27" s="83"/>
      <c r="L27" s="12"/>
      <c r="M27" s="13"/>
      <c r="N27" s="14"/>
      <c r="O27" s="11"/>
      <c r="P27" s="15"/>
      <c r="Q27" s="16"/>
      <c r="R27" s="2"/>
      <c r="S27" s="12"/>
      <c r="T27" s="17"/>
      <c r="U27" s="2"/>
      <c r="V27" s="18"/>
      <c r="W27" s="8"/>
      <c r="Y27" s="149" t="s">
        <v>94</v>
      </c>
      <c r="Z27" s="152">
        <f t="shared" si="1"/>
        <v>21.6</v>
      </c>
    </row>
    <row r="28" spans="2:26" ht="18" x14ac:dyDescent="0.35">
      <c r="B28" s="95">
        <v>4.5</v>
      </c>
      <c r="C28" s="96" t="s">
        <v>77</v>
      </c>
      <c r="D28" s="97">
        <v>2.1</v>
      </c>
      <c r="E28" s="98">
        <v>9.4500000000000011</v>
      </c>
      <c r="F28" s="90">
        <v>23.5</v>
      </c>
      <c r="G28" s="91" t="s">
        <v>90</v>
      </c>
      <c r="H28" s="92">
        <v>90</v>
      </c>
      <c r="I28" s="93">
        <v>2115</v>
      </c>
      <c r="J28" s="83"/>
      <c r="K28" s="83"/>
      <c r="L28" s="12"/>
      <c r="M28" s="13"/>
      <c r="N28" s="14"/>
      <c r="O28" s="11"/>
      <c r="P28" s="15"/>
      <c r="Q28" s="16"/>
      <c r="R28" s="2"/>
      <c r="S28" s="12"/>
      <c r="T28" s="17"/>
      <c r="U28" s="2"/>
      <c r="V28" s="18"/>
      <c r="W28" s="8"/>
      <c r="Y28" s="149" t="s">
        <v>42</v>
      </c>
      <c r="Z28" s="152">
        <f t="shared" si="1"/>
        <v>0</v>
      </c>
    </row>
    <row r="29" spans="2:26" ht="18" x14ac:dyDescent="0.35">
      <c r="B29" s="95">
        <v>4</v>
      </c>
      <c r="C29" s="96" t="s">
        <v>76</v>
      </c>
      <c r="D29" s="97">
        <v>2.4</v>
      </c>
      <c r="E29" s="98">
        <v>9.6</v>
      </c>
      <c r="F29" s="90">
        <v>5.5</v>
      </c>
      <c r="G29" s="91" t="s">
        <v>19</v>
      </c>
      <c r="H29" s="92">
        <v>2</v>
      </c>
      <c r="I29" s="93">
        <v>11</v>
      </c>
      <c r="J29" s="83"/>
      <c r="K29" s="83"/>
      <c r="L29" s="12"/>
      <c r="M29" s="13"/>
      <c r="N29" s="14"/>
      <c r="O29" s="11"/>
      <c r="P29" s="15"/>
      <c r="Q29" s="16"/>
      <c r="R29" s="2"/>
      <c r="S29" s="12"/>
      <c r="T29" s="17"/>
      <c r="U29" s="2"/>
      <c r="V29" s="18"/>
      <c r="W29" s="8"/>
      <c r="Y29" s="149" t="s">
        <v>39</v>
      </c>
      <c r="Z29" s="152">
        <f t="shared" si="1"/>
        <v>0</v>
      </c>
    </row>
    <row r="30" spans="2:26" ht="18" x14ac:dyDescent="0.35">
      <c r="B30" s="95">
        <v>4</v>
      </c>
      <c r="C30" s="96" t="s">
        <v>88</v>
      </c>
      <c r="D30" s="97">
        <v>0.9</v>
      </c>
      <c r="E30" s="98">
        <v>3.6</v>
      </c>
      <c r="F30" s="90">
        <v>1</v>
      </c>
      <c r="G30" s="91" t="s">
        <v>94</v>
      </c>
      <c r="H30" s="92">
        <v>10</v>
      </c>
      <c r="I30" s="93">
        <v>10</v>
      </c>
      <c r="J30" s="83"/>
      <c r="K30" s="83"/>
      <c r="L30" s="12"/>
      <c r="M30" s="13"/>
      <c r="N30" s="14"/>
      <c r="O30" s="11"/>
      <c r="P30" s="15"/>
      <c r="Q30" s="16"/>
      <c r="R30" s="2"/>
      <c r="S30" s="12"/>
      <c r="T30" s="17"/>
      <c r="U30" s="2"/>
      <c r="V30" s="18"/>
      <c r="W30" s="8"/>
      <c r="Y30" s="149" t="s">
        <v>99</v>
      </c>
      <c r="Z30" s="152">
        <f t="shared" si="1"/>
        <v>0</v>
      </c>
    </row>
    <row r="31" spans="2:26" ht="18" x14ac:dyDescent="0.35">
      <c r="B31" s="95">
        <v>18.5</v>
      </c>
      <c r="C31" s="96" t="s">
        <v>76</v>
      </c>
      <c r="D31" s="97">
        <v>2.4</v>
      </c>
      <c r="E31" s="98">
        <v>44.4</v>
      </c>
      <c r="F31" s="90">
        <v>0.5</v>
      </c>
      <c r="G31" s="91" t="s">
        <v>23</v>
      </c>
      <c r="H31" s="92">
        <v>55</v>
      </c>
      <c r="I31" s="93">
        <v>27.5</v>
      </c>
      <c r="J31" s="83"/>
      <c r="K31" s="83"/>
      <c r="L31" s="12"/>
      <c r="M31" s="13"/>
      <c r="N31" s="14"/>
      <c r="O31" s="11"/>
      <c r="P31" s="15"/>
      <c r="Q31" s="16"/>
      <c r="R31" s="2"/>
      <c r="S31" s="12"/>
      <c r="T31" s="17"/>
      <c r="U31" s="2"/>
      <c r="V31" s="18"/>
      <c r="W31" s="8"/>
      <c r="Y31" s="149" t="s">
        <v>95</v>
      </c>
      <c r="Z31" s="152">
        <f t="shared" si="1"/>
        <v>0</v>
      </c>
    </row>
    <row r="32" spans="2:26" ht="18" x14ac:dyDescent="0.35">
      <c r="B32" s="95">
        <v>4</v>
      </c>
      <c r="C32" s="96" t="s">
        <v>76</v>
      </c>
      <c r="D32" s="97">
        <v>2.4</v>
      </c>
      <c r="E32" s="98">
        <v>9.6</v>
      </c>
      <c r="F32" s="90">
        <v>0.5</v>
      </c>
      <c r="G32" s="91" t="s">
        <v>90</v>
      </c>
      <c r="H32" s="92">
        <v>90</v>
      </c>
      <c r="I32" s="93">
        <v>45</v>
      </c>
      <c r="J32" s="83"/>
      <c r="K32" s="83"/>
      <c r="L32" s="12"/>
      <c r="M32" s="13"/>
      <c r="N32" s="14"/>
      <c r="O32" s="11"/>
      <c r="P32" s="15"/>
      <c r="Q32" s="16"/>
      <c r="R32" s="2"/>
      <c r="S32" s="12"/>
      <c r="T32" s="17"/>
      <c r="U32" s="2"/>
      <c r="V32" s="18"/>
      <c r="W32" s="8"/>
      <c r="Y32" s="149" t="s">
        <v>97</v>
      </c>
      <c r="Z32" s="152">
        <f t="shared" si="1"/>
        <v>0</v>
      </c>
    </row>
    <row r="33" spans="2:26" ht="18" x14ac:dyDescent="0.35">
      <c r="B33" s="95">
        <v>21</v>
      </c>
      <c r="C33" s="96" t="s">
        <v>76</v>
      </c>
      <c r="D33" s="97">
        <v>2.4</v>
      </c>
      <c r="E33" s="98">
        <v>50.4</v>
      </c>
      <c r="F33" s="90">
        <v>1.2</v>
      </c>
      <c r="G33" s="91" t="s">
        <v>94</v>
      </c>
      <c r="H33" s="92">
        <v>10</v>
      </c>
      <c r="I33" s="93">
        <v>12</v>
      </c>
      <c r="J33" s="83"/>
      <c r="K33" s="83"/>
      <c r="L33" s="12"/>
      <c r="M33" s="13"/>
      <c r="N33" s="14"/>
      <c r="O33" s="11"/>
      <c r="P33" s="15"/>
      <c r="Q33" s="16"/>
      <c r="R33" s="2"/>
      <c r="S33" s="12"/>
      <c r="T33" s="17"/>
      <c r="U33" s="2"/>
      <c r="V33" s="18"/>
      <c r="W33" s="8"/>
      <c r="Y33" s="149" t="s">
        <v>43</v>
      </c>
      <c r="Z33" s="152">
        <f t="shared" si="1"/>
        <v>0</v>
      </c>
    </row>
    <row r="34" spans="2:26" ht="18" x14ac:dyDescent="0.35">
      <c r="B34" s="95">
        <v>8</v>
      </c>
      <c r="C34" s="96" t="s">
        <v>77</v>
      </c>
      <c r="D34" s="97">
        <v>2.1</v>
      </c>
      <c r="E34" s="98">
        <v>16.8</v>
      </c>
      <c r="F34" s="90">
        <v>1</v>
      </c>
      <c r="G34" s="91" t="s">
        <v>96</v>
      </c>
      <c r="H34" s="92">
        <v>12</v>
      </c>
      <c r="I34" s="93">
        <v>12</v>
      </c>
      <c r="J34" s="83"/>
      <c r="K34" s="83"/>
      <c r="L34" s="12"/>
      <c r="M34" s="13"/>
      <c r="N34" s="14"/>
      <c r="O34" s="11"/>
      <c r="P34" s="15"/>
      <c r="Q34" s="16"/>
      <c r="R34" s="2"/>
      <c r="S34" s="12"/>
      <c r="T34" s="17"/>
      <c r="U34" s="2"/>
      <c r="V34" s="18"/>
      <c r="W34" s="8"/>
      <c r="Y34" s="149" t="s">
        <v>32</v>
      </c>
      <c r="Z34" s="152">
        <f t="shared" si="1"/>
        <v>0</v>
      </c>
    </row>
    <row r="35" spans="2:26" ht="18" x14ac:dyDescent="0.35">
      <c r="B35" s="95"/>
      <c r="C35" s="96"/>
      <c r="D35" s="97"/>
      <c r="E35" s="98"/>
      <c r="F35" s="90">
        <v>1.5</v>
      </c>
      <c r="G35" s="91" t="s">
        <v>70</v>
      </c>
      <c r="H35" s="92">
        <v>5</v>
      </c>
      <c r="I35" s="93">
        <v>7.5</v>
      </c>
      <c r="J35" s="83"/>
      <c r="K35" s="83"/>
      <c r="L35" s="12"/>
      <c r="M35" s="13"/>
      <c r="N35" s="14"/>
      <c r="O35" s="11"/>
      <c r="P35" s="15"/>
      <c r="Q35" s="16"/>
      <c r="R35" s="2"/>
      <c r="S35" s="12"/>
      <c r="T35" s="17"/>
      <c r="U35" s="2"/>
      <c r="V35" s="18"/>
      <c r="W35" s="8"/>
      <c r="Y35" s="149" t="s">
        <v>33</v>
      </c>
      <c r="Z35" s="152">
        <f t="shared" si="1"/>
        <v>0</v>
      </c>
    </row>
    <row r="36" spans="2:26" ht="18" x14ac:dyDescent="0.35">
      <c r="B36" s="95"/>
      <c r="C36" s="96"/>
      <c r="D36" s="97"/>
      <c r="E36" s="98"/>
      <c r="F36" s="90">
        <v>1</v>
      </c>
      <c r="G36" s="91" t="s">
        <v>94</v>
      </c>
      <c r="H36" s="92">
        <v>10</v>
      </c>
      <c r="I36" s="93">
        <v>10</v>
      </c>
      <c r="J36" s="83"/>
      <c r="K36" s="83"/>
      <c r="L36" s="12"/>
      <c r="M36" s="13"/>
      <c r="N36" s="14"/>
      <c r="O36" s="11"/>
      <c r="P36" s="15"/>
      <c r="Q36" s="16"/>
      <c r="R36" s="2"/>
      <c r="S36" s="12"/>
      <c r="T36" s="17"/>
      <c r="U36" s="2"/>
      <c r="V36" s="18"/>
      <c r="W36" s="8"/>
      <c r="Y36" s="149" t="s">
        <v>30</v>
      </c>
      <c r="Z36" s="152">
        <f t="shared" si="1"/>
        <v>0</v>
      </c>
    </row>
    <row r="37" spans="2:26" ht="18" x14ac:dyDescent="0.35">
      <c r="B37" s="95"/>
      <c r="C37" s="96"/>
      <c r="D37" s="97"/>
      <c r="E37" s="98"/>
      <c r="F37" s="90">
        <v>1</v>
      </c>
      <c r="G37" s="91" t="s">
        <v>20</v>
      </c>
      <c r="H37" s="92">
        <v>1</v>
      </c>
      <c r="I37" s="93">
        <v>1</v>
      </c>
      <c r="J37" s="83"/>
      <c r="K37" s="83"/>
      <c r="L37" s="12"/>
      <c r="M37" s="13"/>
      <c r="N37" s="14"/>
      <c r="O37" s="11"/>
      <c r="P37" s="15"/>
      <c r="Q37" s="16"/>
      <c r="R37" s="2"/>
      <c r="S37" s="12"/>
      <c r="T37" s="17"/>
      <c r="U37" s="2"/>
      <c r="V37" s="18"/>
      <c r="W37" s="8"/>
      <c r="Y37" s="149" t="s">
        <v>31</v>
      </c>
      <c r="Z37" s="152">
        <f t="shared" si="1"/>
        <v>0</v>
      </c>
    </row>
    <row r="38" spans="2:26" ht="18" x14ac:dyDescent="0.35">
      <c r="B38" s="95"/>
      <c r="C38" s="96"/>
      <c r="D38" s="97"/>
      <c r="E38" s="98"/>
      <c r="F38" s="90">
        <v>0.5</v>
      </c>
      <c r="G38" s="91" t="s">
        <v>84</v>
      </c>
      <c r="H38" s="92">
        <v>5</v>
      </c>
      <c r="I38" s="93">
        <v>2.5</v>
      </c>
      <c r="J38" s="83"/>
      <c r="K38" s="83"/>
      <c r="L38" s="12"/>
      <c r="M38" s="13"/>
      <c r="N38" s="14"/>
      <c r="O38" s="11"/>
      <c r="P38" s="15"/>
      <c r="Q38" s="16"/>
      <c r="R38" s="2"/>
      <c r="S38" s="12"/>
      <c r="T38" s="17"/>
      <c r="U38" s="2"/>
      <c r="V38" s="18"/>
      <c r="W38" s="8"/>
      <c r="Y38" s="149" t="s">
        <v>84</v>
      </c>
      <c r="Z38" s="152">
        <f t="shared" si="1"/>
        <v>4.4000000000000004</v>
      </c>
    </row>
    <row r="39" spans="2:26" ht="18" x14ac:dyDescent="0.35">
      <c r="B39" s="95"/>
      <c r="C39" s="96"/>
      <c r="D39" s="97"/>
      <c r="E39" s="98"/>
      <c r="F39" s="90">
        <v>2</v>
      </c>
      <c r="G39" s="91" t="s">
        <v>84</v>
      </c>
      <c r="H39" s="92">
        <v>5</v>
      </c>
      <c r="I39" s="93">
        <v>10</v>
      </c>
      <c r="J39" s="83"/>
      <c r="K39" s="83"/>
      <c r="L39" s="12"/>
      <c r="M39" s="13"/>
      <c r="N39" s="14"/>
      <c r="O39" s="11"/>
      <c r="P39" s="15"/>
      <c r="Q39" s="16"/>
      <c r="R39" s="2"/>
      <c r="S39" s="12"/>
      <c r="T39" s="17"/>
      <c r="U39" s="2"/>
      <c r="V39" s="18"/>
      <c r="W39" s="8"/>
      <c r="Y39" s="149" t="s">
        <v>85</v>
      </c>
      <c r="Z39" s="152">
        <f t="shared" si="1"/>
        <v>1.2000000000000002</v>
      </c>
    </row>
    <row r="40" spans="2:26" ht="18" x14ac:dyDescent="0.35">
      <c r="B40" s="95"/>
      <c r="C40" s="96"/>
      <c r="D40" s="97"/>
      <c r="E40" s="98"/>
      <c r="F40" s="90">
        <v>1</v>
      </c>
      <c r="G40" s="91" t="s">
        <v>90</v>
      </c>
      <c r="H40" s="92">
        <v>90</v>
      </c>
      <c r="I40" s="93">
        <v>90</v>
      </c>
      <c r="J40" s="83"/>
      <c r="K40" s="83"/>
      <c r="L40" s="12"/>
      <c r="M40" s="13"/>
      <c r="N40" s="14"/>
      <c r="O40" s="11"/>
      <c r="P40" s="15"/>
      <c r="Q40" s="16"/>
      <c r="R40" s="2"/>
      <c r="S40" s="12"/>
      <c r="T40" s="17"/>
      <c r="U40" s="2"/>
      <c r="V40" s="18"/>
      <c r="W40" s="8"/>
      <c r="Y40" s="149" t="s">
        <v>86</v>
      </c>
      <c r="Z40" s="152">
        <f t="shared" si="1"/>
        <v>0</v>
      </c>
    </row>
    <row r="41" spans="2:26" ht="18" x14ac:dyDescent="0.35">
      <c r="B41" s="95"/>
      <c r="C41" s="96"/>
      <c r="D41" s="97"/>
      <c r="E41" s="98"/>
      <c r="F41" s="90">
        <v>1</v>
      </c>
      <c r="G41" s="91" t="s">
        <v>18</v>
      </c>
      <c r="H41" s="92">
        <v>12</v>
      </c>
      <c r="I41" s="93">
        <v>12</v>
      </c>
      <c r="J41" s="83"/>
      <c r="K41" s="83"/>
      <c r="L41" s="12"/>
      <c r="M41" s="13"/>
      <c r="N41" s="14"/>
      <c r="O41" s="11"/>
      <c r="P41" s="15"/>
      <c r="Q41" s="16"/>
      <c r="R41" s="2"/>
      <c r="S41" s="12"/>
      <c r="T41" s="17"/>
      <c r="U41" s="2"/>
      <c r="V41" s="18"/>
      <c r="W41" s="8"/>
      <c r="Y41" s="149" t="s">
        <v>87</v>
      </c>
      <c r="Z41" s="152">
        <f t="shared" si="1"/>
        <v>0</v>
      </c>
    </row>
    <row r="42" spans="2:26" ht="18" x14ac:dyDescent="0.35">
      <c r="B42" s="95"/>
      <c r="C42" s="96"/>
      <c r="D42" s="97"/>
      <c r="E42" s="98"/>
      <c r="F42" s="90">
        <v>0.5</v>
      </c>
      <c r="G42" s="91" t="s">
        <v>94</v>
      </c>
      <c r="H42" s="92">
        <v>10</v>
      </c>
      <c r="I42" s="93">
        <v>5</v>
      </c>
      <c r="J42" s="83"/>
      <c r="K42" s="83"/>
      <c r="L42" s="12"/>
      <c r="M42" s="13"/>
      <c r="N42" s="14"/>
      <c r="O42" s="11"/>
      <c r="P42" s="15"/>
      <c r="Q42" s="16"/>
      <c r="R42" s="2"/>
      <c r="S42" s="12"/>
      <c r="T42" s="17"/>
      <c r="U42" s="2"/>
      <c r="V42" s="18"/>
      <c r="W42" s="8"/>
      <c r="Y42" s="149" t="s">
        <v>46</v>
      </c>
      <c r="Z42" s="152">
        <f t="shared" si="1"/>
        <v>0</v>
      </c>
    </row>
    <row r="43" spans="2:26" ht="18" x14ac:dyDescent="0.35">
      <c r="B43" s="95"/>
      <c r="C43" s="96"/>
      <c r="D43" s="97"/>
      <c r="E43" s="98"/>
      <c r="F43" s="90">
        <v>16</v>
      </c>
      <c r="G43" s="91" t="s">
        <v>48</v>
      </c>
      <c r="H43" s="92">
        <v>6</v>
      </c>
      <c r="I43" s="93">
        <v>96</v>
      </c>
      <c r="J43" s="83"/>
      <c r="K43" s="83"/>
      <c r="L43" s="12"/>
      <c r="M43" s="13"/>
      <c r="N43" s="14"/>
      <c r="O43" s="11"/>
      <c r="P43" s="15"/>
      <c r="Q43" s="16"/>
      <c r="R43" s="2"/>
      <c r="S43" s="12"/>
      <c r="T43" s="17"/>
      <c r="U43" s="2"/>
      <c r="V43" s="18"/>
      <c r="W43" s="8"/>
      <c r="Y43" s="149" t="s">
        <v>47</v>
      </c>
      <c r="Z43" s="152">
        <f t="shared" si="1"/>
        <v>0</v>
      </c>
    </row>
    <row r="44" spans="2:26" ht="18" x14ac:dyDescent="0.35">
      <c r="B44" s="95"/>
      <c r="C44" s="96"/>
      <c r="D44" s="97"/>
      <c r="E44" s="98"/>
      <c r="F44" s="90">
        <v>33.5</v>
      </c>
      <c r="G44" s="91" t="s">
        <v>25</v>
      </c>
      <c r="H44" s="92">
        <v>30</v>
      </c>
      <c r="I44" s="93">
        <v>1005</v>
      </c>
      <c r="J44" s="83"/>
      <c r="K44" s="83"/>
      <c r="L44" s="12"/>
      <c r="M44" s="13"/>
      <c r="N44" s="14"/>
      <c r="O44" s="11"/>
      <c r="P44" s="15"/>
      <c r="Q44" s="16"/>
      <c r="R44" s="2"/>
      <c r="S44" s="12"/>
      <c r="T44" s="17"/>
      <c r="U44" s="2"/>
      <c r="V44" s="18"/>
      <c r="W44" s="8"/>
      <c r="Y44" s="149" t="s">
        <v>48</v>
      </c>
      <c r="Z44" s="152">
        <f t="shared" si="1"/>
        <v>149.5</v>
      </c>
    </row>
    <row r="45" spans="2:26" ht="18" x14ac:dyDescent="0.35">
      <c r="B45" s="95"/>
      <c r="C45" s="96"/>
      <c r="D45" s="97"/>
      <c r="E45" s="98"/>
      <c r="F45" s="90">
        <v>0.8</v>
      </c>
      <c r="G45" s="91" t="s">
        <v>85</v>
      </c>
      <c r="H45" s="92">
        <v>10</v>
      </c>
      <c r="I45" s="93">
        <v>8</v>
      </c>
      <c r="J45" s="83"/>
      <c r="K45" s="83"/>
      <c r="L45" s="12"/>
      <c r="M45" s="13"/>
      <c r="N45" s="14"/>
      <c r="O45" s="11"/>
      <c r="P45" s="15"/>
      <c r="Q45" s="16"/>
      <c r="R45" s="2"/>
      <c r="S45" s="12"/>
      <c r="T45" s="17"/>
      <c r="U45" s="2"/>
      <c r="V45" s="18"/>
      <c r="W45" s="8"/>
      <c r="Y45" s="149" t="s">
        <v>83</v>
      </c>
      <c r="Z45" s="152">
        <f t="shared" si="1"/>
        <v>0</v>
      </c>
    </row>
    <row r="46" spans="2:26" ht="18" x14ac:dyDescent="0.35">
      <c r="B46" s="95"/>
      <c r="C46" s="96"/>
      <c r="D46" s="97"/>
      <c r="E46" s="98"/>
      <c r="F46" s="90">
        <v>1</v>
      </c>
      <c r="G46" s="91" t="s">
        <v>84</v>
      </c>
      <c r="H46" s="92">
        <v>5</v>
      </c>
      <c r="I46" s="93">
        <v>5</v>
      </c>
      <c r="J46" s="83"/>
      <c r="K46" s="83"/>
      <c r="L46" s="12"/>
      <c r="M46" s="13"/>
      <c r="N46" s="14"/>
      <c r="O46" s="11"/>
      <c r="P46" s="15"/>
      <c r="Q46" s="16"/>
      <c r="R46" s="2"/>
      <c r="S46" s="12"/>
      <c r="T46" s="17"/>
      <c r="U46" s="2"/>
      <c r="V46" s="18"/>
      <c r="W46" s="8"/>
      <c r="Y46" s="149" t="s">
        <v>96</v>
      </c>
      <c r="Z46" s="152">
        <f t="shared" si="1"/>
        <v>1</v>
      </c>
    </row>
    <row r="47" spans="2:26" ht="18" x14ac:dyDescent="0.35">
      <c r="B47" s="95"/>
      <c r="C47" s="96"/>
      <c r="D47" s="97"/>
      <c r="E47" s="98"/>
      <c r="F47" s="90">
        <v>0.6</v>
      </c>
      <c r="G47" s="91" t="s">
        <v>92</v>
      </c>
      <c r="H47" s="92">
        <v>75</v>
      </c>
      <c r="I47" s="93">
        <v>45</v>
      </c>
      <c r="J47" s="83"/>
      <c r="K47" s="83"/>
      <c r="L47" s="12"/>
      <c r="M47" s="13"/>
      <c r="N47" s="14"/>
      <c r="O47" s="11"/>
      <c r="P47" s="15"/>
      <c r="Q47" s="16"/>
      <c r="R47" s="2"/>
      <c r="S47" s="12"/>
      <c r="T47" s="17"/>
      <c r="U47" s="2"/>
      <c r="V47" s="18"/>
      <c r="W47" s="8"/>
      <c r="Y47" s="149" t="s">
        <v>73</v>
      </c>
      <c r="Z47" s="152">
        <f t="shared" si="1"/>
        <v>0</v>
      </c>
    </row>
    <row r="48" spans="2:26" ht="18" x14ac:dyDescent="0.35">
      <c r="B48" s="95"/>
      <c r="C48" s="96"/>
      <c r="D48" s="97"/>
      <c r="E48" s="98"/>
      <c r="F48" s="90">
        <v>1</v>
      </c>
      <c r="G48" s="91" t="s">
        <v>70</v>
      </c>
      <c r="H48" s="92">
        <v>5</v>
      </c>
      <c r="I48" s="93">
        <v>5</v>
      </c>
      <c r="J48" s="83"/>
      <c r="K48" s="83"/>
      <c r="L48" s="12"/>
      <c r="M48" s="13"/>
      <c r="N48" s="14"/>
      <c r="O48" s="11"/>
      <c r="P48" s="15"/>
      <c r="Q48" s="16"/>
      <c r="R48" s="2"/>
      <c r="S48" s="12"/>
      <c r="T48" s="17"/>
      <c r="U48" s="2"/>
      <c r="V48" s="18"/>
      <c r="W48" s="8"/>
      <c r="Y48" s="149" t="s">
        <v>74</v>
      </c>
      <c r="Z48" s="152">
        <f t="shared" si="1"/>
        <v>0</v>
      </c>
    </row>
    <row r="49" spans="2:26" ht="18" x14ac:dyDescent="0.35">
      <c r="B49" s="95"/>
      <c r="C49" s="96"/>
      <c r="D49" s="97"/>
      <c r="E49" s="98"/>
      <c r="F49" s="90">
        <v>0.2</v>
      </c>
      <c r="G49" s="91" t="s">
        <v>90</v>
      </c>
      <c r="H49" s="92">
        <v>90</v>
      </c>
      <c r="I49" s="93">
        <v>18</v>
      </c>
      <c r="J49" s="83"/>
      <c r="K49" s="83"/>
      <c r="L49" s="12"/>
      <c r="M49" s="13"/>
      <c r="N49" s="14"/>
      <c r="O49" s="11"/>
      <c r="P49" s="15"/>
      <c r="Q49" s="16"/>
      <c r="R49" s="2"/>
      <c r="S49" s="12"/>
      <c r="T49" s="17"/>
      <c r="U49" s="2"/>
      <c r="V49" s="18"/>
      <c r="W49" s="8"/>
      <c r="Y49" s="149" t="s">
        <v>70</v>
      </c>
      <c r="Z49" s="152">
        <f t="shared" si="1"/>
        <v>2.5</v>
      </c>
    </row>
    <row r="50" spans="2:26" ht="18" x14ac:dyDescent="0.35">
      <c r="B50" s="95"/>
      <c r="C50" s="96"/>
      <c r="D50" s="97"/>
      <c r="E50" s="98"/>
      <c r="F50" s="90">
        <v>0.5</v>
      </c>
      <c r="G50" s="91" t="s">
        <v>23</v>
      </c>
      <c r="H50" s="92">
        <v>55</v>
      </c>
      <c r="I50" s="93">
        <v>27.5</v>
      </c>
      <c r="J50" s="83"/>
      <c r="K50" s="83"/>
      <c r="L50" s="12"/>
      <c r="M50" s="13"/>
      <c r="N50" s="14"/>
      <c r="O50" s="11"/>
      <c r="P50" s="15"/>
      <c r="Q50" s="16"/>
      <c r="R50" s="2"/>
      <c r="S50" s="12"/>
      <c r="T50" s="17"/>
      <c r="U50" s="2"/>
      <c r="V50" s="18"/>
      <c r="W50" s="8"/>
      <c r="Y50" s="149" t="s">
        <v>64</v>
      </c>
      <c r="Z50" s="152">
        <f t="shared" si="1"/>
        <v>0</v>
      </c>
    </row>
    <row r="51" spans="2:26" ht="18" x14ac:dyDescent="0.35">
      <c r="B51" s="95"/>
      <c r="C51" s="96"/>
      <c r="D51" s="97"/>
      <c r="E51" s="98"/>
      <c r="F51" s="90">
        <v>2.5</v>
      </c>
      <c r="G51" s="91" t="s">
        <v>94</v>
      </c>
      <c r="H51" s="92">
        <v>10</v>
      </c>
      <c r="I51" s="93">
        <v>25</v>
      </c>
      <c r="J51" s="83"/>
      <c r="K51" s="83"/>
      <c r="L51" s="12"/>
      <c r="M51" s="13"/>
      <c r="N51" s="14"/>
      <c r="O51" s="11"/>
      <c r="P51" s="15"/>
      <c r="Q51" s="16"/>
      <c r="R51" s="2"/>
      <c r="S51" s="12"/>
      <c r="T51" s="17"/>
      <c r="U51" s="2"/>
      <c r="V51" s="18"/>
      <c r="W51" s="8"/>
      <c r="Y51" s="149" t="s">
        <v>65</v>
      </c>
      <c r="Z51" s="152">
        <f t="shared" si="1"/>
        <v>0</v>
      </c>
    </row>
    <row r="52" spans="2:26" ht="18" x14ac:dyDescent="0.35">
      <c r="B52" s="95"/>
      <c r="C52" s="96"/>
      <c r="D52" s="97"/>
      <c r="E52" s="98"/>
      <c r="F52" s="90">
        <v>2</v>
      </c>
      <c r="G52" s="91" t="s">
        <v>18</v>
      </c>
      <c r="H52" s="92">
        <v>12</v>
      </c>
      <c r="I52" s="93">
        <v>24</v>
      </c>
      <c r="J52" s="83"/>
      <c r="K52" s="83"/>
      <c r="L52" s="12"/>
      <c r="M52" s="13"/>
      <c r="N52" s="14"/>
      <c r="O52" s="11"/>
      <c r="P52" s="15"/>
      <c r="Q52" s="16"/>
      <c r="R52" s="2"/>
      <c r="S52" s="12"/>
      <c r="T52" s="17"/>
      <c r="U52" s="2"/>
      <c r="V52" s="18"/>
      <c r="W52" s="8"/>
      <c r="Y52" s="149" t="s">
        <v>66</v>
      </c>
      <c r="Z52" s="152">
        <f t="shared" si="1"/>
        <v>0</v>
      </c>
    </row>
    <row r="53" spans="2:26" ht="18" x14ac:dyDescent="0.35">
      <c r="B53" s="95"/>
      <c r="C53" s="96"/>
      <c r="D53" s="97"/>
      <c r="E53" s="98"/>
      <c r="F53" s="90">
        <v>1</v>
      </c>
      <c r="G53" s="91" t="s">
        <v>18</v>
      </c>
      <c r="H53" s="92">
        <v>12</v>
      </c>
      <c r="I53" s="93">
        <v>12</v>
      </c>
      <c r="J53" s="83"/>
      <c r="K53" s="83"/>
      <c r="L53" s="12"/>
      <c r="M53" s="13"/>
      <c r="N53" s="14"/>
      <c r="O53" s="11"/>
      <c r="P53" s="15"/>
      <c r="Q53" s="16"/>
      <c r="R53" s="2"/>
      <c r="S53" s="12"/>
      <c r="T53" s="17"/>
      <c r="U53" s="2"/>
      <c r="V53" s="18"/>
      <c r="W53" s="8"/>
      <c r="Y53" s="149" t="s">
        <v>100</v>
      </c>
      <c r="Z53" s="152">
        <f t="shared" si="1"/>
        <v>0</v>
      </c>
    </row>
    <row r="54" spans="2:26" ht="18" x14ac:dyDescent="0.35">
      <c r="B54" s="95"/>
      <c r="C54" s="96"/>
      <c r="D54" s="97"/>
      <c r="E54" s="98"/>
      <c r="F54" s="90">
        <v>0.4</v>
      </c>
      <c r="G54" s="91" t="s">
        <v>90</v>
      </c>
      <c r="H54" s="92">
        <v>90</v>
      </c>
      <c r="I54" s="93">
        <v>36</v>
      </c>
      <c r="J54" s="83"/>
      <c r="K54" s="83"/>
      <c r="L54" s="12"/>
      <c r="M54" s="13"/>
      <c r="N54" s="14"/>
      <c r="O54" s="11"/>
      <c r="P54" s="15"/>
      <c r="Q54" s="16"/>
      <c r="R54" s="2"/>
      <c r="S54" s="12"/>
      <c r="T54" s="17"/>
      <c r="U54" s="2"/>
      <c r="V54" s="18"/>
      <c r="W54" s="8"/>
      <c r="Y54" s="149" t="s">
        <v>101</v>
      </c>
      <c r="Z54" s="152">
        <f t="shared" si="1"/>
        <v>0</v>
      </c>
    </row>
    <row r="55" spans="2:26" ht="18" x14ac:dyDescent="0.35">
      <c r="B55" s="95"/>
      <c r="C55" s="96"/>
      <c r="D55" s="97"/>
      <c r="E55" s="98"/>
      <c r="F55" s="90">
        <v>11</v>
      </c>
      <c r="G55" s="91" t="s">
        <v>94</v>
      </c>
      <c r="H55" s="92">
        <v>10</v>
      </c>
      <c r="I55" s="93">
        <v>110</v>
      </c>
      <c r="J55" s="83"/>
      <c r="K55" s="83"/>
      <c r="L55" s="12"/>
      <c r="M55" s="13"/>
      <c r="N55" s="14"/>
      <c r="O55" s="11"/>
      <c r="P55" s="15"/>
      <c r="Q55" s="16"/>
      <c r="R55" s="2"/>
      <c r="S55" s="12"/>
      <c r="T55" s="17"/>
      <c r="U55" s="2"/>
      <c r="V55" s="18"/>
      <c r="W55" s="8"/>
      <c r="Y55" s="149" t="s">
        <v>102</v>
      </c>
      <c r="Z55" s="152">
        <f t="shared" si="1"/>
        <v>0</v>
      </c>
    </row>
    <row r="56" spans="2:26" ht="18" x14ac:dyDescent="0.35">
      <c r="B56" s="95"/>
      <c r="C56" s="96"/>
      <c r="D56" s="97"/>
      <c r="E56" s="98"/>
      <c r="F56" s="90">
        <v>0.2</v>
      </c>
      <c r="G56" s="91" t="s">
        <v>90</v>
      </c>
      <c r="H56" s="92">
        <v>90</v>
      </c>
      <c r="I56" s="93">
        <v>18</v>
      </c>
      <c r="J56" s="83"/>
      <c r="K56" s="83"/>
      <c r="L56" s="12"/>
      <c r="M56" s="13"/>
      <c r="N56" s="14"/>
      <c r="O56" s="11"/>
      <c r="P56" s="15"/>
      <c r="Q56" s="16"/>
      <c r="R56" s="2"/>
      <c r="S56" s="12"/>
      <c r="T56" s="17"/>
      <c r="U56" s="2"/>
      <c r="V56" s="18"/>
      <c r="W56" s="8"/>
      <c r="Y56" s="149" t="s">
        <v>26</v>
      </c>
      <c r="Z56" s="152">
        <f t="shared" si="1"/>
        <v>0</v>
      </c>
    </row>
    <row r="57" spans="2:26" ht="18" x14ac:dyDescent="0.35">
      <c r="B57" s="95"/>
      <c r="C57" s="96"/>
      <c r="D57" s="97"/>
      <c r="E57" s="98"/>
      <c r="F57" s="90">
        <v>0.4</v>
      </c>
      <c r="G57" s="91" t="s">
        <v>23</v>
      </c>
      <c r="H57" s="92">
        <v>55</v>
      </c>
      <c r="I57" s="93">
        <v>22</v>
      </c>
      <c r="J57" s="83"/>
      <c r="K57" s="83"/>
      <c r="L57" s="12"/>
      <c r="M57" s="13"/>
      <c r="N57" s="14"/>
      <c r="O57" s="11"/>
      <c r="P57" s="15"/>
      <c r="Q57" s="16"/>
      <c r="R57" s="2"/>
      <c r="S57" s="12"/>
      <c r="T57" s="17"/>
      <c r="U57" s="2"/>
      <c r="V57" s="18"/>
      <c r="W57" s="8"/>
      <c r="Y57" s="149" t="s">
        <v>27</v>
      </c>
      <c r="Z57" s="152">
        <f t="shared" si="1"/>
        <v>0</v>
      </c>
    </row>
    <row r="58" spans="2:26" ht="18" x14ac:dyDescent="0.35">
      <c r="B58" s="95"/>
      <c r="C58" s="96"/>
      <c r="D58" s="97"/>
      <c r="E58" s="98"/>
      <c r="F58" s="90">
        <v>0.4</v>
      </c>
      <c r="G58" s="91" t="s">
        <v>90</v>
      </c>
      <c r="H58" s="92">
        <v>90</v>
      </c>
      <c r="I58" s="93">
        <v>36</v>
      </c>
      <c r="J58" s="83"/>
      <c r="K58" s="83"/>
      <c r="L58" s="12"/>
      <c r="M58" s="13"/>
      <c r="N58" s="14"/>
      <c r="O58" s="11"/>
      <c r="P58" s="15"/>
      <c r="Q58" s="16"/>
      <c r="R58" s="2"/>
      <c r="S58" s="12"/>
      <c r="T58" s="17"/>
      <c r="U58" s="2"/>
      <c r="V58" s="18"/>
      <c r="W58" s="8"/>
      <c r="Y58" s="149" t="s">
        <v>28</v>
      </c>
      <c r="Z58" s="152">
        <f t="shared" si="1"/>
        <v>0</v>
      </c>
    </row>
    <row r="59" spans="2:26" ht="18" x14ac:dyDescent="0.35">
      <c r="B59" s="95"/>
      <c r="C59" s="96"/>
      <c r="D59" s="97"/>
      <c r="E59" s="98"/>
      <c r="F59" s="90">
        <v>2</v>
      </c>
      <c r="G59" s="91" t="s">
        <v>92</v>
      </c>
      <c r="H59" s="92">
        <v>75</v>
      </c>
      <c r="I59" s="93">
        <v>150</v>
      </c>
      <c r="J59" s="83"/>
      <c r="K59" s="83"/>
      <c r="L59" s="12"/>
      <c r="M59" s="13"/>
      <c r="N59" s="14"/>
      <c r="O59" s="11"/>
      <c r="P59" s="15"/>
      <c r="Q59" s="16"/>
      <c r="R59" s="2"/>
      <c r="S59" s="12"/>
      <c r="T59" s="17"/>
      <c r="U59" s="2"/>
      <c r="V59" s="18"/>
      <c r="W59" s="8"/>
      <c r="Y59" s="149" t="s">
        <v>29</v>
      </c>
      <c r="Z59" s="152">
        <f t="shared" si="1"/>
        <v>0</v>
      </c>
    </row>
    <row r="60" spans="2:26" ht="18" x14ac:dyDescent="0.35">
      <c r="B60" s="95"/>
      <c r="C60" s="96"/>
      <c r="D60" s="97"/>
      <c r="E60" s="98"/>
      <c r="F60" s="90">
        <v>0.6</v>
      </c>
      <c r="G60" s="91" t="s">
        <v>90</v>
      </c>
      <c r="H60" s="92">
        <v>90</v>
      </c>
      <c r="I60" s="93">
        <v>54</v>
      </c>
      <c r="J60" s="83"/>
      <c r="K60" s="83"/>
      <c r="L60" s="12"/>
      <c r="M60" s="13"/>
      <c r="N60" s="14"/>
      <c r="O60" s="11"/>
      <c r="P60" s="15"/>
      <c r="Q60" s="16"/>
      <c r="R60" s="2"/>
      <c r="S60" s="12"/>
      <c r="T60" s="17"/>
      <c r="U60" s="2"/>
      <c r="V60" s="18"/>
      <c r="W60" s="8"/>
      <c r="Y60" s="149" t="s">
        <v>34</v>
      </c>
      <c r="Z60" s="152">
        <f t="shared" si="1"/>
        <v>0</v>
      </c>
    </row>
    <row r="61" spans="2:26" ht="18" x14ac:dyDescent="0.35">
      <c r="B61" s="95"/>
      <c r="C61" s="96"/>
      <c r="D61" s="97"/>
      <c r="E61" s="98"/>
      <c r="F61" s="90">
        <v>14</v>
      </c>
      <c r="G61" s="91" t="s">
        <v>19</v>
      </c>
      <c r="H61" s="92">
        <v>2</v>
      </c>
      <c r="I61" s="93">
        <v>28</v>
      </c>
      <c r="J61" s="83"/>
      <c r="K61" s="83"/>
      <c r="L61" s="12"/>
      <c r="M61" s="13"/>
      <c r="N61" s="14"/>
      <c r="O61" s="11"/>
      <c r="P61" s="15"/>
      <c r="Q61" s="16"/>
      <c r="R61" s="2"/>
      <c r="S61" s="12"/>
      <c r="T61" s="17"/>
      <c r="U61" s="2"/>
      <c r="V61" s="18"/>
      <c r="W61" s="8"/>
      <c r="Y61" s="149" t="s">
        <v>35</v>
      </c>
      <c r="Z61" s="152">
        <f t="shared" si="1"/>
        <v>0</v>
      </c>
    </row>
    <row r="62" spans="2:26" ht="18" x14ac:dyDescent="0.35">
      <c r="B62" s="95"/>
      <c r="C62" s="96"/>
      <c r="D62" s="97"/>
      <c r="E62" s="98"/>
      <c r="F62" s="90">
        <v>5.5</v>
      </c>
      <c r="G62" s="91" t="s">
        <v>18</v>
      </c>
      <c r="H62" s="92">
        <v>12</v>
      </c>
      <c r="I62" s="93">
        <v>66</v>
      </c>
      <c r="J62" s="83"/>
      <c r="K62" s="83"/>
      <c r="L62" s="12"/>
      <c r="M62" s="13"/>
      <c r="N62" s="14"/>
      <c r="O62" s="11"/>
      <c r="P62" s="15"/>
      <c r="Q62" s="16"/>
      <c r="R62" s="2"/>
      <c r="S62" s="12"/>
      <c r="T62" s="17"/>
      <c r="U62" s="2"/>
      <c r="V62" s="18"/>
      <c r="W62" s="8"/>
      <c r="Y62" s="149" t="s">
        <v>36</v>
      </c>
      <c r="Z62" s="152">
        <f t="shared" si="1"/>
        <v>0</v>
      </c>
    </row>
    <row r="63" spans="2:26" ht="18" x14ac:dyDescent="0.35">
      <c r="B63" s="95"/>
      <c r="C63" s="96"/>
      <c r="D63" s="97"/>
      <c r="E63" s="98"/>
      <c r="F63" s="90">
        <v>0.6</v>
      </c>
      <c r="G63" s="91" t="s">
        <v>90</v>
      </c>
      <c r="H63" s="92">
        <v>90</v>
      </c>
      <c r="I63" s="93">
        <v>54</v>
      </c>
      <c r="J63" s="83"/>
      <c r="K63" s="83"/>
      <c r="L63" s="12"/>
      <c r="M63" s="13"/>
      <c r="N63" s="14"/>
      <c r="O63" s="11"/>
      <c r="P63" s="15"/>
      <c r="Q63" s="16"/>
      <c r="R63" s="2"/>
      <c r="S63" s="12"/>
      <c r="T63" s="17"/>
      <c r="U63" s="2"/>
      <c r="V63" s="18"/>
      <c r="W63" s="8"/>
      <c r="Y63" s="149" t="s">
        <v>37</v>
      </c>
      <c r="Z63" s="152">
        <f t="shared" si="1"/>
        <v>0</v>
      </c>
    </row>
    <row r="64" spans="2:26" ht="18" x14ac:dyDescent="0.35">
      <c r="B64" s="95"/>
      <c r="C64" s="96"/>
      <c r="D64" s="97"/>
      <c r="E64" s="98"/>
      <c r="F64" s="90">
        <v>0.8</v>
      </c>
      <c r="G64" s="91" t="s">
        <v>23</v>
      </c>
      <c r="H64" s="92">
        <v>55</v>
      </c>
      <c r="I64" s="93">
        <v>44</v>
      </c>
      <c r="J64" s="83"/>
      <c r="K64" s="83"/>
      <c r="L64" s="12"/>
      <c r="M64" s="13"/>
      <c r="N64" s="14"/>
      <c r="O64" s="11"/>
      <c r="P64" s="15"/>
      <c r="Q64" s="16"/>
      <c r="R64" s="2"/>
      <c r="S64" s="12"/>
      <c r="T64" s="17"/>
      <c r="U64" s="2"/>
      <c r="V64" s="18"/>
      <c r="W64" s="8"/>
      <c r="Y64" s="149" t="s">
        <v>38</v>
      </c>
      <c r="Z64" s="152">
        <f t="shared" si="1"/>
        <v>0</v>
      </c>
    </row>
    <row r="65" spans="2:26" ht="18" x14ac:dyDescent="0.35">
      <c r="B65" s="95"/>
      <c r="C65" s="96"/>
      <c r="D65" s="97"/>
      <c r="E65" s="98"/>
      <c r="F65" s="99">
        <v>2</v>
      </c>
      <c r="G65" s="100" t="s">
        <v>94</v>
      </c>
      <c r="H65" s="101">
        <v>10</v>
      </c>
      <c r="I65" s="102">
        <v>20</v>
      </c>
      <c r="J65" s="83"/>
      <c r="K65" s="83"/>
      <c r="L65" s="12"/>
      <c r="M65" s="13"/>
      <c r="N65" s="14"/>
      <c r="O65" s="11"/>
      <c r="P65" s="15"/>
      <c r="Q65" s="16"/>
      <c r="R65" s="2"/>
      <c r="S65" s="12"/>
      <c r="T65" s="17"/>
      <c r="U65" s="2"/>
      <c r="V65" s="18"/>
      <c r="W65" s="8"/>
      <c r="Y65" s="149" t="s">
        <v>40</v>
      </c>
      <c r="Z65" s="152">
        <f t="shared" si="1"/>
        <v>0</v>
      </c>
    </row>
    <row r="66" spans="2:26" ht="18" x14ac:dyDescent="0.35">
      <c r="B66" s="95"/>
      <c r="C66" s="96"/>
      <c r="D66" s="97"/>
      <c r="E66" s="98"/>
      <c r="F66" s="90">
        <v>1.5</v>
      </c>
      <c r="G66" s="91" t="s">
        <v>48</v>
      </c>
      <c r="H66" s="92">
        <v>6</v>
      </c>
      <c r="I66" s="93">
        <v>9</v>
      </c>
      <c r="J66" s="83"/>
      <c r="K66" s="83"/>
      <c r="L66" s="12"/>
      <c r="M66" s="13"/>
      <c r="N66" s="14"/>
      <c r="O66" s="11"/>
      <c r="P66" s="15"/>
      <c r="Q66" s="16"/>
      <c r="R66" s="2"/>
      <c r="S66" s="12"/>
      <c r="T66" s="17"/>
      <c r="U66" s="2"/>
      <c r="V66" s="18"/>
      <c r="W66" s="8"/>
      <c r="Y66" s="149" t="s">
        <v>41</v>
      </c>
      <c r="Z66" s="152">
        <f t="shared" si="1"/>
        <v>0</v>
      </c>
    </row>
    <row r="67" spans="2:26" ht="18" x14ac:dyDescent="0.35">
      <c r="B67" s="95"/>
      <c r="C67" s="96"/>
      <c r="D67" s="97"/>
      <c r="E67" s="98"/>
      <c r="F67" s="103">
        <v>0.4</v>
      </c>
      <c r="G67" s="94" t="s">
        <v>91</v>
      </c>
      <c r="H67" s="104">
        <v>88</v>
      </c>
      <c r="I67" s="105">
        <v>35.200000000000003</v>
      </c>
      <c r="J67" s="83"/>
      <c r="K67" s="83"/>
      <c r="L67" s="12"/>
      <c r="M67" s="13"/>
      <c r="N67" s="14"/>
      <c r="O67" s="11"/>
      <c r="P67" s="15"/>
      <c r="Q67" s="16"/>
      <c r="R67" s="2"/>
      <c r="S67" s="12"/>
      <c r="T67" s="17"/>
      <c r="U67" s="2"/>
      <c r="V67" s="18"/>
      <c r="W67" s="8"/>
      <c r="Y67" s="149" t="s">
        <v>69</v>
      </c>
      <c r="Z67" s="152">
        <f t="shared" si="1"/>
        <v>0</v>
      </c>
    </row>
    <row r="68" spans="2:26" ht="18" x14ac:dyDescent="0.35">
      <c r="B68" s="95"/>
      <c r="C68" s="96"/>
      <c r="D68" s="97"/>
      <c r="E68" s="98"/>
      <c r="F68" s="90">
        <v>0.6</v>
      </c>
      <c r="G68" s="91" t="s">
        <v>23</v>
      </c>
      <c r="H68" s="92">
        <v>55</v>
      </c>
      <c r="I68" s="105">
        <v>33</v>
      </c>
      <c r="J68" s="83"/>
      <c r="K68" s="83"/>
      <c r="L68" s="12"/>
      <c r="M68" s="13"/>
      <c r="N68" s="14"/>
      <c r="O68" s="11"/>
      <c r="P68" s="15"/>
      <c r="Q68" s="16"/>
      <c r="R68" s="2"/>
      <c r="S68" s="12"/>
      <c r="T68" s="17"/>
      <c r="U68" s="2"/>
      <c r="V68" s="18"/>
      <c r="W68" s="8"/>
      <c r="Y68" s="149" t="s">
        <v>108</v>
      </c>
      <c r="Z68" s="152">
        <f t="shared" si="1"/>
        <v>0</v>
      </c>
    </row>
    <row r="69" spans="2:26" ht="18" x14ac:dyDescent="0.35">
      <c r="B69" s="95"/>
      <c r="C69" s="96"/>
      <c r="D69" s="97"/>
      <c r="E69" s="98"/>
      <c r="F69" s="90">
        <v>1.5</v>
      </c>
      <c r="G69" s="91" t="s">
        <v>23</v>
      </c>
      <c r="H69" s="92">
        <v>55</v>
      </c>
      <c r="I69" s="105">
        <v>82.5</v>
      </c>
      <c r="J69" s="83"/>
      <c r="K69" s="83"/>
      <c r="L69" s="12"/>
      <c r="M69" s="13"/>
      <c r="N69" s="14"/>
      <c r="O69" s="11"/>
      <c r="P69" s="15"/>
      <c r="Q69" s="16"/>
      <c r="R69" s="2"/>
      <c r="S69" s="12"/>
      <c r="T69" s="17"/>
      <c r="U69" s="2"/>
      <c r="V69" s="18"/>
      <c r="W69" s="8"/>
      <c r="Y69" s="149" t="s">
        <v>44</v>
      </c>
      <c r="Z69" s="152">
        <f t="shared" si="1"/>
        <v>0</v>
      </c>
    </row>
    <row r="70" spans="2:26" ht="18" x14ac:dyDescent="0.35">
      <c r="B70" s="95"/>
      <c r="C70" s="96"/>
      <c r="D70" s="97"/>
      <c r="E70" s="98"/>
      <c r="F70" s="90">
        <v>3</v>
      </c>
      <c r="G70" s="91" t="s">
        <v>90</v>
      </c>
      <c r="H70" s="92">
        <v>90</v>
      </c>
      <c r="I70" s="105">
        <v>270</v>
      </c>
      <c r="J70" s="83"/>
      <c r="K70" s="83"/>
      <c r="L70" s="12"/>
      <c r="M70" s="13"/>
      <c r="N70" s="14"/>
      <c r="O70" s="11"/>
      <c r="P70" s="15"/>
      <c r="Q70" s="16"/>
      <c r="R70" s="2"/>
      <c r="S70" s="12"/>
      <c r="T70" s="17"/>
      <c r="U70" s="2"/>
      <c r="V70" s="18"/>
      <c r="W70" s="8"/>
      <c r="Y70" s="149" t="s">
        <v>45</v>
      </c>
      <c r="Z70" s="152">
        <f t="shared" si="1"/>
        <v>0</v>
      </c>
    </row>
    <row r="71" spans="2:26" ht="18" x14ac:dyDescent="0.35">
      <c r="B71" s="95"/>
      <c r="C71" s="96"/>
      <c r="D71" s="97"/>
      <c r="E71" s="98"/>
      <c r="F71" s="90"/>
      <c r="G71" s="91"/>
      <c r="H71" s="92"/>
      <c r="I71" s="105"/>
      <c r="J71" s="83"/>
      <c r="K71" s="83"/>
      <c r="L71" s="12"/>
      <c r="M71" s="13"/>
      <c r="N71" s="14"/>
      <c r="O71" s="11"/>
      <c r="P71" s="15"/>
      <c r="Q71" s="16"/>
      <c r="R71" s="2"/>
      <c r="S71" s="12"/>
      <c r="T71" s="17"/>
      <c r="U71" s="2"/>
      <c r="V71" s="18"/>
      <c r="W71" s="8"/>
      <c r="Y71" s="149" t="s">
        <v>49</v>
      </c>
      <c r="Z71" s="152">
        <f t="shared" si="1"/>
        <v>0</v>
      </c>
    </row>
    <row r="72" spans="2:26" ht="18" x14ac:dyDescent="0.35">
      <c r="B72" s="106"/>
      <c r="C72" s="107"/>
      <c r="D72" s="108"/>
      <c r="E72" s="109"/>
      <c r="F72" s="90"/>
      <c r="G72" s="91"/>
      <c r="H72" s="92"/>
      <c r="I72" s="105"/>
      <c r="J72" s="83"/>
      <c r="K72" s="83"/>
      <c r="L72" s="12"/>
      <c r="M72" s="13"/>
      <c r="N72" s="14"/>
      <c r="O72" s="11"/>
      <c r="P72" s="15"/>
      <c r="Q72" s="16"/>
      <c r="R72" s="2"/>
      <c r="S72" s="12"/>
      <c r="T72" s="17"/>
      <c r="U72" s="2"/>
      <c r="V72" s="18"/>
      <c r="W72" s="8"/>
      <c r="Y72" s="149" t="s">
        <v>50</v>
      </c>
      <c r="Z72" s="152">
        <f t="shared" si="1"/>
        <v>0</v>
      </c>
    </row>
    <row r="73" spans="2:26" ht="18" x14ac:dyDescent="0.35">
      <c r="B73" s="95"/>
      <c r="C73" s="96"/>
      <c r="D73" s="97"/>
      <c r="E73" s="98"/>
      <c r="F73" s="90"/>
      <c r="G73" s="91"/>
      <c r="H73" s="92"/>
      <c r="I73" s="105"/>
      <c r="J73" s="83"/>
      <c r="K73" s="83"/>
      <c r="L73" s="20"/>
      <c r="M73" s="21"/>
      <c r="N73" s="22"/>
      <c r="O73" s="19"/>
      <c r="P73" s="23"/>
      <c r="Q73" s="24"/>
      <c r="R73" s="2"/>
      <c r="S73" s="20"/>
      <c r="T73" s="25"/>
      <c r="U73" s="2"/>
      <c r="V73" s="26"/>
      <c r="W73" s="27"/>
      <c r="Y73" s="149" t="s">
        <v>51</v>
      </c>
      <c r="Z73" s="152">
        <f t="shared" si="1"/>
        <v>0</v>
      </c>
    </row>
    <row r="74" spans="2:26" ht="18" x14ac:dyDescent="0.35">
      <c r="B74" s="110"/>
      <c r="C74" s="111"/>
      <c r="D74" s="112"/>
      <c r="E74" s="113"/>
      <c r="F74" s="90"/>
      <c r="G74" s="91"/>
      <c r="H74" s="92"/>
      <c r="I74" s="105"/>
      <c r="J74" s="83"/>
      <c r="K74" s="83"/>
      <c r="L74" s="12"/>
      <c r="M74" s="28"/>
      <c r="N74" s="14"/>
      <c r="O74" s="11"/>
      <c r="P74" s="11"/>
      <c r="Q74" s="16"/>
      <c r="R74" s="2"/>
      <c r="S74" s="12"/>
      <c r="T74" s="17"/>
      <c r="U74" s="2"/>
      <c r="V74" s="18"/>
      <c r="W74" s="16"/>
      <c r="Y74" s="149" t="s">
        <v>52</v>
      </c>
      <c r="Z74" s="152">
        <f t="shared" si="1"/>
        <v>0</v>
      </c>
    </row>
    <row r="75" spans="2:26" ht="18" x14ac:dyDescent="0.35">
      <c r="B75" s="95"/>
      <c r="C75" s="96"/>
      <c r="D75" s="97"/>
      <c r="E75" s="113"/>
      <c r="F75" s="90"/>
      <c r="G75" s="91"/>
      <c r="H75" s="92"/>
      <c r="I75" s="105"/>
      <c r="J75" s="83"/>
      <c r="K75" s="83"/>
      <c r="L75" s="12"/>
      <c r="M75" s="28"/>
      <c r="N75" s="14"/>
      <c r="O75" s="11"/>
      <c r="P75" s="11"/>
      <c r="Q75" s="16"/>
      <c r="R75" s="2"/>
      <c r="S75" s="12"/>
      <c r="T75" s="17"/>
      <c r="U75" s="2"/>
      <c r="V75" s="18"/>
      <c r="W75" s="16"/>
      <c r="Y75" s="149" t="s">
        <v>72</v>
      </c>
      <c r="Z75" s="152">
        <f t="shared" si="1"/>
        <v>0</v>
      </c>
    </row>
    <row r="76" spans="2:26" ht="18" x14ac:dyDescent="0.35">
      <c r="B76" s="95"/>
      <c r="C76" s="96"/>
      <c r="D76" s="97"/>
      <c r="E76" s="113"/>
      <c r="F76" s="90"/>
      <c r="G76" s="91"/>
      <c r="H76" s="92"/>
      <c r="I76" s="105"/>
      <c r="J76" s="83"/>
      <c r="K76" s="83"/>
      <c r="L76" s="12"/>
      <c r="M76" s="28"/>
      <c r="N76" s="14"/>
      <c r="O76" s="11"/>
      <c r="P76" s="11"/>
      <c r="Q76" s="16"/>
      <c r="R76" s="2"/>
      <c r="S76" s="12"/>
      <c r="T76" s="17"/>
      <c r="U76" s="2"/>
      <c r="V76" s="18"/>
      <c r="W76" s="16"/>
      <c r="Y76" s="149" t="s">
        <v>71</v>
      </c>
      <c r="Z76" s="152">
        <f t="shared" si="1"/>
        <v>0</v>
      </c>
    </row>
    <row r="77" spans="2:26" ht="18" x14ac:dyDescent="0.35">
      <c r="B77" s="95"/>
      <c r="C77" s="96"/>
      <c r="D77" s="97"/>
      <c r="E77" s="113"/>
      <c r="F77" s="90"/>
      <c r="G77" s="91"/>
      <c r="H77" s="92"/>
      <c r="I77" s="105"/>
      <c r="J77" s="83"/>
      <c r="K77" s="83"/>
      <c r="L77" s="12"/>
      <c r="M77" s="28"/>
      <c r="N77" s="14"/>
      <c r="O77" s="11"/>
      <c r="P77" s="11"/>
      <c r="Q77" s="16"/>
      <c r="R77" s="2"/>
      <c r="S77" s="12"/>
      <c r="T77" s="17"/>
      <c r="U77" s="2"/>
      <c r="V77" s="18"/>
      <c r="W77" s="16"/>
      <c r="Y77" s="149" t="s">
        <v>53</v>
      </c>
      <c r="Z77" s="152">
        <f t="shared" ref="Z77:Z79" si="2">SUMIF($G$9:$G$129, Y77, $F$9:$F$129)</f>
        <v>0</v>
      </c>
    </row>
    <row r="78" spans="2:26" ht="18" x14ac:dyDescent="0.35">
      <c r="B78" s="95"/>
      <c r="C78" s="96"/>
      <c r="D78" s="97"/>
      <c r="E78" s="113"/>
      <c r="F78" s="90"/>
      <c r="G78" s="91"/>
      <c r="H78" s="92"/>
      <c r="I78" s="105"/>
      <c r="J78" s="83"/>
      <c r="K78" s="83"/>
      <c r="L78" s="12"/>
      <c r="M78" s="28"/>
      <c r="N78" s="14"/>
      <c r="O78" s="11"/>
      <c r="P78" s="11"/>
      <c r="Q78" s="16"/>
      <c r="R78" s="2"/>
      <c r="S78" s="12"/>
      <c r="T78" s="17"/>
      <c r="U78" s="2"/>
      <c r="V78" s="18"/>
      <c r="W78" s="16"/>
      <c r="Y78" s="149" t="s">
        <v>54</v>
      </c>
      <c r="Z78" s="152">
        <f t="shared" si="2"/>
        <v>0</v>
      </c>
    </row>
    <row r="79" spans="2:26" ht="18.600000000000001" thickBot="1" x14ac:dyDescent="0.4">
      <c r="B79" s="95"/>
      <c r="C79" s="96"/>
      <c r="D79" s="97"/>
      <c r="E79" s="113"/>
      <c r="F79" s="90"/>
      <c r="G79" s="91"/>
      <c r="H79" s="92"/>
      <c r="I79" s="105"/>
      <c r="J79" s="83"/>
      <c r="K79" s="83"/>
      <c r="L79" s="12"/>
      <c r="M79" s="28"/>
      <c r="N79" s="14"/>
      <c r="O79" s="11"/>
      <c r="P79" s="11"/>
      <c r="Q79" s="16"/>
      <c r="R79" s="2"/>
      <c r="S79" s="12"/>
      <c r="T79" s="17"/>
      <c r="U79" s="2"/>
      <c r="V79" s="18"/>
      <c r="W79" s="16"/>
      <c r="Y79" s="150" t="s">
        <v>55</v>
      </c>
      <c r="Z79" s="153">
        <f t="shared" si="2"/>
        <v>0</v>
      </c>
    </row>
    <row r="80" spans="2:26" ht="18" x14ac:dyDescent="0.35">
      <c r="B80" s="95"/>
      <c r="C80" s="96"/>
      <c r="D80" s="97"/>
      <c r="E80" s="113"/>
      <c r="F80" s="90"/>
      <c r="G80" s="91"/>
      <c r="H80" s="92"/>
      <c r="I80" s="105"/>
      <c r="J80" s="83"/>
      <c r="K80" s="83"/>
      <c r="L80" s="12"/>
      <c r="M80" s="28"/>
      <c r="N80" s="14"/>
      <c r="O80" s="11"/>
      <c r="P80" s="11"/>
      <c r="Q80" s="16"/>
      <c r="R80" s="2"/>
      <c r="S80" s="12"/>
      <c r="T80" s="17"/>
      <c r="U80" s="2"/>
      <c r="V80" s="18"/>
      <c r="W80" s="16"/>
    </row>
    <row r="81" spans="2:23" ht="18" x14ac:dyDescent="0.35">
      <c r="B81" s="95"/>
      <c r="C81" s="96"/>
      <c r="D81" s="97"/>
      <c r="E81" s="113"/>
      <c r="F81" s="90"/>
      <c r="G81" s="91"/>
      <c r="H81" s="92"/>
      <c r="I81" s="105"/>
      <c r="J81" s="83"/>
      <c r="K81" s="83"/>
      <c r="L81" s="12"/>
      <c r="M81" s="28"/>
      <c r="N81" s="14"/>
      <c r="O81" s="11"/>
      <c r="P81" s="11"/>
      <c r="Q81" s="16"/>
      <c r="R81" s="2"/>
      <c r="S81" s="12"/>
      <c r="T81" s="17"/>
      <c r="U81" s="2"/>
      <c r="V81" s="18"/>
      <c r="W81" s="16"/>
    </row>
    <row r="82" spans="2:23" ht="18" x14ac:dyDescent="0.35">
      <c r="B82" s="95"/>
      <c r="C82" s="96"/>
      <c r="D82" s="97"/>
      <c r="E82" s="113"/>
      <c r="F82" s="90"/>
      <c r="G82" s="91"/>
      <c r="H82" s="92"/>
      <c r="I82" s="105"/>
      <c r="J82" s="83"/>
      <c r="K82" s="83"/>
      <c r="L82" s="12"/>
      <c r="M82" s="28"/>
      <c r="N82" s="14"/>
      <c r="O82" s="11"/>
      <c r="P82" s="11"/>
      <c r="Q82" s="16"/>
      <c r="R82" s="2"/>
      <c r="S82" s="12"/>
      <c r="T82" s="17"/>
      <c r="U82" s="2"/>
      <c r="V82" s="18"/>
      <c r="W82" s="16"/>
    </row>
    <row r="83" spans="2:23" ht="18" x14ac:dyDescent="0.35">
      <c r="B83" s="95"/>
      <c r="C83" s="96"/>
      <c r="D83" s="97"/>
      <c r="E83" s="113"/>
      <c r="F83" s="90"/>
      <c r="G83" s="91"/>
      <c r="H83" s="92"/>
      <c r="I83" s="105"/>
      <c r="J83" s="83"/>
      <c r="K83" s="83"/>
      <c r="L83" s="12"/>
      <c r="M83" s="28"/>
      <c r="N83" s="14"/>
      <c r="O83" s="11"/>
      <c r="P83" s="11"/>
      <c r="Q83" s="16"/>
      <c r="R83" s="2"/>
      <c r="S83" s="12"/>
      <c r="T83" s="17"/>
      <c r="U83" s="2"/>
      <c r="V83" s="18"/>
      <c r="W83" s="16"/>
    </row>
    <row r="84" spans="2:23" ht="18" x14ac:dyDescent="0.35">
      <c r="B84" s="95"/>
      <c r="C84" s="96"/>
      <c r="D84" s="97"/>
      <c r="E84" s="113"/>
      <c r="F84" s="90"/>
      <c r="G84" s="91"/>
      <c r="H84" s="92"/>
      <c r="I84" s="105"/>
      <c r="J84" s="83"/>
      <c r="K84" s="83"/>
      <c r="L84" s="12"/>
      <c r="M84" s="28"/>
      <c r="N84" s="14"/>
      <c r="O84" s="11"/>
      <c r="P84" s="11"/>
      <c r="Q84" s="16"/>
      <c r="R84" s="2"/>
      <c r="S84" s="12"/>
      <c r="T84" s="17"/>
      <c r="U84" s="2"/>
      <c r="V84" s="18"/>
      <c r="W84" s="16"/>
    </row>
    <row r="85" spans="2:23" ht="18" x14ac:dyDescent="0.35">
      <c r="B85" s="95"/>
      <c r="C85" s="96"/>
      <c r="D85" s="97"/>
      <c r="E85" s="113"/>
      <c r="F85" s="90"/>
      <c r="G85" s="91"/>
      <c r="H85" s="92"/>
      <c r="I85" s="105"/>
      <c r="J85" s="83"/>
      <c r="K85" s="83"/>
      <c r="L85" s="12"/>
      <c r="M85" s="28"/>
      <c r="N85" s="14"/>
      <c r="O85" s="11"/>
      <c r="P85" s="11"/>
      <c r="Q85" s="16"/>
      <c r="R85" s="2"/>
      <c r="S85" s="12"/>
      <c r="T85" s="17"/>
      <c r="U85" s="2"/>
      <c r="V85" s="18"/>
      <c r="W85" s="16"/>
    </row>
    <row r="86" spans="2:23" ht="18" x14ac:dyDescent="0.35">
      <c r="B86" s="95"/>
      <c r="C86" s="96"/>
      <c r="D86" s="97"/>
      <c r="E86" s="113"/>
      <c r="F86" s="90"/>
      <c r="G86" s="91"/>
      <c r="H86" s="92"/>
      <c r="I86" s="105"/>
      <c r="J86" s="83"/>
      <c r="K86" s="83"/>
      <c r="L86" s="12"/>
      <c r="M86" s="28"/>
      <c r="N86" s="14"/>
      <c r="O86" s="11"/>
      <c r="P86" s="11"/>
      <c r="Q86" s="16"/>
      <c r="R86" s="2"/>
      <c r="S86" s="12"/>
      <c r="T86" s="17"/>
      <c r="U86" s="2"/>
      <c r="V86" s="18"/>
      <c r="W86" s="16"/>
    </row>
    <row r="87" spans="2:23" ht="18" x14ac:dyDescent="0.35">
      <c r="B87" s="95"/>
      <c r="C87" s="96"/>
      <c r="D87" s="97"/>
      <c r="E87" s="113"/>
      <c r="F87" s="90"/>
      <c r="G87" s="91"/>
      <c r="H87" s="92"/>
      <c r="I87" s="105"/>
      <c r="J87" s="83"/>
      <c r="K87" s="83"/>
      <c r="L87" s="12"/>
      <c r="M87" s="28"/>
      <c r="N87" s="14"/>
      <c r="O87" s="11"/>
      <c r="P87" s="11"/>
      <c r="Q87" s="16"/>
      <c r="R87" s="2"/>
      <c r="S87" s="12"/>
      <c r="T87" s="17"/>
      <c r="U87" s="2"/>
      <c r="V87" s="18"/>
      <c r="W87" s="16"/>
    </row>
    <row r="88" spans="2:23" ht="18" x14ac:dyDescent="0.35">
      <c r="B88" s="95"/>
      <c r="C88" s="96"/>
      <c r="D88" s="97"/>
      <c r="E88" s="113"/>
      <c r="F88" s="90"/>
      <c r="G88" s="91"/>
      <c r="H88" s="92"/>
      <c r="I88" s="105"/>
      <c r="J88" s="83"/>
      <c r="K88" s="83"/>
      <c r="L88" s="12"/>
      <c r="M88" s="28"/>
      <c r="N88" s="14"/>
      <c r="O88" s="11"/>
      <c r="P88" s="11"/>
      <c r="Q88" s="16"/>
      <c r="R88" s="2"/>
      <c r="S88" s="12"/>
      <c r="T88" s="17"/>
      <c r="U88" s="2"/>
      <c r="V88" s="18"/>
      <c r="W88" s="16"/>
    </row>
    <row r="89" spans="2:23" ht="18" x14ac:dyDescent="0.35">
      <c r="B89" s="95"/>
      <c r="C89" s="96"/>
      <c r="D89" s="97"/>
      <c r="E89" s="113"/>
      <c r="F89" s="90"/>
      <c r="G89" s="91"/>
      <c r="H89" s="92"/>
      <c r="I89" s="105"/>
      <c r="J89" s="83"/>
      <c r="K89" s="83"/>
      <c r="L89" s="12"/>
      <c r="M89" s="28"/>
      <c r="N89" s="14"/>
      <c r="O89" s="11"/>
      <c r="P89" s="11"/>
      <c r="Q89" s="16"/>
      <c r="R89" s="2"/>
      <c r="S89" s="12"/>
      <c r="T89" s="17"/>
      <c r="U89" s="2"/>
      <c r="V89" s="18"/>
      <c r="W89" s="16"/>
    </row>
    <row r="90" spans="2:23" ht="18" x14ac:dyDescent="0.35">
      <c r="B90" s="95"/>
      <c r="C90" s="96"/>
      <c r="D90" s="97"/>
      <c r="E90" s="113"/>
      <c r="F90" s="90"/>
      <c r="G90" s="91"/>
      <c r="H90" s="92"/>
      <c r="I90" s="105"/>
      <c r="J90" s="83"/>
      <c r="K90" s="83"/>
      <c r="L90" s="12"/>
      <c r="M90" s="28"/>
      <c r="N90" s="14"/>
      <c r="O90" s="11"/>
      <c r="P90" s="11"/>
      <c r="Q90" s="16"/>
      <c r="R90" s="2"/>
      <c r="S90" s="12"/>
      <c r="T90" s="17"/>
      <c r="U90" s="2"/>
      <c r="V90" s="18"/>
      <c r="W90" s="16"/>
    </row>
    <row r="91" spans="2:23" ht="18" x14ac:dyDescent="0.35">
      <c r="B91" s="95"/>
      <c r="C91" s="96"/>
      <c r="D91" s="97"/>
      <c r="E91" s="113"/>
      <c r="F91" s="90"/>
      <c r="G91" s="91"/>
      <c r="H91" s="92"/>
      <c r="I91" s="105"/>
      <c r="J91" s="83"/>
      <c r="K91" s="83"/>
      <c r="L91" s="12"/>
      <c r="M91" s="28"/>
      <c r="N91" s="14"/>
      <c r="O91" s="11"/>
      <c r="P91" s="11"/>
      <c r="Q91" s="16"/>
      <c r="R91" s="2"/>
      <c r="S91" s="12"/>
      <c r="T91" s="17"/>
      <c r="U91" s="2"/>
      <c r="V91" s="18"/>
      <c r="W91" s="16"/>
    </row>
    <row r="92" spans="2:23" ht="18" x14ac:dyDescent="0.35">
      <c r="B92" s="95"/>
      <c r="C92" s="96"/>
      <c r="D92" s="97"/>
      <c r="E92" s="113"/>
      <c r="F92" s="90"/>
      <c r="G92" s="91"/>
      <c r="H92" s="92"/>
      <c r="I92" s="105"/>
      <c r="J92" s="83"/>
      <c r="K92" s="83"/>
      <c r="L92" s="12"/>
      <c r="M92" s="28"/>
      <c r="N92" s="14"/>
      <c r="O92" s="11"/>
      <c r="P92" s="11"/>
      <c r="Q92" s="16"/>
      <c r="R92" s="2"/>
      <c r="S92" s="12"/>
      <c r="T92" s="17"/>
      <c r="U92" s="2"/>
      <c r="V92" s="18"/>
      <c r="W92" s="16"/>
    </row>
    <row r="93" spans="2:23" ht="18" x14ac:dyDescent="0.35">
      <c r="B93" s="95"/>
      <c r="C93" s="96"/>
      <c r="D93" s="97"/>
      <c r="E93" s="113"/>
      <c r="F93" s="90"/>
      <c r="G93" s="91"/>
      <c r="H93" s="92"/>
      <c r="I93" s="105"/>
      <c r="J93" s="83"/>
      <c r="K93" s="83"/>
      <c r="L93" s="12"/>
      <c r="M93" s="28"/>
      <c r="N93" s="14"/>
      <c r="O93" s="11"/>
      <c r="P93" s="11"/>
      <c r="Q93" s="16"/>
      <c r="R93" s="2"/>
      <c r="S93" s="12"/>
      <c r="T93" s="17"/>
      <c r="U93" s="2"/>
      <c r="V93" s="18"/>
      <c r="W93" s="16"/>
    </row>
    <row r="94" spans="2:23" ht="18" x14ac:dyDescent="0.35">
      <c r="B94" s="95"/>
      <c r="C94" s="96"/>
      <c r="D94" s="97"/>
      <c r="E94" s="113"/>
      <c r="F94" s="90"/>
      <c r="G94" s="91"/>
      <c r="H94" s="92"/>
      <c r="I94" s="105"/>
      <c r="J94" s="83"/>
      <c r="K94" s="83"/>
      <c r="L94" s="12"/>
      <c r="M94" s="28"/>
      <c r="N94" s="14"/>
      <c r="O94" s="11"/>
      <c r="P94" s="11"/>
      <c r="Q94" s="16"/>
      <c r="R94" s="2"/>
      <c r="S94" s="12"/>
      <c r="T94" s="17"/>
      <c r="U94" s="2"/>
      <c r="V94" s="18"/>
      <c r="W94" s="16"/>
    </row>
    <row r="95" spans="2:23" ht="18" x14ac:dyDescent="0.35">
      <c r="B95" s="95"/>
      <c r="C95" s="96"/>
      <c r="D95" s="97"/>
      <c r="E95" s="113"/>
      <c r="F95" s="90"/>
      <c r="G95" s="91"/>
      <c r="H95" s="92"/>
      <c r="I95" s="105"/>
      <c r="J95" s="83"/>
      <c r="K95" s="83"/>
      <c r="L95" s="12"/>
      <c r="M95" s="28"/>
      <c r="N95" s="14"/>
      <c r="O95" s="11"/>
      <c r="P95" s="11"/>
      <c r="Q95" s="16"/>
      <c r="R95" s="2"/>
      <c r="S95" s="12"/>
      <c r="T95" s="17"/>
      <c r="U95" s="2"/>
      <c r="V95" s="18"/>
      <c r="W95" s="16"/>
    </row>
    <row r="96" spans="2:23" ht="18" x14ac:dyDescent="0.35">
      <c r="B96" s="95"/>
      <c r="C96" s="96"/>
      <c r="D96" s="97"/>
      <c r="E96" s="113"/>
      <c r="F96" s="90"/>
      <c r="G96" s="91"/>
      <c r="H96" s="92"/>
      <c r="I96" s="105"/>
      <c r="J96" s="83"/>
      <c r="K96" s="83"/>
      <c r="L96" s="12"/>
      <c r="M96" s="28"/>
      <c r="N96" s="14"/>
      <c r="O96" s="11"/>
      <c r="P96" s="11"/>
      <c r="Q96" s="16"/>
      <c r="R96" s="2"/>
      <c r="S96" s="12"/>
      <c r="T96" s="17"/>
      <c r="U96" s="2"/>
      <c r="V96" s="18"/>
      <c r="W96" s="16"/>
    </row>
    <row r="97" spans="2:23" ht="18" x14ac:dyDescent="0.35">
      <c r="B97" s="95"/>
      <c r="C97" s="96"/>
      <c r="D97" s="97"/>
      <c r="E97" s="113"/>
      <c r="F97" s="90"/>
      <c r="G97" s="91"/>
      <c r="H97" s="92"/>
      <c r="I97" s="105"/>
      <c r="J97" s="83"/>
      <c r="K97" s="83"/>
      <c r="L97" s="12"/>
      <c r="M97" s="28"/>
      <c r="N97" s="14"/>
      <c r="O97" s="11"/>
      <c r="P97" s="11"/>
      <c r="Q97" s="16"/>
      <c r="R97" s="2"/>
      <c r="S97" s="12"/>
      <c r="T97" s="17"/>
      <c r="U97" s="2"/>
      <c r="V97" s="18"/>
      <c r="W97" s="16"/>
    </row>
    <row r="98" spans="2:23" ht="18" x14ac:dyDescent="0.35">
      <c r="B98" s="95"/>
      <c r="C98" s="96"/>
      <c r="D98" s="97"/>
      <c r="E98" s="113"/>
      <c r="F98" s="90"/>
      <c r="G98" s="91"/>
      <c r="H98" s="92"/>
      <c r="I98" s="105"/>
      <c r="J98" s="83"/>
      <c r="K98" s="83"/>
      <c r="L98" s="12"/>
      <c r="M98" s="28"/>
      <c r="N98" s="14"/>
      <c r="O98" s="11"/>
      <c r="P98" s="11"/>
      <c r="Q98" s="16"/>
      <c r="R98" s="2"/>
      <c r="S98" s="12"/>
      <c r="T98" s="17"/>
      <c r="U98" s="2"/>
      <c r="V98" s="18"/>
      <c r="W98" s="16"/>
    </row>
    <row r="99" spans="2:23" ht="18" x14ac:dyDescent="0.35">
      <c r="B99" s="95"/>
      <c r="C99" s="96"/>
      <c r="D99" s="97"/>
      <c r="E99" s="113"/>
      <c r="F99" s="90"/>
      <c r="G99" s="91"/>
      <c r="H99" s="92"/>
      <c r="I99" s="105"/>
      <c r="J99" s="83"/>
      <c r="K99" s="83"/>
      <c r="L99" s="12"/>
      <c r="M99" s="28"/>
      <c r="N99" s="14"/>
      <c r="O99" s="11"/>
      <c r="P99" s="11"/>
      <c r="Q99" s="16"/>
      <c r="R99" s="2"/>
      <c r="S99" s="12"/>
      <c r="T99" s="17"/>
      <c r="U99" s="2"/>
      <c r="V99" s="18"/>
      <c r="W99" s="16"/>
    </row>
    <row r="100" spans="2:23" ht="18" x14ac:dyDescent="0.35">
      <c r="B100" s="95"/>
      <c r="C100" s="96"/>
      <c r="D100" s="97"/>
      <c r="E100" s="113"/>
      <c r="F100" s="90"/>
      <c r="G100" s="91"/>
      <c r="H100" s="92"/>
      <c r="I100" s="105"/>
      <c r="J100" s="83"/>
      <c r="K100" s="83"/>
      <c r="L100" s="12"/>
      <c r="M100" s="28"/>
      <c r="N100" s="14"/>
      <c r="O100" s="11"/>
      <c r="P100" s="11"/>
      <c r="Q100" s="16"/>
      <c r="R100" s="2"/>
      <c r="S100" s="12"/>
      <c r="T100" s="17"/>
      <c r="U100" s="2"/>
      <c r="V100" s="18"/>
      <c r="W100" s="16"/>
    </row>
    <row r="101" spans="2:23" ht="18" x14ac:dyDescent="0.35">
      <c r="B101" s="95"/>
      <c r="C101" s="96"/>
      <c r="D101" s="97"/>
      <c r="E101" s="113"/>
      <c r="F101" s="90"/>
      <c r="G101" s="91"/>
      <c r="H101" s="92"/>
      <c r="I101" s="105"/>
      <c r="J101" s="83"/>
      <c r="K101" s="83"/>
      <c r="L101" s="12"/>
      <c r="M101" s="28"/>
      <c r="N101" s="14"/>
      <c r="O101" s="11"/>
      <c r="P101" s="11"/>
      <c r="Q101" s="16"/>
      <c r="R101" s="2"/>
      <c r="S101" s="12"/>
      <c r="T101" s="17"/>
      <c r="U101" s="2"/>
      <c r="V101" s="18"/>
      <c r="W101" s="16"/>
    </row>
    <row r="102" spans="2:23" ht="18" x14ac:dyDescent="0.35">
      <c r="B102" s="95"/>
      <c r="C102" s="96"/>
      <c r="D102" s="97"/>
      <c r="E102" s="113"/>
      <c r="F102" s="90"/>
      <c r="G102" s="91"/>
      <c r="H102" s="92"/>
      <c r="I102" s="105"/>
      <c r="J102" s="83"/>
      <c r="K102" s="83"/>
      <c r="L102" s="12"/>
      <c r="M102" s="28"/>
      <c r="N102" s="14"/>
      <c r="O102" s="11"/>
      <c r="P102" s="11"/>
      <c r="Q102" s="16"/>
      <c r="R102" s="2"/>
      <c r="S102" s="12"/>
      <c r="T102" s="17"/>
      <c r="U102" s="2"/>
      <c r="V102" s="18"/>
      <c r="W102" s="16"/>
    </row>
    <row r="103" spans="2:23" ht="18" x14ac:dyDescent="0.35">
      <c r="B103" s="95"/>
      <c r="C103" s="96"/>
      <c r="D103" s="97"/>
      <c r="E103" s="113"/>
      <c r="F103" s="90"/>
      <c r="G103" s="91"/>
      <c r="H103" s="92"/>
      <c r="I103" s="105"/>
      <c r="J103" s="83"/>
      <c r="K103" s="83"/>
      <c r="L103" s="12"/>
      <c r="M103" s="28"/>
      <c r="N103" s="14"/>
      <c r="O103" s="11"/>
      <c r="P103" s="11"/>
      <c r="Q103" s="16"/>
      <c r="R103" s="2"/>
      <c r="S103" s="12"/>
      <c r="T103" s="17"/>
      <c r="U103" s="2"/>
      <c r="V103" s="18"/>
      <c r="W103" s="16"/>
    </row>
    <row r="104" spans="2:23" ht="18" x14ac:dyDescent="0.35">
      <c r="B104" s="95"/>
      <c r="C104" s="96"/>
      <c r="D104" s="97"/>
      <c r="E104" s="113"/>
      <c r="F104" s="90"/>
      <c r="G104" s="91"/>
      <c r="H104" s="92"/>
      <c r="I104" s="105"/>
      <c r="J104" s="83"/>
      <c r="K104" s="83"/>
      <c r="L104" s="12"/>
      <c r="M104" s="28"/>
      <c r="N104" s="14"/>
      <c r="O104" s="11"/>
      <c r="P104" s="11"/>
      <c r="Q104" s="16"/>
      <c r="R104" s="2"/>
      <c r="S104" s="12"/>
      <c r="T104" s="17"/>
      <c r="U104" s="2"/>
      <c r="V104" s="18"/>
      <c r="W104" s="16"/>
    </row>
    <row r="105" spans="2:23" ht="18" x14ac:dyDescent="0.35">
      <c r="B105" s="95"/>
      <c r="C105" s="96"/>
      <c r="D105" s="97"/>
      <c r="E105" s="113"/>
      <c r="F105" s="90"/>
      <c r="G105" s="91"/>
      <c r="H105" s="92"/>
      <c r="I105" s="105"/>
      <c r="J105" s="83"/>
      <c r="K105" s="83"/>
      <c r="L105" s="12"/>
      <c r="M105" s="28"/>
      <c r="N105" s="14"/>
      <c r="O105" s="11"/>
      <c r="P105" s="11"/>
      <c r="Q105" s="16"/>
      <c r="R105" s="2"/>
      <c r="S105" s="12"/>
      <c r="T105" s="17"/>
      <c r="U105" s="2"/>
      <c r="V105" s="18"/>
      <c r="W105" s="16"/>
    </row>
    <row r="106" spans="2:23" ht="18" x14ac:dyDescent="0.35">
      <c r="B106" s="95"/>
      <c r="C106" s="96"/>
      <c r="D106" s="97"/>
      <c r="E106" s="113"/>
      <c r="F106" s="90"/>
      <c r="G106" s="91"/>
      <c r="H106" s="92"/>
      <c r="I106" s="105"/>
      <c r="J106" s="83"/>
      <c r="K106" s="83"/>
      <c r="L106" s="12"/>
      <c r="M106" s="28"/>
      <c r="N106" s="14"/>
      <c r="O106" s="11"/>
      <c r="P106" s="11"/>
      <c r="Q106" s="16"/>
      <c r="R106" s="2"/>
      <c r="S106" s="12"/>
      <c r="T106" s="17"/>
      <c r="U106" s="2"/>
      <c r="V106" s="18"/>
      <c r="W106" s="16"/>
    </row>
    <row r="107" spans="2:23" ht="18" x14ac:dyDescent="0.35">
      <c r="B107" s="95"/>
      <c r="C107" s="96"/>
      <c r="D107" s="97"/>
      <c r="E107" s="113"/>
      <c r="F107" s="90"/>
      <c r="G107" s="91"/>
      <c r="H107" s="92"/>
      <c r="I107" s="105"/>
      <c r="J107" s="83"/>
      <c r="K107" s="83"/>
      <c r="L107" s="12"/>
      <c r="M107" s="28"/>
      <c r="N107" s="14"/>
      <c r="O107" s="11"/>
      <c r="P107" s="11"/>
      <c r="Q107" s="16"/>
      <c r="R107" s="2"/>
      <c r="S107" s="12"/>
      <c r="T107" s="17"/>
      <c r="U107" s="2"/>
      <c r="V107" s="18"/>
      <c r="W107" s="16"/>
    </row>
    <row r="108" spans="2:23" ht="18" x14ac:dyDescent="0.35">
      <c r="B108" s="95"/>
      <c r="C108" s="96"/>
      <c r="D108" s="97"/>
      <c r="E108" s="113"/>
      <c r="F108" s="90"/>
      <c r="G108" s="91"/>
      <c r="H108" s="92"/>
      <c r="I108" s="105"/>
      <c r="J108" s="83"/>
      <c r="K108" s="83"/>
      <c r="L108" s="12"/>
      <c r="M108" s="28"/>
      <c r="N108" s="14"/>
      <c r="O108" s="11"/>
      <c r="P108" s="11"/>
      <c r="Q108" s="16"/>
      <c r="R108" s="2"/>
      <c r="S108" s="12"/>
      <c r="T108" s="17"/>
      <c r="U108" s="2"/>
      <c r="V108" s="18"/>
      <c r="W108" s="16"/>
    </row>
    <row r="109" spans="2:23" ht="18" x14ac:dyDescent="0.35">
      <c r="B109" s="95"/>
      <c r="C109" s="96"/>
      <c r="D109" s="97"/>
      <c r="E109" s="113"/>
      <c r="F109" s="90"/>
      <c r="G109" s="91"/>
      <c r="H109" s="92"/>
      <c r="I109" s="105"/>
      <c r="J109" s="83"/>
      <c r="K109" s="83"/>
      <c r="L109" s="12"/>
      <c r="M109" s="28"/>
      <c r="N109" s="14"/>
      <c r="O109" s="11"/>
      <c r="P109" s="11"/>
      <c r="Q109" s="16"/>
      <c r="R109" s="2"/>
      <c r="S109" s="12"/>
      <c r="T109" s="17"/>
      <c r="U109" s="2"/>
      <c r="V109" s="18"/>
      <c r="W109" s="16"/>
    </row>
    <row r="110" spans="2:23" ht="18" x14ac:dyDescent="0.35">
      <c r="B110" s="95"/>
      <c r="C110" s="96"/>
      <c r="D110" s="97"/>
      <c r="E110" s="113"/>
      <c r="F110" s="90"/>
      <c r="G110" s="91"/>
      <c r="H110" s="92"/>
      <c r="I110" s="105"/>
      <c r="J110" s="83"/>
      <c r="K110" s="83"/>
      <c r="L110" s="12"/>
      <c r="M110" s="28"/>
      <c r="N110" s="14"/>
      <c r="O110" s="11"/>
      <c r="P110" s="11"/>
      <c r="Q110" s="16"/>
      <c r="R110" s="2"/>
      <c r="S110" s="12"/>
      <c r="T110" s="17"/>
      <c r="U110" s="2"/>
      <c r="V110" s="18"/>
      <c r="W110" s="16"/>
    </row>
    <row r="111" spans="2:23" ht="18" x14ac:dyDescent="0.35">
      <c r="B111" s="95"/>
      <c r="C111" s="96"/>
      <c r="D111" s="97"/>
      <c r="E111" s="113"/>
      <c r="F111" s="90"/>
      <c r="G111" s="91"/>
      <c r="H111" s="92"/>
      <c r="I111" s="105"/>
      <c r="J111" s="83"/>
      <c r="K111" s="83"/>
      <c r="L111" s="12"/>
      <c r="M111" s="28"/>
      <c r="N111" s="14"/>
      <c r="O111" s="11"/>
      <c r="P111" s="11"/>
      <c r="Q111" s="16"/>
      <c r="R111" s="2"/>
      <c r="S111" s="12"/>
      <c r="T111" s="17"/>
      <c r="U111" s="2"/>
      <c r="V111" s="18"/>
      <c r="W111" s="16"/>
    </row>
    <row r="112" spans="2:23" ht="18" x14ac:dyDescent="0.35">
      <c r="B112" s="95"/>
      <c r="C112" s="96"/>
      <c r="D112" s="97"/>
      <c r="E112" s="113"/>
      <c r="F112" s="90"/>
      <c r="G112" s="91"/>
      <c r="H112" s="92"/>
      <c r="I112" s="105"/>
      <c r="J112" s="83"/>
      <c r="K112" s="83"/>
      <c r="L112" s="12"/>
      <c r="M112" s="28"/>
      <c r="N112" s="14"/>
      <c r="O112" s="11"/>
      <c r="P112" s="11"/>
      <c r="Q112" s="16"/>
      <c r="R112" s="2"/>
      <c r="S112" s="12"/>
      <c r="T112" s="17"/>
      <c r="U112" s="2"/>
      <c r="V112" s="18"/>
      <c r="W112" s="16"/>
    </row>
    <row r="113" spans="2:23" ht="18" x14ac:dyDescent="0.35">
      <c r="B113" s="95"/>
      <c r="C113" s="96"/>
      <c r="D113" s="97"/>
      <c r="E113" s="113"/>
      <c r="F113" s="90"/>
      <c r="G113" s="91"/>
      <c r="H113" s="92"/>
      <c r="I113" s="105"/>
      <c r="J113" s="83"/>
      <c r="K113" s="83"/>
      <c r="L113" s="12"/>
      <c r="M113" s="28"/>
      <c r="N113" s="14"/>
      <c r="O113" s="11"/>
      <c r="P113" s="11"/>
      <c r="Q113" s="16"/>
      <c r="R113" s="2"/>
      <c r="S113" s="12"/>
      <c r="T113" s="17"/>
      <c r="U113" s="2"/>
      <c r="V113" s="18"/>
      <c r="W113" s="16"/>
    </row>
    <row r="114" spans="2:23" ht="18" x14ac:dyDescent="0.35">
      <c r="B114" s="95"/>
      <c r="C114" s="96"/>
      <c r="D114" s="97"/>
      <c r="E114" s="113"/>
      <c r="F114" s="90"/>
      <c r="G114" s="91"/>
      <c r="H114" s="92"/>
      <c r="I114" s="105"/>
      <c r="J114" s="83"/>
      <c r="K114" s="83"/>
      <c r="L114" s="12"/>
      <c r="M114" s="28"/>
      <c r="N114" s="14"/>
      <c r="O114" s="11"/>
      <c r="P114" s="11"/>
      <c r="Q114" s="16"/>
      <c r="R114" s="2"/>
      <c r="S114" s="12"/>
      <c r="T114" s="17"/>
      <c r="U114" s="2"/>
      <c r="V114" s="18"/>
      <c r="W114" s="16"/>
    </row>
    <row r="115" spans="2:23" ht="18" x14ac:dyDescent="0.35">
      <c r="B115" s="95"/>
      <c r="C115" s="96"/>
      <c r="D115" s="97"/>
      <c r="E115" s="113"/>
      <c r="F115" s="90"/>
      <c r="G115" s="91"/>
      <c r="H115" s="92"/>
      <c r="I115" s="105"/>
      <c r="J115" s="83"/>
      <c r="K115" s="83"/>
      <c r="L115" s="12"/>
      <c r="M115" s="28"/>
      <c r="N115" s="14"/>
      <c r="O115" s="11"/>
      <c r="P115" s="11"/>
      <c r="Q115" s="16"/>
      <c r="R115" s="2"/>
      <c r="S115" s="12"/>
      <c r="T115" s="17"/>
      <c r="U115" s="2"/>
      <c r="V115" s="18"/>
      <c r="W115" s="16"/>
    </row>
    <row r="116" spans="2:23" ht="18" x14ac:dyDescent="0.35">
      <c r="B116" s="95"/>
      <c r="C116" s="96"/>
      <c r="D116" s="97"/>
      <c r="E116" s="113"/>
      <c r="F116" s="90"/>
      <c r="G116" s="91"/>
      <c r="H116" s="92"/>
      <c r="I116" s="105"/>
      <c r="J116" s="83"/>
      <c r="K116" s="83"/>
      <c r="L116" s="12"/>
      <c r="M116" s="28"/>
      <c r="N116" s="14"/>
      <c r="O116" s="11"/>
      <c r="P116" s="11"/>
      <c r="Q116" s="16"/>
      <c r="R116" s="2"/>
      <c r="S116" s="12"/>
      <c r="T116" s="17"/>
      <c r="U116" s="2"/>
      <c r="V116" s="18"/>
      <c r="W116" s="16"/>
    </row>
    <row r="117" spans="2:23" ht="18" x14ac:dyDescent="0.35">
      <c r="B117" s="95"/>
      <c r="C117" s="96"/>
      <c r="D117" s="97"/>
      <c r="E117" s="113"/>
      <c r="F117" s="90"/>
      <c r="G117" s="91"/>
      <c r="H117" s="92"/>
      <c r="I117" s="105"/>
      <c r="J117" s="83"/>
      <c r="K117" s="83"/>
      <c r="L117" s="12"/>
      <c r="M117" s="28"/>
      <c r="N117" s="14"/>
      <c r="O117" s="11"/>
      <c r="P117" s="11"/>
      <c r="Q117" s="16"/>
      <c r="R117" s="2"/>
      <c r="S117" s="12"/>
      <c r="T117" s="17"/>
      <c r="U117" s="2"/>
      <c r="V117" s="18"/>
      <c r="W117" s="16"/>
    </row>
    <row r="118" spans="2:23" ht="18" x14ac:dyDescent="0.35">
      <c r="B118" s="95"/>
      <c r="C118" s="96"/>
      <c r="D118" s="97"/>
      <c r="E118" s="113"/>
      <c r="F118" s="90"/>
      <c r="G118" s="91"/>
      <c r="H118" s="92"/>
      <c r="I118" s="105"/>
      <c r="J118" s="83"/>
      <c r="K118" s="83"/>
      <c r="L118" s="12"/>
      <c r="M118" s="28"/>
      <c r="N118" s="14"/>
      <c r="O118" s="11"/>
      <c r="P118" s="11"/>
      <c r="Q118" s="16"/>
      <c r="R118" s="2"/>
      <c r="S118" s="12"/>
      <c r="T118" s="17"/>
      <c r="U118" s="2"/>
      <c r="V118" s="18"/>
      <c r="W118" s="16"/>
    </row>
    <row r="119" spans="2:23" ht="18" x14ac:dyDescent="0.35">
      <c r="B119" s="95"/>
      <c r="C119" s="96"/>
      <c r="D119" s="97"/>
      <c r="E119" s="113"/>
      <c r="F119" s="90"/>
      <c r="G119" s="91"/>
      <c r="H119" s="92"/>
      <c r="I119" s="105"/>
      <c r="J119" s="83"/>
      <c r="K119" s="83"/>
      <c r="L119" s="12"/>
      <c r="M119" s="28"/>
      <c r="N119" s="14"/>
      <c r="O119" s="11"/>
      <c r="P119" s="11"/>
      <c r="Q119" s="16"/>
      <c r="R119" s="2"/>
      <c r="S119" s="12"/>
      <c r="T119" s="17"/>
      <c r="U119" s="2"/>
      <c r="V119" s="18"/>
      <c r="W119" s="16"/>
    </row>
    <row r="120" spans="2:23" ht="18" x14ac:dyDescent="0.35">
      <c r="B120" s="95"/>
      <c r="C120" s="96"/>
      <c r="D120" s="97"/>
      <c r="E120" s="113"/>
      <c r="F120" s="90"/>
      <c r="G120" s="91"/>
      <c r="H120" s="92"/>
      <c r="I120" s="105"/>
      <c r="J120" s="83"/>
      <c r="K120" s="83"/>
      <c r="L120" s="12"/>
      <c r="M120" s="28"/>
      <c r="N120" s="14"/>
      <c r="O120" s="11"/>
      <c r="P120" s="11"/>
      <c r="Q120" s="16"/>
      <c r="R120" s="2"/>
      <c r="S120" s="12"/>
      <c r="T120" s="17"/>
      <c r="U120" s="2"/>
      <c r="V120" s="18"/>
      <c r="W120" s="16"/>
    </row>
    <row r="121" spans="2:23" ht="18" x14ac:dyDescent="0.35">
      <c r="B121" s="95"/>
      <c r="C121" s="96"/>
      <c r="D121" s="97"/>
      <c r="E121" s="113"/>
      <c r="F121" s="90"/>
      <c r="G121" s="91"/>
      <c r="H121" s="92"/>
      <c r="I121" s="105"/>
      <c r="J121" s="83"/>
      <c r="K121" s="83"/>
      <c r="L121" s="12"/>
      <c r="M121" s="28"/>
      <c r="N121" s="14"/>
      <c r="O121" s="11"/>
      <c r="P121" s="11"/>
      <c r="Q121" s="16"/>
      <c r="R121" s="2"/>
      <c r="S121" s="12"/>
      <c r="T121" s="17"/>
      <c r="U121" s="2"/>
      <c r="V121" s="18"/>
      <c r="W121" s="16"/>
    </row>
    <row r="122" spans="2:23" ht="18" x14ac:dyDescent="0.35">
      <c r="B122" s="95"/>
      <c r="C122" s="96"/>
      <c r="D122" s="97"/>
      <c r="E122" s="113"/>
      <c r="F122" s="99"/>
      <c r="G122" s="100"/>
      <c r="H122" s="101"/>
      <c r="I122" s="105"/>
      <c r="J122" s="83"/>
      <c r="K122" s="83"/>
      <c r="L122" s="12"/>
      <c r="M122" s="28"/>
      <c r="N122" s="14"/>
      <c r="O122" s="11"/>
      <c r="P122" s="11"/>
      <c r="Q122" s="16"/>
      <c r="R122" s="2"/>
      <c r="S122" s="12"/>
      <c r="T122" s="17"/>
      <c r="U122" s="2"/>
      <c r="V122" s="18"/>
      <c r="W122" s="16"/>
    </row>
    <row r="123" spans="2:23" ht="18" x14ac:dyDescent="0.35">
      <c r="B123" s="95"/>
      <c r="C123" s="96"/>
      <c r="D123" s="97"/>
      <c r="E123" s="113"/>
      <c r="F123" s="99"/>
      <c r="G123" s="100"/>
      <c r="H123" s="101"/>
      <c r="I123" s="105"/>
      <c r="J123" s="83"/>
      <c r="K123" s="83"/>
      <c r="L123" s="12"/>
      <c r="M123" s="28"/>
      <c r="N123" s="14"/>
      <c r="O123" s="11"/>
      <c r="P123" s="11"/>
      <c r="Q123" s="16"/>
      <c r="R123" s="2"/>
      <c r="S123" s="12"/>
      <c r="T123" s="17"/>
      <c r="U123" s="2"/>
      <c r="V123" s="18"/>
      <c r="W123" s="16"/>
    </row>
    <row r="124" spans="2:23" ht="18" x14ac:dyDescent="0.35">
      <c r="B124" s="95"/>
      <c r="C124" s="96"/>
      <c r="D124" s="97"/>
      <c r="E124" s="113"/>
      <c r="F124" s="99"/>
      <c r="G124" s="100"/>
      <c r="H124" s="101"/>
      <c r="I124" s="105"/>
      <c r="J124" s="83"/>
      <c r="K124" s="83"/>
      <c r="L124" s="12"/>
      <c r="M124" s="28"/>
      <c r="N124" s="14"/>
      <c r="O124" s="11"/>
      <c r="P124" s="11"/>
      <c r="Q124" s="16"/>
      <c r="R124" s="2"/>
      <c r="S124" s="12"/>
      <c r="T124" s="17"/>
      <c r="U124" s="2"/>
      <c r="V124" s="18"/>
      <c r="W124" s="16"/>
    </row>
    <row r="125" spans="2:23" ht="18" x14ac:dyDescent="0.35">
      <c r="B125" s="95"/>
      <c r="C125" s="96"/>
      <c r="D125" s="97"/>
      <c r="E125" s="113"/>
      <c r="F125" s="99"/>
      <c r="G125" s="100"/>
      <c r="H125" s="101"/>
      <c r="I125" s="105"/>
      <c r="J125" s="83"/>
      <c r="K125" s="83"/>
      <c r="L125" s="12"/>
      <c r="M125" s="28"/>
      <c r="N125" s="14"/>
      <c r="O125" s="11"/>
      <c r="P125" s="11"/>
      <c r="Q125" s="16"/>
      <c r="R125" s="2"/>
      <c r="S125" s="12"/>
      <c r="T125" s="17"/>
      <c r="U125" s="2"/>
      <c r="V125" s="18"/>
      <c r="W125" s="16"/>
    </row>
    <row r="126" spans="2:23" ht="18" x14ac:dyDescent="0.35">
      <c r="B126" s="95"/>
      <c r="C126" s="96"/>
      <c r="D126" s="97"/>
      <c r="E126" s="113"/>
      <c r="F126" s="99"/>
      <c r="G126" s="100"/>
      <c r="H126" s="101"/>
      <c r="I126" s="105"/>
      <c r="J126" s="83"/>
      <c r="K126" s="83"/>
      <c r="L126" s="12"/>
      <c r="M126" s="28"/>
      <c r="N126" s="14"/>
      <c r="O126" s="11"/>
      <c r="P126" s="11"/>
      <c r="Q126" s="16"/>
      <c r="R126" s="2"/>
      <c r="S126" s="12"/>
      <c r="T126" s="17"/>
      <c r="U126" s="2"/>
      <c r="V126" s="18"/>
      <c r="W126" s="16"/>
    </row>
    <row r="127" spans="2:23" ht="18" x14ac:dyDescent="0.35">
      <c r="B127" s="95"/>
      <c r="C127" s="96"/>
      <c r="D127" s="97"/>
      <c r="E127" s="113"/>
      <c r="F127" s="99"/>
      <c r="G127" s="100"/>
      <c r="H127" s="101"/>
      <c r="I127" s="105"/>
      <c r="J127" s="83"/>
      <c r="K127" s="83"/>
      <c r="L127" s="12"/>
      <c r="M127" s="28"/>
      <c r="N127" s="14"/>
      <c r="O127" s="11"/>
      <c r="P127" s="11"/>
      <c r="Q127" s="16"/>
      <c r="R127" s="2"/>
      <c r="S127" s="12"/>
      <c r="T127" s="17"/>
      <c r="U127" s="2"/>
      <c r="V127" s="18"/>
      <c r="W127" s="16"/>
    </row>
    <row r="128" spans="2:23" ht="18" x14ac:dyDescent="0.35">
      <c r="B128" s="95"/>
      <c r="C128" s="96"/>
      <c r="D128" s="97"/>
      <c r="E128" s="113"/>
      <c r="F128" s="99"/>
      <c r="G128" s="100"/>
      <c r="H128" s="101"/>
      <c r="I128" s="105"/>
      <c r="J128" s="83"/>
      <c r="K128" s="83"/>
      <c r="L128" s="12"/>
      <c r="M128" s="28"/>
      <c r="N128" s="14"/>
      <c r="O128" s="11"/>
      <c r="P128" s="11"/>
      <c r="Q128" s="16"/>
      <c r="R128" s="2"/>
      <c r="S128" s="12"/>
      <c r="T128" s="17"/>
      <c r="U128" s="2"/>
      <c r="V128" s="18"/>
      <c r="W128" s="16"/>
    </row>
    <row r="129" spans="1:23" ht="18.600000000000001" thickBot="1" x14ac:dyDescent="0.4">
      <c r="B129" s="114"/>
      <c r="C129" s="115"/>
      <c r="D129" s="116"/>
      <c r="E129" s="113"/>
      <c r="F129" s="117"/>
      <c r="G129" s="118"/>
      <c r="H129" s="119"/>
      <c r="I129" s="105"/>
      <c r="J129" s="83"/>
      <c r="K129" s="83"/>
      <c r="L129" s="30"/>
      <c r="M129" s="31"/>
      <c r="N129" s="32"/>
      <c r="O129" s="29"/>
      <c r="P129" s="29"/>
      <c r="Q129" s="33"/>
      <c r="R129" s="2"/>
      <c r="S129" s="30"/>
      <c r="T129" s="34"/>
      <c r="U129" s="2"/>
      <c r="V129" s="35"/>
      <c r="W129" s="33"/>
    </row>
    <row r="130" spans="1:23" ht="18.600000000000001" thickBot="1" x14ac:dyDescent="0.4">
      <c r="A130" s="120" t="s">
        <v>15</v>
      </c>
      <c r="B130" s="121">
        <f>SUM(B9:B129)</f>
        <v>251.4</v>
      </c>
      <c r="C130" s="122"/>
      <c r="D130" s="121"/>
      <c r="E130" s="123">
        <f>SUM(E9:E129)</f>
        <v>580.1099999999999</v>
      </c>
      <c r="F130" s="124">
        <f>SUM(F9:F129)</f>
        <v>305.19999999999993</v>
      </c>
      <c r="G130" s="82"/>
      <c r="H130" s="125"/>
      <c r="I130" s="125">
        <f>SUM(I9:I129)</f>
        <v>6870.5</v>
      </c>
      <c r="J130" s="83"/>
      <c r="K130" s="83"/>
      <c r="L130" s="126"/>
      <c r="M130" s="126">
        <f>SUM(M9:M129)</f>
        <v>0</v>
      </c>
      <c r="N130" s="127">
        <f>SUM(N9:N129)</f>
        <v>0</v>
      </c>
      <c r="O130" s="82"/>
      <c r="P130" s="82">
        <f>SUM(P9:P129)</f>
        <v>5860</v>
      </c>
      <c r="Q130" s="128">
        <f>SUM(Q9:Q129)</f>
        <v>16782</v>
      </c>
      <c r="R130" s="83"/>
      <c r="S130" s="84"/>
      <c r="T130" s="129">
        <f>SUM(T9:T129)</f>
        <v>50</v>
      </c>
      <c r="U130" s="83"/>
      <c r="V130" s="82"/>
      <c r="W130" s="130">
        <f>SUM(W9:W129)</f>
        <v>0</v>
      </c>
    </row>
  </sheetData>
  <sheetProtection algorithmName="SHA-512" hashValue="5UvIdyQUo/2w0qyS5vkwFTklPTsk0R4Gs849vi0+7xJLq1FPpYQvnExu34ZFa4N/pyzY26AlH0W6RFqiUHtznQ==" saltValue="Ge630qqp45Dr0kpaUHlC0w==" spinCount="100000" sheet="1" objects="1" scenarios="1"/>
  <mergeCells count="8">
    <mergeCell ref="V5:W5"/>
    <mergeCell ref="Y5:Z5"/>
    <mergeCell ref="E1:G1"/>
    <mergeCell ref="B2:C2"/>
    <mergeCell ref="B3:C3"/>
    <mergeCell ref="B5:I5"/>
    <mergeCell ref="L5:Q5"/>
    <mergeCell ref="S5:T5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DAB607-566A-4ACE-943A-3AF654570CC2}">
  <sheetPr codeName="Sheet50"/>
  <dimension ref="A1:Z130"/>
  <sheetViews>
    <sheetView topLeftCell="G4" zoomScale="80" zoomScaleNormal="80" workbookViewId="0">
      <selection activeCell="I94" sqref="I94"/>
    </sheetView>
  </sheetViews>
  <sheetFormatPr defaultColWidth="9.109375" defaultRowHeight="14.4" x14ac:dyDescent="0.3"/>
  <cols>
    <col min="1" max="1" width="15.5546875" style="36" customWidth="1"/>
    <col min="2" max="2" width="15.88671875" style="36" customWidth="1"/>
    <col min="3" max="3" width="20" style="76" customWidth="1"/>
    <col min="4" max="4" width="20.33203125" style="36" customWidth="1"/>
    <col min="5" max="5" width="22.33203125" style="36" customWidth="1"/>
    <col min="6" max="6" width="14.6640625" style="36" customWidth="1"/>
    <col min="7" max="7" width="22" style="76" customWidth="1"/>
    <col min="8" max="8" width="18.88671875" style="36" customWidth="1"/>
    <col min="9" max="9" width="23" style="36" customWidth="1"/>
    <col min="10" max="11" width="9.109375" style="36"/>
    <col min="12" max="12" width="20.6640625" style="76" customWidth="1"/>
    <col min="13" max="13" width="15.44140625" style="76" customWidth="1"/>
    <col min="14" max="14" width="22.6640625" style="36" customWidth="1"/>
    <col min="15" max="15" width="20.5546875" style="76" customWidth="1"/>
    <col min="16" max="16" width="13.33203125" style="76" customWidth="1"/>
    <col min="17" max="17" width="21.5546875" style="76" customWidth="1"/>
    <col min="18" max="18" width="9.109375" style="36"/>
    <col min="19" max="19" width="22" style="76" customWidth="1"/>
    <col min="20" max="20" width="22.33203125" style="76" customWidth="1"/>
    <col min="21" max="21" width="9.109375" style="36"/>
    <col min="22" max="22" width="21.88671875" style="76" customWidth="1"/>
    <col min="23" max="23" width="23.109375" style="76" customWidth="1"/>
    <col min="24" max="24" width="9.109375" style="36"/>
    <col min="25" max="25" width="21.33203125" style="36" customWidth="1"/>
    <col min="26" max="26" width="21.88671875" style="36" customWidth="1"/>
    <col min="27" max="16384" width="9.109375" style="36"/>
  </cols>
  <sheetData>
    <row r="1" spans="2:26" ht="21" x14ac:dyDescent="0.4">
      <c r="E1" s="189">
        <v>44175</v>
      </c>
      <c r="F1" s="189"/>
      <c r="G1" s="189"/>
    </row>
    <row r="2" spans="2:26" ht="18" x14ac:dyDescent="0.35">
      <c r="B2" s="190" t="s">
        <v>0</v>
      </c>
      <c r="C2" s="190"/>
      <c r="D2" s="1">
        <v>20524</v>
      </c>
    </row>
    <row r="3" spans="2:26" ht="18" x14ac:dyDescent="0.35">
      <c r="B3" s="190" t="s">
        <v>1</v>
      </c>
      <c r="C3" s="190"/>
      <c r="D3" s="77">
        <f>(D2-E130-I130)</f>
        <v>6642.6500000000015</v>
      </c>
    </row>
    <row r="5" spans="2:26" ht="36.6" x14ac:dyDescent="0.7">
      <c r="B5" s="187" t="s">
        <v>2</v>
      </c>
      <c r="C5" s="187"/>
      <c r="D5" s="187"/>
      <c r="E5" s="187"/>
      <c r="F5" s="187"/>
      <c r="G5" s="187"/>
      <c r="H5" s="187"/>
      <c r="I5" s="187"/>
      <c r="L5" s="187" t="s">
        <v>3</v>
      </c>
      <c r="M5" s="187"/>
      <c r="N5" s="187"/>
      <c r="O5" s="187"/>
      <c r="P5" s="187"/>
      <c r="Q5" s="187"/>
      <c r="S5" s="191" t="s">
        <v>4</v>
      </c>
      <c r="T5" s="191"/>
      <c r="V5" s="187" t="s">
        <v>5</v>
      </c>
      <c r="W5" s="187"/>
      <c r="Y5" s="188" t="s">
        <v>105</v>
      </c>
      <c r="Z5" s="187"/>
    </row>
    <row r="7" spans="2:26" ht="15" thickBot="1" x14ac:dyDescent="0.35"/>
    <row r="8" spans="2:26" ht="18.600000000000001" thickBot="1" x14ac:dyDescent="0.4">
      <c r="B8" s="78" t="s">
        <v>6</v>
      </c>
      <c r="C8" s="79" t="s">
        <v>7</v>
      </c>
      <c r="D8" s="78" t="s">
        <v>8</v>
      </c>
      <c r="E8" s="80" t="s">
        <v>9</v>
      </c>
      <c r="F8" s="81" t="s">
        <v>6</v>
      </c>
      <c r="G8" s="81" t="s">
        <v>10</v>
      </c>
      <c r="H8" s="81" t="s">
        <v>8</v>
      </c>
      <c r="I8" s="82" t="s">
        <v>9</v>
      </c>
      <c r="J8" s="83"/>
      <c r="K8" s="83"/>
      <c r="L8" s="84" t="s">
        <v>11</v>
      </c>
      <c r="M8" s="84" t="s">
        <v>6</v>
      </c>
      <c r="N8" s="84" t="s">
        <v>9</v>
      </c>
      <c r="O8" s="82" t="s">
        <v>12</v>
      </c>
      <c r="P8" s="82" t="s">
        <v>6</v>
      </c>
      <c r="Q8" s="82" t="s">
        <v>9</v>
      </c>
      <c r="R8" s="83"/>
      <c r="S8" s="84" t="s">
        <v>13</v>
      </c>
      <c r="T8" s="85" t="s">
        <v>9</v>
      </c>
      <c r="U8" s="83"/>
      <c r="V8" s="82" t="s">
        <v>14</v>
      </c>
      <c r="W8" s="82" t="s">
        <v>9</v>
      </c>
      <c r="Y8" s="146" t="s">
        <v>106</v>
      </c>
      <c r="Z8" s="147" t="s">
        <v>107</v>
      </c>
    </row>
    <row r="9" spans="2:26" ht="18" x14ac:dyDescent="0.35">
      <c r="B9" s="86">
        <v>4</v>
      </c>
      <c r="C9" s="87" t="s">
        <v>77</v>
      </c>
      <c r="D9" s="88">
        <v>2.1</v>
      </c>
      <c r="E9" s="89">
        <v>8.4</v>
      </c>
      <c r="F9" s="90">
        <v>1.5</v>
      </c>
      <c r="G9" s="91" t="s">
        <v>18</v>
      </c>
      <c r="H9" s="92">
        <v>12</v>
      </c>
      <c r="I9" s="93">
        <v>18</v>
      </c>
      <c r="J9" s="83"/>
      <c r="K9" s="83"/>
      <c r="L9" s="3" t="s">
        <v>124</v>
      </c>
      <c r="M9" s="4">
        <v>500.5</v>
      </c>
      <c r="N9" s="5">
        <v>27923.95</v>
      </c>
      <c r="O9" s="6"/>
      <c r="P9" s="7"/>
      <c r="Q9" s="8"/>
      <c r="R9" s="2"/>
      <c r="S9" s="3"/>
      <c r="T9" s="9"/>
      <c r="U9" s="2"/>
      <c r="V9" s="10"/>
      <c r="W9" s="8"/>
      <c r="Y9" s="148" t="s">
        <v>88</v>
      </c>
      <c r="Z9" s="151">
        <f>SUMIF($C$9:$C$129, Y9, $B$9:$B$129)</f>
        <v>89.2</v>
      </c>
    </row>
    <row r="10" spans="2:26" ht="18" x14ac:dyDescent="0.35">
      <c r="B10" s="95">
        <v>2</v>
      </c>
      <c r="C10" s="96" t="s">
        <v>76</v>
      </c>
      <c r="D10" s="97">
        <v>2.4</v>
      </c>
      <c r="E10" s="98">
        <v>4.8</v>
      </c>
      <c r="F10" s="90">
        <v>0.5</v>
      </c>
      <c r="G10" s="91" t="s">
        <v>90</v>
      </c>
      <c r="H10" s="92">
        <v>90</v>
      </c>
      <c r="I10" s="93">
        <v>45</v>
      </c>
      <c r="J10" s="83"/>
      <c r="K10" s="83"/>
      <c r="L10" s="12"/>
      <c r="M10" s="13"/>
      <c r="N10" s="14"/>
      <c r="O10" s="11"/>
      <c r="P10" s="15"/>
      <c r="Q10" s="16"/>
      <c r="R10" s="2"/>
      <c r="S10" s="12"/>
      <c r="T10" s="17"/>
      <c r="U10" s="2"/>
      <c r="V10" s="18"/>
      <c r="W10" s="8"/>
      <c r="Y10" s="149" t="s">
        <v>76</v>
      </c>
      <c r="Z10" s="151">
        <f t="shared" ref="Z10:Z11" si="0">SUMIF($C$9:$C$129, Y10, $B$9:$B$129)</f>
        <v>226.8</v>
      </c>
    </row>
    <row r="11" spans="2:26" ht="18" x14ac:dyDescent="0.35">
      <c r="B11" s="95">
        <v>1.5</v>
      </c>
      <c r="C11" s="96" t="s">
        <v>88</v>
      </c>
      <c r="D11" s="97">
        <v>0.9</v>
      </c>
      <c r="E11" s="98">
        <v>1.35</v>
      </c>
      <c r="F11" s="90">
        <v>100</v>
      </c>
      <c r="G11" s="91" t="s">
        <v>23</v>
      </c>
      <c r="H11" s="92">
        <v>55</v>
      </c>
      <c r="I11" s="93">
        <v>5500</v>
      </c>
      <c r="J11" s="83"/>
      <c r="K11" s="83"/>
      <c r="L11" s="12"/>
      <c r="M11" s="13"/>
      <c r="N11" s="14"/>
      <c r="O11" s="11"/>
      <c r="P11" s="15"/>
      <c r="Q11" s="16"/>
      <c r="R11" s="2"/>
      <c r="S11" s="12"/>
      <c r="T11" s="17"/>
      <c r="U11" s="2"/>
      <c r="V11" s="18"/>
      <c r="W11" s="8"/>
      <c r="Y11" s="149" t="s">
        <v>77</v>
      </c>
      <c r="Z11" s="151">
        <f t="shared" si="0"/>
        <v>497.79999999999995</v>
      </c>
    </row>
    <row r="12" spans="2:26" ht="18" x14ac:dyDescent="0.35">
      <c r="B12" s="95">
        <v>35.5</v>
      </c>
      <c r="C12" s="96" t="s">
        <v>77</v>
      </c>
      <c r="D12" s="97">
        <v>2.1</v>
      </c>
      <c r="E12" s="98">
        <v>74.55</v>
      </c>
      <c r="F12" s="90">
        <v>9.5</v>
      </c>
      <c r="G12" s="91" t="s">
        <v>92</v>
      </c>
      <c r="H12" s="92">
        <v>75</v>
      </c>
      <c r="I12" s="93">
        <v>712.5</v>
      </c>
      <c r="J12" s="83"/>
      <c r="K12" s="83"/>
      <c r="L12" s="12"/>
      <c r="M12" s="13"/>
      <c r="N12" s="14"/>
      <c r="O12" s="11"/>
      <c r="P12" s="15"/>
      <c r="Q12" s="16"/>
      <c r="R12" s="2"/>
      <c r="S12" s="12"/>
      <c r="T12" s="17"/>
      <c r="U12" s="2"/>
      <c r="V12" s="18"/>
      <c r="W12" s="8"/>
      <c r="Y12" s="149" t="s">
        <v>89</v>
      </c>
      <c r="Z12" s="152">
        <f>SUMIF($G$9:$G$129, Y12, $F$9:$F$129)</f>
        <v>0</v>
      </c>
    </row>
    <row r="13" spans="2:26" ht="18" x14ac:dyDescent="0.35">
      <c r="B13" s="95">
        <v>30</v>
      </c>
      <c r="C13" s="96" t="s">
        <v>76</v>
      </c>
      <c r="D13" s="97">
        <v>2.4</v>
      </c>
      <c r="E13" s="98">
        <v>72</v>
      </c>
      <c r="F13" s="90">
        <v>20</v>
      </c>
      <c r="G13" s="91" t="s">
        <v>23</v>
      </c>
      <c r="H13" s="92">
        <v>55</v>
      </c>
      <c r="I13" s="93">
        <v>1100</v>
      </c>
      <c r="J13" s="83"/>
      <c r="K13" s="83"/>
      <c r="L13" s="12"/>
      <c r="M13" s="13"/>
      <c r="N13" s="14"/>
      <c r="O13" s="11"/>
      <c r="P13" s="15"/>
      <c r="Q13" s="16"/>
      <c r="R13" s="2"/>
      <c r="S13" s="12"/>
      <c r="T13" s="17"/>
      <c r="U13" s="2"/>
      <c r="V13" s="18"/>
      <c r="W13" s="8"/>
      <c r="Y13" s="149" t="s">
        <v>20</v>
      </c>
      <c r="Z13" s="152">
        <f t="shared" ref="Z13:Z76" si="1">SUMIF($G$9:$G$129, Y13, $F$9:$F$129)</f>
        <v>9.5</v>
      </c>
    </row>
    <row r="14" spans="2:26" ht="18" x14ac:dyDescent="0.35">
      <c r="B14" s="95">
        <v>25.5</v>
      </c>
      <c r="C14" s="96" t="s">
        <v>76</v>
      </c>
      <c r="D14" s="97">
        <v>2.4</v>
      </c>
      <c r="E14" s="98">
        <v>61.199999999999996</v>
      </c>
      <c r="F14" s="90">
        <v>5.5</v>
      </c>
      <c r="G14" s="91" t="s">
        <v>23</v>
      </c>
      <c r="H14" s="92">
        <v>55</v>
      </c>
      <c r="I14" s="93">
        <v>302.5</v>
      </c>
      <c r="J14" s="83"/>
      <c r="K14" s="83"/>
      <c r="L14" s="12"/>
      <c r="M14" s="13"/>
      <c r="N14" s="14"/>
      <c r="O14" s="11"/>
      <c r="P14" s="15"/>
      <c r="Q14" s="16"/>
      <c r="R14" s="2"/>
      <c r="S14" s="12"/>
      <c r="T14" s="17"/>
      <c r="U14" s="2"/>
      <c r="V14" s="18"/>
      <c r="W14" s="8"/>
      <c r="Y14" s="149" t="s">
        <v>19</v>
      </c>
      <c r="Z14" s="152">
        <f t="shared" si="1"/>
        <v>3</v>
      </c>
    </row>
    <row r="15" spans="2:26" ht="18" x14ac:dyDescent="0.35">
      <c r="B15" s="95">
        <v>2.5</v>
      </c>
      <c r="C15" s="96" t="s">
        <v>77</v>
      </c>
      <c r="D15" s="97">
        <v>2.1</v>
      </c>
      <c r="E15" s="98">
        <v>5.25</v>
      </c>
      <c r="F15" s="90">
        <v>0.5</v>
      </c>
      <c r="G15" s="91" t="s">
        <v>90</v>
      </c>
      <c r="H15" s="92">
        <v>90</v>
      </c>
      <c r="I15" s="93">
        <v>45</v>
      </c>
      <c r="J15" s="83"/>
      <c r="K15" s="83"/>
      <c r="L15" s="12"/>
      <c r="M15" s="13"/>
      <c r="N15" s="14"/>
      <c r="O15" s="11"/>
      <c r="P15" s="15"/>
      <c r="Q15" s="16"/>
      <c r="R15" s="2"/>
      <c r="S15" s="12"/>
      <c r="T15" s="17"/>
      <c r="U15" s="2"/>
      <c r="V15" s="18"/>
      <c r="W15" s="8"/>
      <c r="Y15" s="149" t="s">
        <v>18</v>
      </c>
      <c r="Z15" s="152">
        <f t="shared" si="1"/>
        <v>33.700000000000003</v>
      </c>
    </row>
    <row r="16" spans="2:26" ht="18" x14ac:dyDescent="0.35">
      <c r="B16" s="95">
        <v>11.5</v>
      </c>
      <c r="C16" s="96" t="s">
        <v>76</v>
      </c>
      <c r="D16" s="97">
        <v>2.4</v>
      </c>
      <c r="E16" s="98">
        <v>27.599999999999998</v>
      </c>
      <c r="F16" s="90">
        <v>7.5</v>
      </c>
      <c r="G16" s="91" t="s">
        <v>90</v>
      </c>
      <c r="H16" s="92">
        <v>90</v>
      </c>
      <c r="I16" s="93">
        <v>675</v>
      </c>
      <c r="J16" s="83"/>
      <c r="K16" s="83"/>
      <c r="L16" s="12"/>
      <c r="M16" s="13"/>
      <c r="N16" s="14"/>
      <c r="O16" s="11"/>
      <c r="P16" s="15"/>
      <c r="Q16" s="16"/>
      <c r="R16" s="2"/>
      <c r="S16" s="12"/>
      <c r="T16" s="17"/>
      <c r="U16" s="2"/>
      <c r="V16" s="18"/>
      <c r="W16" s="8"/>
      <c r="Y16" s="149" t="s">
        <v>22</v>
      </c>
      <c r="Z16" s="152">
        <f t="shared" si="1"/>
        <v>0.5</v>
      </c>
    </row>
    <row r="17" spans="2:26" ht="18" x14ac:dyDescent="0.35">
      <c r="B17" s="95">
        <v>8.5</v>
      </c>
      <c r="C17" s="96" t="s">
        <v>76</v>
      </c>
      <c r="D17" s="97">
        <v>2.4</v>
      </c>
      <c r="E17" s="98">
        <v>20.399999999999999</v>
      </c>
      <c r="F17" s="90">
        <v>13.5</v>
      </c>
      <c r="G17" s="91" t="s">
        <v>48</v>
      </c>
      <c r="H17" s="92">
        <v>6</v>
      </c>
      <c r="I17" s="93">
        <v>81</v>
      </c>
      <c r="J17" s="83"/>
      <c r="K17" s="83"/>
      <c r="L17" s="12"/>
      <c r="M17" s="13"/>
      <c r="N17" s="14"/>
      <c r="O17" s="11"/>
      <c r="P17" s="15"/>
      <c r="Q17" s="16"/>
      <c r="R17" s="2"/>
      <c r="S17" s="12"/>
      <c r="T17" s="17"/>
      <c r="U17" s="2"/>
      <c r="V17" s="18"/>
      <c r="W17" s="8"/>
      <c r="Y17" s="149" t="s">
        <v>67</v>
      </c>
      <c r="Z17" s="152">
        <f t="shared" si="1"/>
        <v>0.5</v>
      </c>
    </row>
    <row r="18" spans="2:26" ht="18" x14ac:dyDescent="0.35">
      <c r="B18" s="95">
        <v>8</v>
      </c>
      <c r="C18" s="96" t="s">
        <v>76</v>
      </c>
      <c r="D18" s="97">
        <v>2.4</v>
      </c>
      <c r="E18" s="98">
        <v>19.2</v>
      </c>
      <c r="F18" s="90">
        <v>2.5</v>
      </c>
      <c r="G18" s="91" t="s">
        <v>90</v>
      </c>
      <c r="H18" s="92">
        <v>90</v>
      </c>
      <c r="I18" s="93">
        <v>225</v>
      </c>
      <c r="J18" s="83"/>
      <c r="K18" s="83"/>
      <c r="L18" s="12"/>
      <c r="M18" s="13"/>
      <c r="N18" s="14"/>
      <c r="O18" s="11"/>
      <c r="P18" s="15"/>
      <c r="Q18" s="16"/>
      <c r="R18" s="2"/>
      <c r="S18" s="12"/>
      <c r="T18" s="17"/>
      <c r="U18" s="2"/>
      <c r="V18" s="18"/>
      <c r="W18" s="8"/>
      <c r="Y18" s="149" t="s">
        <v>90</v>
      </c>
      <c r="Z18" s="152">
        <f t="shared" si="1"/>
        <v>31.9</v>
      </c>
    </row>
    <row r="19" spans="2:26" ht="18" x14ac:dyDescent="0.35">
      <c r="B19" s="95">
        <v>3</v>
      </c>
      <c r="C19" s="96" t="s">
        <v>77</v>
      </c>
      <c r="D19" s="97">
        <v>2.1</v>
      </c>
      <c r="E19" s="98">
        <v>6.3000000000000007</v>
      </c>
      <c r="F19" s="90">
        <v>2.5</v>
      </c>
      <c r="G19" s="91" t="s">
        <v>92</v>
      </c>
      <c r="H19" s="92">
        <v>75</v>
      </c>
      <c r="I19" s="93">
        <v>187.5</v>
      </c>
      <c r="J19" s="83"/>
      <c r="K19" s="83"/>
      <c r="L19" s="12"/>
      <c r="M19" s="13"/>
      <c r="N19" s="14"/>
      <c r="O19" s="11"/>
      <c r="P19" s="15"/>
      <c r="Q19" s="16"/>
      <c r="R19" s="2"/>
      <c r="S19" s="12"/>
      <c r="T19" s="17"/>
      <c r="U19" s="2"/>
      <c r="V19" s="18"/>
      <c r="W19" s="8"/>
      <c r="Y19" s="149" t="s">
        <v>91</v>
      </c>
      <c r="Z19" s="152">
        <f t="shared" si="1"/>
        <v>1</v>
      </c>
    </row>
    <row r="20" spans="2:26" ht="18" x14ac:dyDescent="0.35">
      <c r="B20" s="95">
        <v>6</v>
      </c>
      <c r="C20" s="96" t="s">
        <v>77</v>
      </c>
      <c r="D20" s="97">
        <v>2.1</v>
      </c>
      <c r="E20" s="98">
        <v>12.600000000000001</v>
      </c>
      <c r="F20" s="90">
        <v>3.5</v>
      </c>
      <c r="G20" s="91" t="s">
        <v>23</v>
      </c>
      <c r="H20" s="92">
        <v>55</v>
      </c>
      <c r="I20" s="93">
        <v>192.5</v>
      </c>
      <c r="J20" s="83"/>
      <c r="K20" s="83"/>
      <c r="L20" s="12"/>
      <c r="M20" s="13"/>
      <c r="N20" s="14"/>
      <c r="O20" s="11"/>
      <c r="P20" s="15"/>
      <c r="Q20" s="16"/>
      <c r="R20" s="2"/>
      <c r="S20" s="12"/>
      <c r="T20" s="17"/>
      <c r="U20" s="2"/>
      <c r="V20" s="18"/>
      <c r="W20" s="8"/>
      <c r="Y20" s="149" t="s">
        <v>92</v>
      </c>
      <c r="Z20" s="152">
        <f t="shared" si="1"/>
        <v>14.999999999999996</v>
      </c>
    </row>
    <row r="21" spans="2:26" ht="18" x14ac:dyDescent="0.35">
      <c r="B21" s="95">
        <v>24</v>
      </c>
      <c r="C21" s="96" t="s">
        <v>76</v>
      </c>
      <c r="D21" s="97">
        <v>2.2999999999999998</v>
      </c>
      <c r="E21" s="98">
        <v>55.199999999999996</v>
      </c>
      <c r="F21" s="90">
        <v>1</v>
      </c>
      <c r="G21" s="91" t="s">
        <v>86</v>
      </c>
      <c r="H21" s="92">
        <v>40</v>
      </c>
      <c r="I21" s="93">
        <v>40</v>
      </c>
      <c r="J21" s="83"/>
      <c r="K21" s="83"/>
      <c r="L21" s="12"/>
      <c r="M21" s="13"/>
      <c r="N21" s="14"/>
      <c r="O21" s="11"/>
      <c r="P21" s="15"/>
      <c r="Q21" s="16"/>
      <c r="R21" s="2"/>
      <c r="S21" s="12"/>
      <c r="T21" s="17"/>
      <c r="U21" s="2"/>
      <c r="V21" s="18"/>
      <c r="W21" s="8"/>
      <c r="Y21" s="149" t="s">
        <v>68</v>
      </c>
      <c r="Z21" s="152">
        <f t="shared" si="1"/>
        <v>0</v>
      </c>
    </row>
    <row r="22" spans="2:26" ht="18" x14ac:dyDescent="0.35">
      <c r="B22" s="95">
        <v>24</v>
      </c>
      <c r="C22" s="96" t="s">
        <v>76</v>
      </c>
      <c r="D22" s="97">
        <v>2.2999999999999998</v>
      </c>
      <c r="E22" s="98">
        <v>55.199999999999996</v>
      </c>
      <c r="F22" s="90">
        <v>2.5</v>
      </c>
      <c r="G22" s="91" t="s">
        <v>85</v>
      </c>
      <c r="H22" s="92">
        <v>10</v>
      </c>
      <c r="I22" s="93">
        <v>25</v>
      </c>
      <c r="J22" s="83"/>
      <c r="K22" s="83"/>
      <c r="L22" s="12"/>
      <c r="M22" s="13"/>
      <c r="N22" s="14"/>
      <c r="O22" s="11"/>
      <c r="P22" s="15"/>
      <c r="Q22" s="16"/>
      <c r="R22" s="2"/>
      <c r="S22" s="12"/>
      <c r="T22" s="17"/>
      <c r="U22" s="2"/>
      <c r="V22" s="18"/>
      <c r="W22" s="8"/>
      <c r="Y22" s="149" t="s">
        <v>93</v>
      </c>
      <c r="Z22" s="152">
        <f t="shared" si="1"/>
        <v>0.5</v>
      </c>
    </row>
    <row r="23" spans="2:26" ht="18" x14ac:dyDescent="0.35">
      <c r="B23" s="95">
        <v>2</v>
      </c>
      <c r="C23" s="96" t="s">
        <v>77</v>
      </c>
      <c r="D23" s="97">
        <v>2.1</v>
      </c>
      <c r="E23" s="98">
        <v>4.2</v>
      </c>
      <c r="F23" s="90">
        <v>0.5</v>
      </c>
      <c r="G23" s="91" t="s">
        <v>93</v>
      </c>
      <c r="H23" s="92">
        <v>30</v>
      </c>
      <c r="I23" s="93">
        <v>15</v>
      </c>
      <c r="J23" s="83"/>
      <c r="K23" s="83"/>
      <c r="L23" s="12"/>
      <c r="M23" s="13"/>
      <c r="N23" s="14"/>
      <c r="O23" s="11"/>
      <c r="P23" s="15"/>
      <c r="Q23" s="16"/>
      <c r="R23" s="2"/>
      <c r="S23" s="12"/>
      <c r="T23" s="17"/>
      <c r="U23" s="2"/>
      <c r="V23" s="18"/>
      <c r="W23" s="8"/>
      <c r="Y23" s="149" t="s">
        <v>23</v>
      </c>
      <c r="Z23" s="152">
        <f t="shared" si="1"/>
        <v>132.99999999999997</v>
      </c>
    </row>
    <row r="24" spans="2:26" ht="18" x14ac:dyDescent="0.35">
      <c r="B24" s="95">
        <v>6</v>
      </c>
      <c r="C24" s="96" t="s">
        <v>76</v>
      </c>
      <c r="D24" s="97">
        <v>2.2999999999999998</v>
      </c>
      <c r="E24" s="98">
        <v>13.799999999999999</v>
      </c>
      <c r="F24" s="90">
        <v>3</v>
      </c>
      <c r="G24" s="91" t="s">
        <v>48</v>
      </c>
      <c r="H24" s="92">
        <v>6</v>
      </c>
      <c r="I24" s="93">
        <v>18</v>
      </c>
      <c r="J24" s="83"/>
      <c r="K24" s="83"/>
      <c r="L24" s="12"/>
      <c r="M24" s="13"/>
      <c r="N24" s="14"/>
      <c r="O24" s="11"/>
      <c r="P24" s="15"/>
      <c r="Q24" s="16"/>
      <c r="R24" s="2"/>
      <c r="S24" s="12"/>
      <c r="T24" s="17"/>
      <c r="U24" s="2"/>
      <c r="V24" s="18"/>
      <c r="W24" s="8"/>
      <c r="Y24" s="149" t="s">
        <v>24</v>
      </c>
      <c r="Z24" s="152">
        <f t="shared" si="1"/>
        <v>0</v>
      </c>
    </row>
    <row r="25" spans="2:26" ht="18" x14ac:dyDescent="0.35">
      <c r="B25" s="95">
        <v>52</v>
      </c>
      <c r="C25" s="96" t="s">
        <v>77</v>
      </c>
      <c r="D25" s="97">
        <v>2.1</v>
      </c>
      <c r="E25" s="98">
        <v>109.2</v>
      </c>
      <c r="F25" s="90">
        <v>3</v>
      </c>
      <c r="G25" s="91" t="s">
        <v>19</v>
      </c>
      <c r="H25" s="92">
        <v>2</v>
      </c>
      <c r="I25" s="93">
        <v>6</v>
      </c>
      <c r="J25" s="83"/>
      <c r="K25" s="83"/>
      <c r="L25" s="12"/>
      <c r="M25" s="13"/>
      <c r="N25" s="14"/>
      <c r="O25" s="11"/>
      <c r="P25" s="15"/>
      <c r="Q25" s="16"/>
      <c r="R25" s="2"/>
      <c r="S25" s="12"/>
      <c r="T25" s="17"/>
      <c r="U25" s="2"/>
      <c r="V25" s="18"/>
      <c r="W25" s="8"/>
      <c r="Y25" s="149" t="s">
        <v>25</v>
      </c>
      <c r="Z25" s="152">
        <f t="shared" si="1"/>
        <v>0</v>
      </c>
    </row>
    <row r="26" spans="2:26" ht="18" x14ac:dyDescent="0.35">
      <c r="B26" s="95">
        <v>18</v>
      </c>
      <c r="C26" s="96" t="s">
        <v>76</v>
      </c>
      <c r="D26" s="97">
        <v>2.2999999999999998</v>
      </c>
      <c r="E26" s="98">
        <v>41.4</v>
      </c>
      <c r="F26" s="90">
        <v>0.5</v>
      </c>
      <c r="G26" s="91" t="s">
        <v>18</v>
      </c>
      <c r="H26" s="92">
        <v>12</v>
      </c>
      <c r="I26" s="93">
        <v>6</v>
      </c>
      <c r="J26" s="83"/>
      <c r="K26" s="83"/>
      <c r="L26" s="12"/>
      <c r="M26" s="13"/>
      <c r="N26" s="14"/>
      <c r="O26" s="11"/>
      <c r="P26" s="15"/>
      <c r="Q26" s="16"/>
      <c r="R26" s="2"/>
      <c r="S26" s="12"/>
      <c r="T26" s="17"/>
      <c r="U26" s="2"/>
      <c r="V26" s="18"/>
      <c r="W26" s="8"/>
      <c r="Y26" s="149" t="s">
        <v>98</v>
      </c>
      <c r="Z26" s="152">
        <f t="shared" si="1"/>
        <v>0</v>
      </c>
    </row>
    <row r="27" spans="2:26" ht="18" x14ac:dyDescent="0.35">
      <c r="B27" s="95">
        <v>26.5</v>
      </c>
      <c r="C27" s="96" t="s">
        <v>88</v>
      </c>
      <c r="D27" s="97">
        <v>0.9</v>
      </c>
      <c r="E27" s="98">
        <v>23.85</v>
      </c>
      <c r="F27" s="90">
        <v>0.5</v>
      </c>
      <c r="G27" s="91" t="s">
        <v>92</v>
      </c>
      <c r="H27" s="92">
        <v>70</v>
      </c>
      <c r="I27" s="93">
        <v>35</v>
      </c>
      <c r="J27" s="83"/>
      <c r="K27" s="83"/>
      <c r="L27" s="12"/>
      <c r="M27" s="13"/>
      <c r="N27" s="14"/>
      <c r="O27" s="11"/>
      <c r="P27" s="15"/>
      <c r="Q27" s="16"/>
      <c r="R27" s="2"/>
      <c r="S27" s="12"/>
      <c r="T27" s="17"/>
      <c r="U27" s="2"/>
      <c r="V27" s="18"/>
      <c r="W27" s="8"/>
      <c r="Y27" s="149" t="s">
        <v>94</v>
      </c>
      <c r="Z27" s="152">
        <f t="shared" si="1"/>
        <v>18.299999999999997</v>
      </c>
    </row>
    <row r="28" spans="2:26" ht="18" x14ac:dyDescent="0.35">
      <c r="B28" s="95">
        <v>6</v>
      </c>
      <c r="C28" s="96" t="s">
        <v>77</v>
      </c>
      <c r="D28" s="97">
        <v>2.1</v>
      </c>
      <c r="E28" s="98">
        <v>12.600000000000001</v>
      </c>
      <c r="F28" s="90">
        <v>0.5</v>
      </c>
      <c r="G28" s="91" t="s">
        <v>90</v>
      </c>
      <c r="H28" s="92">
        <v>85</v>
      </c>
      <c r="I28" s="93">
        <v>42.5</v>
      </c>
      <c r="J28" s="83"/>
      <c r="K28" s="83"/>
      <c r="L28" s="12"/>
      <c r="M28" s="13"/>
      <c r="N28" s="14"/>
      <c r="O28" s="11"/>
      <c r="P28" s="15"/>
      <c r="Q28" s="16"/>
      <c r="R28" s="2"/>
      <c r="S28" s="12"/>
      <c r="T28" s="17"/>
      <c r="U28" s="2"/>
      <c r="V28" s="18"/>
      <c r="W28" s="8"/>
      <c r="Y28" s="149" t="s">
        <v>42</v>
      </c>
      <c r="Z28" s="152">
        <f t="shared" si="1"/>
        <v>0</v>
      </c>
    </row>
    <row r="29" spans="2:26" ht="18" x14ac:dyDescent="0.35">
      <c r="B29" s="95">
        <v>1.6</v>
      </c>
      <c r="C29" s="96" t="s">
        <v>88</v>
      </c>
      <c r="D29" s="97">
        <v>0.9</v>
      </c>
      <c r="E29" s="98">
        <v>1.4400000000000002</v>
      </c>
      <c r="F29" s="90">
        <v>0.5</v>
      </c>
      <c r="G29" s="91" t="s">
        <v>92</v>
      </c>
      <c r="H29" s="92">
        <v>70</v>
      </c>
      <c r="I29" s="93">
        <v>35</v>
      </c>
      <c r="J29" s="83"/>
      <c r="K29" s="83"/>
      <c r="L29" s="12"/>
      <c r="M29" s="13"/>
      <c r="N29" s="14"/>
      <c r="O29" s="11"/>
      <c r="P29" s="15"/>
      <c r="Q29" s="16"/>
      <c r="R29" s="2"/>
      <c r="S29" s="12"/>
      <c r="T29" s="17"/>
      <c r="U29" s="2"/>
      <c r="V29" s="18"/>
      <c r="W29" s="8"/>
      <c r="Y29" s="149" t="s">
        <v>39</v>
      </c>
      <c r="Z29" s="152">
        <f t="shared" si="1"/>
        <v>0</v>
      </c>
    </row>
    <row r="30" spans="2:26" ht="18" x14ac:dyDescent="0.35">
      <c r="B30" s="95">
        <v>3.4</v>
      </c>
      <c r="C30" s="96" t="s">
        <v>77</v>
      </c>
      <c r="D30" s="97">
        <v>2.1</v>
      </c>
      <c r="E30" s="98">
        <v>7.14</v>
      </c>
      <c r="F30" s="90">
        <v>2.5</v>
      </c>
      <c r="G30" s="91" t="s">
        <v>46</v>
      </c>
      <c r="H30" s="92">
        <v>14</v>
      </c>
      <c r="I30" s="93">
        <v>35</v>
      </c>
      <c r="J30" s="83"/>
      <c r="K30" s="83"/>
      <c r="L30" s="12"/>
      <c r="M30" s="13"/>
      <c r="N30" s="14"/>
      <c r="O30" s="11"/>
      <c r="P30" s="15"/>
      <c r="Q30" s="16"/>
      <c r="R30" s="2"/>
      <c r="S30" s="12"/>
      <c r="T30" s="17"/>
      <c r="U30" s="2"/>
      <c r="V30" s="18"/>
      <c r="W30" s="8"/>
      <c r="Y30" s="149" t="s">
        <v>99</v>
      </c>
      <c r="Z30" s="152">
        <f t="shared" si="1"/>
        <v>0</v>
      </c>
    </row>
    <row r="31" spans="2:26" ht="18" x14ac:dyDescent="0.35">
      <c r="B31" s="95">
        <v>6.6</v>
      </c>
      <c r="C31" s="96" t="s">
        <v>88</v>
      </c>
      <c r="D31" s="97">
        <v>0.9</v>
      </c>
      <c r="E31" s="98">
        <v>5.9399999999999995</v>
      </c>
      <c r="F31" s="90">
        <v>0.2</v>
      </c>
      <c r="G31" s="91" t="s">
        <v>23</v>
      </c>
      <c r="H31" s="92">
        <v>50</v>
      </c>
      <c r="I31" s="93">
        <v>10</v>
      </c>
      <c r="J31" s="83"/>
      <c r="K31" s="83"/>
      <c r="L31" s="12"/>
      <c r="M31" s="13"/>
      <c r="N31" s="14"/>
      <c r="O31" s="11"/>
      <c r="P31" s="15"/>
      <c r="Q31" s="16"/>
      <c r="R31" s="2"/>
      <c r="S31" s="12"/>
      <c r="T31" s="17"/>
      <c r="U31" s="2"/>
      <c r="V31" s="18"/>
      <c r="W31" s="8"/>
      <c r="Y31" s="149" t="s">
        <v>95</v>
      </c>
      <c r="Z31" s="152">
        <f t="shared" si="1"/>
        <v>0</v>
      </c>
    </row>
    <row r="32" spans="2:26" ht="18" x14ac:dyDescent="0.35">
      <c r="B32" s="95">
        <v>5</v>
      </c>
      <c r="C32" s="96" t="s">
        <v>88</v>
      </c>
      <c r="D32" s="97">
        <v>0.9</v>
      </c>
      <c r="E32" s="98">
        <v>4.5</v>
      </c>
      <c r="F32" s="90">
        <v>0.5</v>
      </c>
      <c r="G32" s="91" t="s">
        <v>90</v>
      </c>
      <c r="H32" s="92">
        <v>85</v>
      </c>
      <c r="I32" s="93">
        <v>42.5</v>
      </c>
      <c r="J32" s="83"/>
      <c r="K32" s="83"/>
      <c r="L32" s="12"/>
      <c r="M32" s="13"/>
      <c r="N32" s="14"/>
      <c r="O32" s="11"/>
      <c r="P32" s="15"/>
      <c r="Q32" s="16"/>
      <c r="R32" s="2"/>
      <c r="S32" s="12"/>
      <c r="T32" s="17"/>
      <c r="U32" s="2"/>
      <c r="V32" s="18"/>
      <c r="W32" s="8"/>
      <c r="Y32" s="149" t="s">
        <v>97</v>
      </c>
      <c r="Z32" s="152">
        <f t="shared" si="1"/>
        <v>0</v>
      </c>
    </row>
    <row r="33" spans="2:26" ht="18" x14ac:dyDescent="0.35">
      <c r="B33" s="95">
        <v>9</v>
      </c>
      <c r="C33" s="96" t="s">
        <v>76</v>
      </c>
      <c r="D33" s="97">
        <v>2.2999999999999998</v>
      </c>
      <c r="E33" s="98">
        <v>20.7</v>
      </c>
      <c r="F33" s="90">
        <v>4</v>
      </c>
      <c r="G33" s="91" t="s">
        <v>18</v>
      </c>
      <c r="H33" s="92">
        <v>10</v>
      </c>
      <c r="I33" s="93">
        <v>40</v>
      </c>
      <c r="J33" s="83"/>
      <c r="K33" s="83"/>
      <c r="L33" s="12"/>
      <c r="M33" s="13"/>
      <c r="N33" s="14"/>
      <c r="O33" s="11"/>
      <c r="P33" s="15"/>
      <c r="Q33" s="16"/>
      <c r="R33" s="2"/>
      <c r="S33" s="12"/>
      <c r="T33" s="17"/>
      <c r="U33" s="2"/>
      <c r="V33" s="18"/>
      <c r="W33" s="8"/>
      <c r="Y33" s="149" t="s">
        <v>43</v>
      </c>
      <c r="Z33" s="152">
        <f t="shared" si="1"/>
        <v>0</v>
      </c>
    </row>
    <row r="34" spans="2:26" ht="18" x14ac:dyDescent="0.35">
      <c r="B34" s="95">
        <v>7</v>
      </c>
      <c r="C34" s="96" t="s">
        <v>77</v>
      </c>
      <c r="D34" s="97">
        <v>2.1</v>
      </c>
      <c r="E34" s="98">
        <v>14.700000000000001</v>
      </c>
      <c r="F34" s="90">
        <v>0.5</v>
      </c>
      <c r="G34" s="91" t="s">
        <v>67</v>
      </c>
      <c r="H34" s="92">
        <v>88</v>
      </c>
      <c r="I34" s="93">
        <v>44</v>
      </c>
      <c r="J34" s="83"/>
      <c r="K34" s="83"/>
      <c r="L34" s="12"/>
      <c r="M34" s="13"/>
      <c r="N34" s="14"/>
      <c r="O34" s="11"/>
      <c r="P34" s="15"/>
      <c r="Q34" s="16"/>
      <c r="R34" s="2"/>
      <c r="S34" s="12"/>
      <c r="T34" s="17"/>
      <c r="U34" s="2"/>
      <c r="V34" s="18"/>
      <c r="W34" s="8"/>
      <c r="Y34" s="149" t="s">
        <v>32</v>
      </c>
      <c r="Z34" s="152">
        <f t="shared" si="1"/>
        <v>0</v>
      </c>
    </row>
    <row r="35" spans="2:26" ht="18" x14ac:dyDescent="0.35">
      <c r="B35" s="95">
        <v>2.4</v>
      </c>
      <c r="C35" s="96" t="s">
        <v>77</v>
      </c>
      <c r="D35" s="97">
        <v>2.1</v>
      </c>
      <c r="E35" s="98">
        <v>5.04</v>
      </c>
      <c r="F35" s="90">
        <v>0.4</v>
      </c>
      <c r="G35" s="91" t="s">
        <v>87</v>
      </c>
      <c r="H35" s="92">
        <v>100</v>
      </c>
      <c r="I35" s="93">
        <v>40</v>
      </c>
      <c r="J35" s="83"/>
      <c r="K35" s="83"/>
      <c r="L35" s="12"/>
      <c r="M35" s="13"/>
      <c r="N35" s="14"/>
      <c r="O35" s="11"/>
      <c r="P35" s="15"/>
      <c r="Q35" s="16"/>
      <c r="R35" s="2"/>
      <c r="S35" s="12"/>
      <c r="T35" s="17"/>
      <c r="U35" s="2"/>
      <c r="V35" s="18"/>
      <c r="W35" s="8"/>
      <c r="Y35" s="149" t="s">
        <v>33</v>
      </c>
      <c r="Z35" s="152">
        <f t="shared" si="1"/>
        <v>0</v>
      </c>
    </row>
    <row r="36" spans="2:26" ht="18" x14ac:dyDescent="0.35">
      <c r="B36" s="95">
        <v>3.4</v>
      </c>
      <c r="C36" s="96" t="s">
        <v>77</v>
      </c>
      <c r="D36" s="97">
        <v>2.1</v>
      </c>
      <c r="E36" s="98">
        <v>7.14</v>
      </c>
      <c r="F36" s="90">
        <v>0.2</v>
      </c>
      <c r="G36" s="91" t="s">
        <v>92</v>
      </c>
      <c r="H36" s="92">
        <v>70</v>
      </c>
      <c r="I36" s="93">
        <v>14</v>
      </c>
      <c r="J36" s="83"/>
      <c r="K36" s="83"/>
      <c r="L36" s="12"/>
      <c r="M36" s="13"/>
      <c r="N36" s="14"/>
      <c r="O36" s="11"/>
      <c r="P36" s="15"/>
      <c r="Q36" s="16"/>
      <c r="R36" s="2"/>
      <c r="S36" s="12"/>
      <c r="T36" s="17"/>
      <c r="U36" s="2"/>
      <c r="V36" s="18"/>
      <c r="W36" s="8"/>
      <c r="Y36" s="149" t="s">
        <v>30</v>
      </c>
      <c r="Z36" s="152">
        <f t="shared" si="1"/>
        <v>0</v>
      </c>
    </row>
    <row r="37" spans="2:26" ht="18" x14ac:dyDescent="0.35">
      <c r="B37" s="95">
        <v>0.4</v>
      </c>
      <c r="C37" s="96" t="s">
        <v>76</v>
      </c>
      <c r="D37" s="97">
        <v>2.2999999999999998</v>
      </c>
      <c r="E37" s="98">
        <v>0.91999999999999993</v>
      </c>
      <c r="F37" s="90">
        <v>1</v>
      </c>
      <c r="G37" s="91" t="s">
        <v>90</v>
      </c>
      <c r="H37" s="92">
        <v>85</v>
      </c>
      <c r="I37" s="93">
        <v>85</v>
      </c>
      <c r="J37" s="83"/>
      <c r="K37" s="83"/>
      <c r="L37" s="12"/>
      <c r="M37" s="13"/>
      <c r="N37" s="14"/>
      <c r="O37" s="11"/>
      <c r="P37" s="15"/>
      <c r="Q37" s="16"/>
      <c r="R37" s="2"/>
      <c r="S37" s="12"/>
      <c r="T37" s="17"/>
      <c r="U37" s="2"/>
      <c r="V37" s="18"/>
      <c r="W37" s="8"/>
      <c r="Y37" s="149" t="s">
        <v>31</v>
      </c>
      <c r="Z37" s="152">
        <f t="shared" si="1"/>
        <v>0</v>
      </c>
    </row>
    <row r="38" spans="2:26" ht="18" x14ac:dyDescent="0.35">
      <c r="B38" s="95">
        <v>4.4000000000000004</v>
      </c>
      <c r="C38" s="96" t="s">
        <v>77</v>
      </c>
      <c r="D38" s="97">
        <v>2.1</v>
      </c>
      <c r="E38" s="98">
        <v>9.240000000000002</v>
      </c>
      <c r="F38" s="90">
        <v>1</v>
      </c>
      <c r="G38" s="91" t="s">
        <v>91</v>
      </c>
      <c r="H38" s="92">
        <v>80</v>
      </c>
      <c r="I38" s="93">
        <v>80</v>
      </c>
      <c r="J38" s="83"/>
      <c r="K38" s="83"/>
      <c r="L38" s="12"/>
      <c r="M38" s="13"/>
      <c r="N38" s="14"/>
      <c r="O38" s="11"/>
      <c r="P38" s="15"/>
      <c r="Q38" s="16"/>
      <c r="R38" s="2"/>
      <c r="S38" s="12"/>
      <c r="T38" s="17"/>
      <c r="U38" s="2"/>
      <c r="V38" s="18"/>
      <c r="W38" s="8"/>
      <c r="Y38" s="149" t="s">
        <v>84</v>
      </c>
      <c r="Z38" s="152">
        <f t="shared" si="1"/>
        <v>3.7</v>
      </c>
    </row>
    <row r="39" spans="2:26" ht="18" x14ac:dyDescent="0.35">
      <c r="B39" s="95">
        <v>9.6</v>
      </c>
      <c r="C39" s="96" t="s">
        <v>76</v>
      </c>
      <c r="D39" s="97">
        <v>2.2999999999999998</v>
      </c>
      <c r="E39" s="98">
        <v>22.08</v>
      </c>
      <c r="F39" s="90">
        <v>2</v>
      </c>
      <c r="G39" s="91" t="s">
        <v>90</v>
      </c>
      <c r="H39" s="92">
        <v>85</v>
      </c>
      <c r="I39" s="93">
        <v>170</v>
      </c>
      <c r="J39" s="83"/>
      <c r="K39" s="83"/>
      <c r="L39" s="12"/>
      <c r="M39" s="13"/>
      <c r="N39" s="14"/>
      <c r="O39" s="11"/>
      <c r="P39" s="15"/>
      <c r="Q39" s="16"/>
      <c r="R39" s="2"/>
      <c r="S39" s="12"/>
      <c r="T39" s="17"/>
      <c r="U39" s="2"/>
      <c r="V39" s="18"/>
      <c r="W39" s="8"/>
      <c r="Y39" s="149" t="s">
        <v>85</v>
      </c>
      <c r="Z39" s="152">
        <f t="shared" si="1"/>
        <v>8</v>
      </c>
    </row>
    <row r="40" spans="2:26" ht="18" x14ac:dyDescent="0.35">
      <c r="B40" s="95">
        <v>3.2</v>
      </c>
      <c r="C40" s="96" t="s">
        <v>77</v>
      </c>
      <c r="D40" s="97">
        <v>2.1</v>
      </c>
      <c r="E40" s="98">
        <v>6.7200000000000006</v>
      </c>
      <c r="F40" s="90">
        <v>6.5</v>
      </c>
      <c r="G40" s="91" t="s">
        <v>90</v>
      </c>
      <c r="H40" s="92">
        <v>85</v>
      </c>
      <c r="I40" s="93">
        <v>552.5</v>
      </c>
      <c r="J40" s="83"/>
      <c r="K40" s="83"/>
      <c r="L40" s="12"/>
      <c r="M40" s="13"/>
      <c r="N40" s="14"/>
      <c r="O40" s="11"/>
      <c r="P40" s="15"/>
      <c r="Q40" s="16"/>
      <c r="R40" s="2"/>
      <c r="S40" s="12"/>
      <c r="T40" s="17"/>
      <c r="U40" s="2"/>
      <c r="V40" s="18"/>
      <c r="W40" s="8"/>
      <c r="Y40" s="149" t="s">
        <v>86</v>
      </c>
      <c r="Z40" s="152">
        <f t="shared" si="1"/>
        <v>1</v>
      </c>
    </row>
    <row r="41" spans="2:26" ht="18" x14ac:dyDescent="0.35">
      <c r="B41" s="95">
        <v>2.4</v>
      </c>
      <c r="C41" s="96" t="s">
        <v>76</v>
      </c>
      <c r="D41" s="97">
        <v>2.2999999999999998</v>
      </c>
      <c r="E41" s="98">
        <v>5.52</v>
      </c>
      <c r="F41" s="90">
        <v>5</v>
      </c>
      <c r="G41" s="91" t="s">
        <v>90</v>
      </c>
      <c r="H41" s="92">
        <v>85</v>
      </c>
      <c r="I41" s="93">
        <v>425</v>
      </c>
      <c r="J41" s="83"/>
      <c r="K41" s="83"/>
      <c r="L41" s="12"/>
      <c r="M41" s="13"/>
      <c r="N41" s="14"/>
      <c r="O41" s="11"/>
      <c r="P41" s="15"/>
      <c r="Q41" s="16"/>
      <c r="R41" s="2"/>
      <c r="S41" s="12"/>
      <c r="T41" s="17"/>
      <c r="U41" s="2"/>
      <c r="V41" s="18"/>
      <c r="W41" s="8"/>
      <c r="Y41" s="149" t="s">
        <v>87</v>
      </c>
      <c r="Z41" s="152">
        <f t="shared" si="1"/>
        <v>0.4</v>
      </c>
    </row>
    <row r="42" spans="2:26" ht="18" x14ac:dyDescent="0.35">
      <c r="B42" s="95">
        <v>48</v>
      </c>
      <c r="C42" s="96" t="s">
        <v>88</v>
      </c>
      <c r="D42" s="97">
        <v>0.9</v>
      </c>
      <c r="E42" s="98">
        <v>43.2</v>
      </c>
      <c r="F42" s="90">
        <v>4</v>
      </c>
      <c r="G42" s="91" t="s">
        <v>18</v>
      </c>
      <c r="H42" s="92">
        <v>10</v>
      </c>
      <c r="I42" s="93">
        <v>40</v>
      </c>
      <c r="J42" s="83"/>
      <c r="K42" s="83"/>
      <c r="L42" s="12"/>
      <c r="M42" s="13"/>
      <c r="N42" s="14"/>
      <c r="O42" s="11"/>
      <c r="P42" s="15"/>
      <c r="Q42" s="16"/>
      <c r="R42" s="2"/>
      <c r="S42" s="12"/>
      <c r="T42" s="17"/>
      <c r="U42" s="2"/>
      <c r="V42" s="18"/>
      <c r="W42" s="8"/>
      <c r="Y42" s="149" t="s">
        <v>46</v>
      </c>
      <c r="Z42" s="152">
        <f t="shared" si="1"/>
        <v>2.5</v>
      </c>
    </row>
    <row r="43" spans="2:26" ht="18" x14ac:dyDescent="0.35">
      <c r="B43" s="95">
        <v>6.8</v>
      </c>
      <c r="C43" s="96" t="s">
        <v>76</v>
      </c>
      <c r="D43" s="97">
        <v>2.2999999999999998</v>
      </c>
      <c r="E43" s="98">
        <v>15.639999999999999</v>
      </c>
      <c r="F43" s="90">
        <v>4.5</v>
      </c>
      <c r="G43" s="91" t="s">
        <v>85</v>
      </c>
      <c r="H43" s="92">
        <v>10</v>
      </c>
      <c r="I43" s="93">
        <v>45</v>
      </c>
      <c r="J43" s="83"/>
      <c r="K43" s="83"/>
      <c r="L43" s="12"/>
      <c r="M43" s="13"/>
      <c r="N43" s="14"/>
      <c r="O43" s="11"/>
      <c r="P43" s="15"/>
      <c r="Q43" s="16"/>
      <c r="R43" s="2"/>
      <c r="S43" s="12"/>
      <c r="T43" s="17"/>
      <c r="U43" s="2"/>
      <c r="V43" s="18"/>
      <c r="W43" s="8"/>
      <c r="Y43" s="149" t="s">
        <v>47</v>
      </c>
      <c r="Z43" s="152">
        <f t="shared" si="1"/>
        <v>0</v>
      </c>
    </row>
    <row r="44" spans="2:26" ht="18" x14ac:dyDescent="0.35">
      <c r="B44" s="95">
        <v>5.6</v>
      </c>
      <c r="C44" s="96" t="s">
        <v>77</v>
      </c>
      <c r="D44" s="97">
        <v>2.1</v>
      </c>
      <c r="E44" s="98">
        <v>11.76</v>
      </c>
      <c r="F44" s="90">
        <v>1</v>
      </c>
      <c r="G44" s="91" t="s">
        <v>23</v>
      </c>
      <c r="H44" s="92">
        <v>50</v>
      </c>
      <c r="I44" s="93">
        <v>50</v>
      </c>
      <c r="J44" s="83"/>
      <c r="K44" s="83"/>
      <c r="L44" s="12"/>
      <c r="M44" s="13"/>
      <c r="N44" s="14"/>
      <c r="O44" s="11"/>
      <c r="P44" s="15"/>
      <c r="Q44" s="16"/>
      <c r="R44" s="2"/>
      <c r="S44" s="12"/>
      <c r="T44" s="17"/>
      <c r="U44" s="2"/>
      <c r="V44" s="18"/>
      <c r="W44" s="8"/>
      <c r="Y44" s="149" t="s">
        <v>48</v>
      </c>
      <c r="Z44" s="152">
        <f t="shared" si="1"/>
        <v>16.5</v>
      </c>
    </row>
    <row r="45" spans="2:26" ht="18" x14ac:dyDescent="0.35">
      <c r="B45" s="95">
        <v>16.2</v>
      </c>
      <c r="C45" s="96" t="s">
        <v>77</v>
      </c>
      <c r="D45" s="97">
        <v>2.1</v>
      </c>
      <c r="E45" s="98">
        <v>34.020000000000003</v>
      </c>
      <c r="F45" s="90">
        <v>1.5</v>
      </c>
      <c r="G45" s="91" t="s">
        <v>90</v>
      </c>
      <c r="H45" s="92">
        <v>85</v>
      </c>
      <c r="I45" s="93">
        <v>127.5</v>
      </c>
      <c r="J45" s="83"/>
      <c r="K45" s="83"/>
      <c r="L45" s="12"/>
      <c r="M45" s="13"/>
      <c r="N45" s="14"/>
      <c r="O45" s="11"/>
      <c r="P45" s="15"/>
      <c r="Q45" s="16"/>
      <c r="R45" s="2"/>
      <c r="S45" s="12"/>
      <c r="T45" s="17"/>
      <c r="U45" s="2"/>
      <c r="V45" s="18"/>
      <c r="W45" s="8"/>
      <c r="Y45" s="149" t="s">
        <v>83</v>
      </c>
      <c r="Z45" s="152">
        <f t="shared" si="1"/>
        <v>0</v>
      </c>
    </row>
    <row r="46" spans="2:26" ht="18" x14ac:dyDescent="0.35">
      <c r="B46" s="95">
        <v>8.1999999999999993</v>
      </c>
      <c r="C46" s="96" t="s">
        <v>77</v>
      </c>
      <c r="D46" s="97">
        <v>2.1</v>
      </c>
      <c r="E46" s="98">
        <v>17.22</v>
      </c>
      <c r="F46" s="90">
        <v>4</v>
      </c>
      <c r="G46" s="91" t="s">
        <v>20</v>
      </c>
      <c r="H46" s="92">
        <v>1</v>
      </c>
      <c r="I46" s="93">
        <v>4</v>
      </c>
      <c r="J46" s="83"/>
      <c r="K46" s="83"/>
      <c r="L46" s="12"/>
      <c r="M46" s="13"/>
      <c r="N46" s="14"/>
      <c r="O46" s="11"/>
      <c r="P46" s="15"/>
      <c r="Q46" s="16"/>
      <c r="R46" s="2"/>
      <c r="S46" s="12"/>
      <c r="T46" s="17"/>
      <c r="U46" s="2"/>
      <c r="V46" s="18"/>
      <c r="W46" s="8"/>
      <c r="Y46" s="149" t="s">
        <v>96</v>
      </c>
      <c r="Z46" s="152">
        <f t="shared" si="1"/>
        <v>1.5</v>
      </c>
    </row>
    <row r="47" spans="2:26" ht="18" x14ac:dyDescent="0.35">
      <c r="B47" s="95">
        <v>9</v>
      </c>
      <c r="C47" s="96" t="s">
        <v>76</v>
      </c>
      <c r="D47" s="97">
        <v>2.2999999999999998</v>
      </c>
      <c r="E47" s="98">
        <v>20.7</v>
      </c>
      <c r="F47" s="90">
        <v>1.5</v>
      </c>
      <c r="G47" s="91" t="s">
        <v>18</v>
      </c>
      <c r="H47" s="92">
        <v>10</v>
      </c>
      <c r="I47" s="93">
        <v>15</v>
      </c>
      <c r="J47" s="83"/>
      <c r="K47" s="83"/>
      <c r="L47" s="12"/>
      <c r="M47" s="13"/>
      <c r="N47" s="14"/>
      <c r="O47" s="11"/>
      <c r="P47" s="15"/>
      <c r="Q47" s="16"/>
      <c r="R47" s="2"/>
      <c r="S47" s="12"/>
      <c r="T47" s="17"/>
      <c r="U47" s="2"/>
      <c r="V47" s="18"/>
      <c r="W47" s="8"/>
      <c r="Y47" s="149" t="s">
        <v>73</v>
      </c>
      <c r="Z47" s="152">
        <f t="shared" si="1"/>
        <v>0</v>
      </c>
    </row>
    <row r="48" spans="2:26" ht="18" x14ac:dyDescent="0.35">
      <c r="B48" s="95">
        <v>12.6</v>
      </c>
      <c r="C48" s="96" t="s">
        <v>76</v>
      </c>
      <c r="D48" s="97">
        <v>2.2999999999999998</v>
      </c>
      <c r="E48" s="98">
        <v>28.979999999999997</v>
      </c>
      <c r="F48" s="90">
        <v>4</v>
      </c>
      <c r="G48" s="91" t="s">
        <v>18</v>
      </c>
      <c r="H48" s="92">
        <v>10</v>
      </c>
      <c r="I48" s="93">
        <v>40</v>
      </c>
      <c r="J48" s="83"/>
      <c r="K48" s="83"/>
      <c r="L48" s="12"/>
      <c r="M48" s="13"/>
      <c r="N48" s="14"/>
      <c r="O48" s="11"/>
      <c r="P48" s="15"/>
      <c r="Q48" s="16"/>
      <c r="R48" s="2"/>
      <c r="S48" s="12"/>
      <c r="T48" s="17"/>
      <c r="U48" s="2"/>
      <c r="V48" s="18"/>
      <c r="W48" s="8"/>
      <c r="Y48" s="149" t="s">
        <v>74</v>
      </c>
      <c r="Z48" s="152">
        <f t="shared" si="1"/>
        <v>0</v>
      </c>
    </row>
    <row r="49" spans="2:26" ht="18" x14ac:dyDescent="0.35">
      <c r="B49" s="95">
        <v>260</v>
      </c>
      <c r="C49" s="96" t="s">
        <v>77</v>
      </c>
      <c r="D49" s="97">
        <v>2.1</v>
      </c>
      <c r="E49" s="98">
        <v>546</v>
      </c>
      <c r="F49" s="90">
        <v>1.5</v>
      </c>
      <c r="G49" s="91" t="s">
        <v>94</v>
      </c>
      <c r="H49" s="92">
        <v>10</v>
      </c>
      <c r="I49" s="93">
        <v>15</v>
      </c>
      <c r="J49" s="83"/>
      <c r="K49" s="83"/>
      <c r="L49" s="12"/>
      <c r="M49" s="13"/>
      <c r="N49" s="14"/>
      <c r="O49" s="11"/>
      <c r="P49" s="15"/>
      <c r="Q49" s="16"/>
      <c r="R49" s="2"/>
      <c r="S49" s="12"/>
      <c r="T49" s="17"/>
      <c r="U49" s="2"/>
      <c r="V49" s="18"/>
      <c r="W49" s="8"/>
      <c r="Y49" s="149" t="s">
        <v>70</v>
      </c>
      <c r="Z49" s="152">
        <f t="shared" si="1"/>
        <v>0</v>
      </c>
    </row>
    <row r="50" spans="2:26" ht="18" x14ac:dyDescent="0.35">
      <c r="B50" s="95">
        <v>53</v>
      </c>
      <c r="C50" s="96" t="s">
        <v>77</v>
      </c>
      <c r="D50" s="97">
        <v>2.1</v>
      </c>
      <c r="E50" s="98">
        <v>111.30000000000001</v>
      </c>
      <c r="F50" s="90">
        <v>0.5</v>
      </c>
      <c r="G50" s="91" t="s">
        <v>22</v>
      </c>
      <c r="H50" s="92">
        <v>90</v>
      </c>
      <c r="I50" s="93">
        <v>45</v>
      </c>
      <c r="J50" s="83"/>
      <c r="K50" s="83"/>
      <c r="L50" s="12"/>
      <c r="M50" s="13"/>
      <c r="N50" s="14"/>
      <c r="O50" s="11"/>
      <c r="P50" s="15"/>
      <c r="Q50" s="16"/>
      <c r="R50" s="2"/>
      <c r="S50" s="12"/>
      <c r="T50" s="17"/>
      <c r="U50" s="2"/>
      <c r="V50" s="18"/>
      <c r="W50" s="8"/>
      <c r="Y50" s="149" t="s">
        <v>64</v>
      </c>
      <c r="Z50" s="152">
        <f t="shared" si="1"/>
        <v>0</v>
      </c>
    </row>
    <row r="51" spans="2:26" ht="18" x14ac:dyDescent="0.35">
      <c r="B51" s="95">
        <v>8.5</v>
      </c>
      <c r="C51" s="96" t="s">
        <v>77</v>
      </c>
      <c r="D51" s="97">
        <v>2.1</v>
      </c>
      <c r="E51" s="98">
        <v>17.850000000000001</v>
      </c>
      <c r="F51" s="90">
        <v>0.8</v>
      </c>
      <c r="G51" s="91" t="s">
        <v>18</v>
      </c>
      <c r="H51" s="92">
        <v>10</v>
      </c>
      <c r="I51" s="93">
        <v>8</v>
      </c>
      <c r="J51" s="83"/>
      <c r="K51" s="83"/>
      <c r="L51" s="12"/>
      <c r="M51" s="13"/>
      <c r="N51" s="14"/>
      <c r="O51" s="11"/>
      <c r="P51" s="15"/>
      <c r="Q51" s="16"/>
      <c r="R51" s="2"/>
      <c r="S51" s="12"/>
      <c r="T51" s="17"/>
      <c r="U51" s="2"/>
      <c r="V51" s="18"/>
      <c r="W51" s="8"/>
      <c r="Y51" s="149" t="s">
        <v>65</v>
      </c>
      <c r="Z51" s="152">
        <f t="shared" si="1"/>
        <v>0</v>
      </c>
    </row>
    <row r="52" spans="2:26" ht="18" x14ac:dyDescent="0.35">
      <c r="B52" s="95">
        <v>2</v>
      </c>
      <c r="C52" s="96" t="s">
        <v>76</v>
      </c>
      <c r="D52" s="97">
        <v>2.2999999999999998</v>
      </c>
      <c r="E52" s="98">
        <v>4.5999999999999996</v>
      </c>
      <c r="F52" s="90">
        <v>1</v>
      </c>
      <c r="G52" s="91" t="s">
        <v>85</v>
      </c>
      <c r="H52" s="92">
        <v>10</v>
      </c>
      <c r="I52" s="93">
        <v>10</v>
      </c>
      <c r="J52" s="83"/>
      <c r="K52" s="83"/>
      <c r="L52" s="12"/>
      <c r="M52" s="13"/>
      <c r="N52" s="14"/>
      <c r="O52" s="11"/>
      <c r="P52" s="15"/>
      <c r="Q52" s="16"/>
      <c r="R52" s="2"/>
      <c r="S52" s="12"/>
      <c r="T52" s="17"/>
      <c r="U52" s="2"/>
      <c r="V52" s="18"/>
      <c r="W52" s="8"/>
      <c r="Y52" s="149" t="s">
        <v>66</v>
      </c>
      <c r="Z52" s="152">
        <f t="shared" si="1"/>
        <v>0</v>
      </c>
    </row>
    <row r="53" spans="2:26" ht="18" x14ac:dyDescent="0.35">
      <c r="B53" s="95">
        <v>2</v>
      </c>
      <c r="C53" s="96" t="s">
        <v>76</v>
      </c>
      <c r="D53" s="97">
        <v>2.2999999999999998</v>
      </c>
      <c r="E53" s="98">
        <v>4.5999999999999996</v>
      </c>
      <c r="F53" s="90">
        <v>0.6</v>
      </c>
      <c r="G53" s="91" t="s">
        <v>84</v>
      </c>
      <c r="H53" s="92">
        <v>5</v>
      </c>
      <c r="I53" s="93">
        <v>3</v>
      </c>
      <c r="J53" s="83"/>
      <c r="K53" s="83"/>
      <c r="L53" s="12"/>
      <c r="M53" s="13"/>
      <c r="N53" s="14"/>
      <c r="O53" s="11"/>
      <c r="P53" s="15"/>
      <c r="Q53" s="16"/>
      <c r="R53" s="2"/>
      <c r="S53" s="12"/>
      <c r="T53" s="17"/>
      <c r="U53" s="2"/>
      <c r="V53" s="18"/>
      <c r="W53" s="8"/>
      <c r="Y53" s="149" t="s">
        <v>100</v>
      </c>
      <c r="Z53" s="152">
        <f t="shared" si="1"/>
        <v>0</v>
      </c>
    </row>
    <row r="54" spans="2:26" ht="18" x14ac:dyDescent="0.35">
      <c r="B54" s="95">
        <v>2</v>
      </c>
      <c r="C54" s="96" t="s">
        <v>76</v>
      </c>
      <c r="D54" s="97">
        <v>2.2999999999999998</v>
      </c>
      <c r="E54" s="98">
        <v>4.5999999999999996</v>
      </c>
      <c r="F54" s="90">
        <v>3</v>
      </c>
      <c r="G54" s="91" t="s">
        <v>18</v>
      </c>
      <c r="H54" s="92">
        <v>10</v>
      </c>
      <c r="I54" s="93">
        <v>30</v>
      </c>
      <c r="J54" s="83"/>
      <c r="K54" s="83"/>
      <c r="L54" s="12"/>
      <c r="M54" s="13"/>
      <c r="N54" s="14"/>
      <c r="O54" s="11"/>
      <c r="P54" s="15"/>
      <c r="Q54" s="16"/>
      <c r="R54" s="2"/>
      <c r="S54" s="12"/>
      <c r="T54" s="17"/>
      <c r="U54" s="2"/>
      <c r="V54" s="18"/>
      <c r="W54" s="8"/>
      <c r="Y54" s="149" t="s">
        <v>101</v>
      </c>
      <c r="Z54" s="152">
        <f t="shared" si="1"/>
        <v>0</v>
      </c>
    </row>
    <row r="55" spans="2:26" ht="18" x14ac:dyDescent="0.35">
      <c r="B55" s="95">
        <v>4</v>
      </c>
      <c r="C55" s="96" t="s">
        <v>77</v>
      </c>
      <c r="D55" s="97">
        <v>2.1</v>
      </c>
      <c r="E55" s="98">
        <v>8.4</v>
      </c>
      <c r="F55" s="90">
        <v>0.6</v>
      </c>
      <c r="G55" s="91" t="s">
        <v>23</v>
      </c>
      <c r="H55" s="92">
        <v>50</v>
      </c>
      <c r="I55" s="93">
        <v>30</v>
      </c>
      <c r="J55" s="83"/>
      <c r="K55" s="83"/>
      <c r="L55" s="12"/>
      <c r="M55" s="13"/>
      <c r="N55" s="14"/>
      <c r="O55" s="11"/>
      <c r="P55" s="15"/>
      <c r="Q55" s="16"/>
      <c r="R55" s="2"/>
      <c r="S55" s="12"/>
      <c r="T55" s="17"/>
      <c r="U55" s="2"/>
      <c r="V55" s="18"/>
      <c r="W55" s="8"/>
      <c r="Y55" s="149" t="s">
        <v>102</v>
      </c>
      <c r="Z55" s="152">
        <f t="shared" si="1"/>
        <v>0</v>
      </c>
    </row>
    <row r="56" spans="2:26" ht="18" x14ac:dyDescent="0.35">
      <c r="B56" s="95">
        <v>13.5</v>
      </c>
      <c r="C56" s="96" t="s">
        <v>76</v>
      </c>
      <c r="D56" s="97">
        <v>2.2999999999999998</v>
      </c>
      <c r="E56" s="98">
        <v>31.049999999999997</v>
      </c>
      <c r="F56" s="90">
        <v>0.5</v>
      </c>
      <c r="G56" s="91" t="s">
        <v>90</v>
      </c>
      <c r="H56" s="92">
        <v>85</v>
      </c>
      <c r="I56" s="93">
        <v>42.5</v>
      </c>
      <c r="J56" s="83"/>
      <c r="K56" s="83"/>
      <c r="L56" s="12"/>
      <c r="M56" s="13"/>
      <c r="N56" s="14"/>
      <c r="O56" s="11"/>
      <c r="P56" s="15"/>
      <c r="Q56" s="16"/>
      <c r="R56" s="2"/>
      <c r="S56" s="12"/>
      <c r="T56" s="17"/>
      <c r="U56" s="2"/>
      <c r="V56" s="18"/>
      <c r="W56" s="8"/>
      <c r="Y56" s="149" t="s">
        <v>26</v>
      </c>
      <c r="Z56" s="152">
        <f t="shared" si="1"/>
        <v>0</v>
      </c>
    </row>
    <row r="57" spans="2:26" ht="18" x14ac:dyDescent="0.35">
      <c r="B57" s="95">
        <v>7.5</v>
      </c>
      <c r="C57" s="96" t="s">
        <v>77</v>
      </c>
      <c r="D57" s="97">
        <v>2.1</v>
      </c>
      <c r="E57" s="98">
        <v>15.75</v>
      </c>
      <c r="F57" s="90">
        <v>0.2</v>
      </c>
      <c r="G57" s="91" t="s">
        <v>90</v>
      </c>
      <c r="H57" s="92">
        <v>85</v>
      </c>
      <c r="I57" s="93">
        <v>17</v>
      </c>
      <c r="J57" s="83"/>
      <c r="K57" s="83"/>
      <c r="L57" s="12"/>
      <c r="M57" s="13"/>
      <c r="N57" s="14"/>
      <c r="O57" s="11"/>
      <c r="P57" s="15"/>
      <c r="Q57" s="16"/>
      <c r="R57" s="2"/>
      <c r="S57" s="12"/>
      <c r="T57" s="17"/>
      <c r="U57" s="2"/>
      <c r="V57" s="18"/>
      <c r="W57" s="8"/>
      <c r="Y57" s="149" t="s">
        <v>27</v>
      </c>
      <c r="Z57" s="152">
        <f t="shared" si="1"/>
        <v>0</v>
      </c>
    </row>
    <row r="58" spans="2:26" ht="18" x14ac:dyDescent="0.35">
      <c r="B58" s="95"/>
      <c r="C58" s="96"/>
      <c r="D58" s="97"/>
      <c r="E58" s="98"/>
      <c r="F58" s="90">
        <v>1</v>
      </c>
      <c r="G58" s="91" t="s">
        <v>84</v>
      </c>
      <c r="H58" s="92">
        <v>5</v>
      </c>
      <c r="I58" s="93">
        <v>5</v>
      </c>
      <c r="J58" s="83"/>
      <c r="K58" s="83"/>
      <c r="L58" s="12"/>
      <c r="M58" s="13"/>
      <c r="N58" s="14"/>
      <c r="O58" s="11"/>
      <c r="P58" s="15"/>
      <c r="Q58" s="16"/>
      <c r="R58" s="2"/>
      <c r="S58" s="12"/>
      <c r="T58" s="17"/>
      <c r="U58" s="2"/>
      <c r="V58" s="18"/>
      <c r="W58" s="8"/>
      <c r="Y58" s="149" t="s">
        <v>28</v>
      </c>
      <c r="Z58" s="152">
        <f t="shared" si="1"/>
        <v>0</v>
      </c>
    </row>
    <row r="59" spans="2:26" ht="18" x14ac:dyDescent="0.35">
      <c r="B59" s="95"/>
      <c r="C59" s="96"/>
      <c r="D59" s="97"/>
      <c r="E59" s="98"/>
      <c r="F59" s="90">
        <v>2</v>
      </c>
      <c r="G59" s="91" t="s">
        <v>18</v>
      </c>
      <c r="H59" s="92">
        <v>10</v>
      </c>
      <c r="I59" s="93">
        <v>20</v>
      </c>
      <c r="J59" s="83"/>
      <c r="K59" s="83"/>
      <c r="L59" s="12"/>
      <c r="M59" s="13"/>
      <c r="N59" s="14"/>
      <c r="O59" s="11"/>
      <c r="P59" s="15"/>
      <c r="Q59" s="16"/>
      <c r="R59" s="2"/>
      <c r="S59" s="12"/>
      <c r="T59" s="17"/>
      <c r="U59" s="2"/>
      <c r="V59" s="18"/>
      <c r="W59" s="8"/>
      <c r="Y59" s="149" t="s">
        <v>29</v>
      </c>
      <c r="Z59" s="152">
        <f t="shared" si="1"/>
        <v>0</v>
      </c>
    </row>
    <row r="60" spans="2:26" ht="18" x14ac:dyDescent="0.35">
      <c r="B60" s="95"/>
      <c r="C60" s="96"/>
      <c r="D60" s="97"/>
      <c r="E60" s="98"/>
      <c r="F60" s="90">
        <v>7.2</v>
      </c>
      <c r="G60" s="91" t="s">
        <v>94</v>
      </c>
      <c r="H60" s="92">
        <v>10</v>
      </c>
      <c r="I60" s="93">
        <v>72</v>
      </c>
      <c r="J60" s="83"/>
      <c r="K60" s="83"/>
      <c r="L60" s="12"/>
      <c r="M60" s="13"/>
      <c r="N60" s="14"/>
      <c r="O60" s="11"/>
      <c r="P60" s="15"/>
      <c r="Q60" s="16"/>
      <c r="R60" s="2"/>
      <c r="S60" s="12"/>
      <c r="T60" s="17"/>
      <c r="U60" s="2"/>
      <c r="V60" s="18"/>
      <c r="W60" s="8"/>
      <c r="Y60" s="149" t="s">
        <v>34</v>
      </c>
      <c r="Z60" s="152">
        <f t="shared" si="1"/>
        <v>0</v>
      </c>
    </row>
    <row r="61" spans="2:26" ht="18" x14ac:dyDescent="0.35">
      <c r="B61" s="95"/>
      <c r="C61" s="96"/>
      <c r="D61" s="97"/>
      <c r="E61" s="98"/>
      <c r="F61" s="90">
        <v>1</v>
      </c>
      <c r="G61" s="91" t="s">
        <v>23</v>
      </c>
      <c r="H61" s="92">
        <v>50</v>
      </c>
      <c r="I61" s="93">
        <v>50</v>
      </c>
      <c r="J61" s="83"/>
      <c r="K61" s="83"/>
      <c r="L61" s="12"/>
      <c r="M61" s="13"/>
      <c r="N61" s="14"/>
      <c r="O61" s="11"/>
      <c r="P61" s="15"/>
      <c r="Q61" s="16"/>
      <c r="R61" s="2"/>
      <c r="S61" s="12"/>
      <c r="T61" s="17"/>
      <c r="U61" s="2"/>
      <c r="V61" s="18"/>
      <c r="W61" s="8"/>
      <c r="Y61" s="149" t="s">
        <v>35</v>
      </c>
      <c r="Z61" s="152">
        <f t="shared" si="1"/>
        <v>0</v>
      </c>
    </row>
    <row r="62" spans="2:26" ht="18" x14ac:dyDescent="0.35">
      <c r="B62" s="95"/>
      <c r="C62" s="96"/>
      <c r="D62" s="97"/>
      <c r="E62" s="98"/>
      <c r="F62" s="90">
        <v>0.2</v>
      </c>
      <c r="G62" s="91" t="s">
        <v>92</v>
      </c>
      <c r="H62" s="92">
        <v>70</v>
      </c>
      <c r="I62" s="93">
        <v>14</v>
      </c>
      <c r="J62" s="83"/>
      <c r="K62" s="83"/>
      <c r="L62" s="12"/>
      <c r="M62" s="13"/>
      <c r="N62" s="14"/>
      <c r="O62" s="11"/>
      <c r="P62" s="15"/>
      <c r="Q62" s="16"/>
      <c r="R62" s="2"/>
      <c r="S62" s="12"/>
      <c r="T62" s="17"/>
      <c r="U62" s="2"/>
      <c r="V62" s="18"/>
      <c r="W62" s="8"/>
      <c r="Y62" s="149" t="s">
        <v>36</v>
      </c>
      <c r="Z62" s="152">
        <f t="shared" si="1"/>
        <v>0</v>
      </c>
    </row>
    <row r="63" spans="2:26" ht="18" x14ac:dyDescent="0.35">
      <c r="B63" s="95"/>
      <c r="C63" s="96"/>
      <c r="D63" s="97"/>
      <c r="E63" s="98"/>
      <c r="F63" s="90">
        <v>0.2</v>
      </c>
      <c r="G63" s="91" t="s">
        <v>90</v>
      </c>
      <c r="H63" s="92">
        <v>85</v>
      </c>
      <c r="I63" s="93">
        <v>17</v>
      </c>
      <c r="J63" s="83"/>
      <c r="K63" s="83"/>
      <c r="L63" s="12"/>
      <c r="M63" s="13"/>
      <c r="N63" s="14"/>
      <c r="O63" s="11"/>
      <c r="P63" s="15"/>
      <c r="Q63" s="16"/>
      <c r="R63" s="2"/>
      <c r="S63" s="12"/>
      <c r="T63" s="17"/>
      <c r="U63" s="2"/>
      <c r="V63" s="18"/>
      <c r="W63" s="8"/>
      <c r="Y63" s="149" t="s">
        <v>37</v>
      </c>
      <c r="Z63" s="152">
        <f t="shared" si="1"/>
        <v>0</v>
      </c>
    </row>
    <row r="64" spans="2:26" ht="18" x14ac:dyDescent="0.35">
      <c r="B64" s="95"/>
      <c r="C64" s="96"/>
      <c r="D64" s="97"/>
      <c r="E64" s="98"/>
      <c r="F64" s="90">
        <v>0.2</v>
      </c>
      <c r="G64" s="91" t="s">
        <v>94</v>
      </c>
      <c r="H64" s="92">
        <v>10</v>
      </c>
      <c r="I64" s="93">
        <v>2</v>
      </c>
      <c r="J64" s="83"/>
      <c r="K64" s="83"/>
      <c r="L64" s="12"/>
      <c r="M64" s="13"/>
      <c r="N64" s="14"/>
      <c r="O64" s="11"/>
      <c r="P64" s="15"/>
      <c r="Q64" s="16"/>
      <c r="R64" s="2"/>
      <c r="S64" s="12"/>
      <c r="T64" s="17"/>
      <c r="U64" s="2"/>
      <c r="V64" s="18"/>
      <c r="W64" s="8"/>
      <c r="Y64" s="149" t="s">
        <v>38</v>
      </c>
      <c r="Z64" s="152">
        <f t="shared" si="1"/>
        <v>0</v>
      </c>
    </row>
    <row r="65" spans="2:26" ht="18" x14ac:dyDescent="0.35">
      <c r="B65" s="95"/>
      <c r="C65" s="96"/>
      <c r="D65" s="97"/>
      <c r="E65" s="98"/>
      <c r="F65" s="99">
        <v>1</v>
      </c>
      <c r="G65" s="100" t="s">
        <v>18</v>
      </c>
      <c r="H65" s="101">
        <v>10</v>
      </c>
      <c r="I65" s="102">
        <v>10</v>
      </c>
      <c r="J65" s="83"/>
      <c r="K65" s="83"/>
      <c r="L65" s="12"/>
      <c r="M65" s="13"/>
      <c r="N65" s="14"/>
      <c r="O65" s="11"/>
      <c r="P65" s="15"/>
      <c r="Q65" s="16"/>
      <c r="R65" s="2"/>
      <c r="S65" s="12"/>
      <c r="T65" s="17"/>
      <c r="U65" s="2"/>
      <c r="V65" s="18"/>
      <c r="W65" s="8"/>
      <c r="Y65" s="149" t="s">
        <v>40</v>
      </c>
      <c r="Z65" s="152">
        <f t="shared" si="1"/>
        <v>0</v>
      </c>
    </row>
    <row r="66" spans="2:26" ht="18" x14ac:dyDescent="0.35">
      <c r="B66" s="95"/>
      <c r="C66" s="96"/>
      <c r="D66" s="97"/>
      <c r="E66" s="98"/>
      <c r="F66" s="90">
        <v>1</v>
      </c>
      <c r="G66" s="91" t="s">
        <v>92</v>
      </c>
      <c r="H66" s="92">
        <v>70</v>
      </c>
      <c r="I66" s="93">
        <v>70</v>
      </c>
      <c r="J66" s="83"/>
      <c r="K66" s="83"/>
      <c r="L66" s="12"/>
      <c r="M66" s="13"/>
      <c r="N66" s="14"/>
      <c r="O66" s="11"/>
      <c r="P66" s="15"/>
      <c r="Q66" s="16"/>
      <c r="R66" s="2"/>
      <c r="S66" s="12"/>
      <c r="T66" s="17"/>
      <c r="U66" s="2"/>
      <c r="V66" s="18"/>
      <c r="W66" s="8"/>
      <c r="Y66" s="149" t="s">
        <v>41</v>
      </c>
      <c r="Z66" s="152">
        <f t="shared" si="1"/>
        <v>0</v>
      </c>
    </row>
    <row r="67" spans="2:26" ht="18" x14ac:dyDescent="0.35">
      <c r="B67" s="95"/>
      <c r="C67" s="96"/>
      <c r="D67" s="97"/>
      <c r="E67" s="98"/>
      <c r="F67" s="103">
        <v>0.2</v>
      </c>
      <c r="G67" s="94" t="s">
        <v>94</v>
      </c>
      <c r="H67" s="104">
        <v>10</v>
      </c>
      <c r="I67" s="105">
        <v>2</v>
      </c>
      <c r="J67" s="83"/>
      <c r="K67" s="83"/>
      <c r="L67" s="12"/>
      <c r="M67" s="13"/>
      <c r="N67" s="14"/>
      <c r="O67" s="11"/>
      <c r="P67" s="15"/>
      <c r="Q67" s="16"/>
      <c r="R67" s="2"/>
      <c r="S67" s="12"/>
      <c r="T67" s="17"/>
      <c r="U67" s="2"/>
      <c r="V67" s="18"/>
      <c r="W67" s="8"/>
      <c r="Y67" s="149" t="s">
        <v>69</v>
      </c>
      <c r="Z67" s="152">
        <f t="shared" si="1"/>
        <v>0</v>
      </c>
    </row>
    <row r="68" spans="2:26" ht="18" x14ac:dyDescent="0.35">
      <c r="B68" s="95"/>
      <c r="C68" s="96"/>
      <c r="D68" s="97"/>
      <c r="E68" s="98"/>
      <c r="F68" s="90">
        <v>1.2</v>
      </c>
      <c r="G68" s="91" t="s">
        <v>94</v>
      </c>
      <c r="H68" s="92">
        <v>10</v>
      </c>
      <c r="I68" s="105">
        <v>12</v>
      </c>
      <c r="J68" s="83"/>
      <c r="K68" s="83"/>
      <c r="L68" s="12"/>
      <c r="M68" s="13"/>
      <c r="N68" s="14"/>
      <c r="O68" s="11"/>
      <c r="P68" s="15"/>
      <c r="Q68" s="16"/>
      <c r="R68" s="2"/>
      <c r="S68" s="12"/>
      <c r="T68" s="17"/>
      <c r="U68" s="2"/>
      <c r="V68" s="18"/>
      <c r="W68" s="8"/>
      <c r="Y68" s="149" t="s">
        <v>108</v>
      </c>
      <c r="Z68" s="152">
        <f t="shared" si="1"/>
        <v>0</v>
      </c>
    </row>
    <row r="69" spans="2:26" ht="18" x14ac:dyDescent="0.35">
      <c r="B69" s="95"/>
      <c r="C69" s="96"/>
      <c r="D69" s="97"/>
      <c r="E69" s="98"/>
      <c r="F69" s="90">
        <v>0.2</v>
      </c>
      <c r="G69" s="91" t="s">
        <v>92</v>
      </c>
      <c r="H69" s="92">
        <v>70</v>
      </c>
      <c r="I69" s="105">
        <v>14</v>
      </c>
      <c r="J69" s="83"/>
      <c r="K69" s="83"/>
      <c r="L69" s="12"/>
      <c r="M69" s="13"/>
      <c r="N69" s="14"/>
      <c r="O69" s="11"/>
      <c r="P69" s="15"/>
      <c r="Q69" s="16"/>
      <c r="R69" s="2"/>
      <c r="S69" s="12"/>
      <c r="T69" s="17"/>
      <c r="U69" s="2"/>
      <c r="V69" s="18"/>
      <c r="W69" s="8"/>
      <c r="Y69" s="149" t="s">
        <v>44</v>
      </c>
      <c r="Z69" s="152">
        <f t="shared" si="1"/>
        <v>0</v>
      </c>
    </row>
    <row r="70" spans="2:26" ht="18" x14ac:dyDescent="0.35">
      <c r="B70" s="95"/>
      <c r="C70" s="96"/>
      <c r="D70" s="97"/>
      <c r="E70" s="98"/>
      <c r="F70" s="90">
        <v>2.6</v>
      </c>
      <c r="G70" s="91" t="s">
        <v>18</v>
      </c>
      <c r="H70" s="92">
        <v>10</v>
      </c>
      <c r="I70" s="105">
        <v>26</v>
      </c>
      <c r="J70" s="83"/>
      <c r="K70" s="83"/>
      <c r="L70" s="12"/>
      <c r="M70" s="13"/>
      <c r="N70" s="14"/>
      <c r="O70" s="11"/>
      <c r="P70" s="15"/>
      <c r="Q70" s="16"/>
      <c r="R70" s="2"/>
      <c r="S70" s="12"/>
      <c r="T70" s="17"/>
      <c r="U70" s="2"/>
      <c r="V70" s="18"/>
      <c r="W70" s="8"/>
      <c r="Y70" s="149" t="s">
        <v>45</v>
      </c>
      <c r="Z70" s="152">
        <f t="shared" si="1"/>
        <v>0</v>
      </c>
    </row>
    <row r="71" spans="2:26" ht="18" x14ac:dyDescent="0.35">
      <c r="B71" s="95"/>
      <c r="C71" s="96"/>
      <c r="D71" s="97"/>
      <c r="E71" s="98"/>
      <c r="F71" s="90">
        <v>0.6</v>
      </c>
      <c r="G71" s="91" t="s">
        <v>94</v>
      </c>
      <c r="H71" s="92">
        <v>10</v>
      </c>
      <c r="I71" s="105">
        <v>6</v>
      </c>
      <c r="J71" s="83"/>
      <c r="K71" s="83"/>
      <c r="L71" s="12"/>
      <c r="M71" s="13"/>
      <c r="N71" s="14"/>
      <c r="O71" s="11"/>
      <c r="P71" s="15"/>
      <c r="Q71" s="16"/>
      <c r="R71" s="2"/>
      <c r="S71" s="12"/>
      <c r="T71" s="17"/>
      <c r="U71" s="2"/>
      <c r="V71" s="18"/>
      <c r="W71" s="8"/>
      <c r="Y71" s="149" t="s">
        <v>49</v>
      </c>
      <c r="Z71" s="152">
        <f t="shared" si="1"/>
        <v>0</v>
      </c>
    </row>
    <row r="72" spans="2:26" ht="18" x14ac:dyDescent="0.35">
      <c r="B72" s="106"/>
      <c r="C72" s="107"/>
      <c r="D72" s="108"/>
      <c r="E72" s="109"/>
      <c r="F72" s="90">
        <v>0.5</v>
      </c>
      <c r="G72" s="91" t="s">
        <v>84</v>
      </c>
      <c r="H72" s="92">
        <v>5</v>
      </c>
      <c r="I72" s="105">
        <v>2.5</v>
      </c>
      <c r="J72" s="83"/>
      <c r="K72" s="83"/>
      <c r="L72" s="12"/>
      <c r="M72" s="13"/>
      <c r="N72" s="14"/>
      <c r="O72" s="11"/>
      <c r="P72" s="15"/>
      <c r="Q72" s="16"/>
      <c r="R72" s="2"/>
      <c r="S72" s="12"/>
      <c r="T72" s="17"/>
      <c r="U72" s="2"/>
      <c r="V72" s="18"/>
      <c r="W72" s="8"/>
      <c r="Y72" s="149" t="s">
        <v>50</v>
      </c>
      <c r="Z72" s="152">
        <f t="shared" si="1"/>
        <v>0</v>
      </c>
    </row>
    <row r="73" spans="2:26" ht="18" x14ac:dyDescent="0.35">
      <c r="B73" s="95"/>
      <c r="C73" s="96"/>
      <c r="D73" s="97"/>
      <c r="E73" s="98"/>
      <c r="F73" s="90">
        <v>0.2</v>
      </c>
      <c r="G73" s="91" t="s">
        <v>90</v>
      </c>
      <c r="H73" s="92">
        <v>85</v>
      </c>
      <c r="I73" s="105">
        <v>17</v>
      </c>
      <c r="J73" s="83"/>
      <c r="K73" s="83"/>
      <c r="L73" s="20"/>
      <c r="M73" s="21"/>
      <c r="N73" s="22"/>
      <c r="O73" s="19"/>
      <c r="P73" s="23"/>
      <c r="Q73" s="24"/>
      <c r="R73" s="2"/>
      <c r="S73" s="20"/>
      <c r="T73" s="25"/>
      <c r="U73" s="2"/>
      <c r="V73" s="26"/>
      <c r="W73" s="27"/>
      <c r="Y73" s="149" t="s">
        <v>51</v>
      </c>
      <c r="Z73" s="152">
        <f t="shared" si="1"/>
        <v>0</v>
      </c>
    </row>
    <row r="74" spans="2:26" ht="18" x14ac:dyDescent="0.35">
      <c r="B74" s="110"/>
      <c r="C74" s="111"/>
      <c r="D74" s="112"/>
      <c r="E74" s="113"/>
      <c r="F74" s="90">
        <v>0.2</v>
      </c>
      <c r="G74" s="91" t="s">
        <v>92</v>
      </c>
      <c r="H74" s="92">
        <v>70</v>
      </c>
      <c r="I74" s="105">
        <v>14</v>
      </c>
      <c r="J74" s="83"/>
      <c r="K74" s="83"/>
      <c r="L74" s="12"/>
      <c r="M74" s="28"/>
      <c r="N74" s="14"/>
      <c r="O74" s="11"/>
      <c r="P74" s="11"/>
      <c r="Q74" s="16"/>
      <c r="R74" s="2"/>
      <c r="S74" s="12"/>
      <c r="T74" s="17"/>
      <c r="U74" s="2"/>
      <c r="V74" s="18"/>
      <c r="W74" s="16"/>
      <c r="Y74" s="149" t="s">
        <v>52</v>
      </c>
      <c r="Z74" s="152">
        <f t="shared" si="1"/>
        <v>0</v>
      </c>
    </row>
    <row r="75" spans="2:26" ht="18" x14ac:dyDescent="0.35">
      <c r="B75" s="95"/>
      <c r="C75" s="96"/>
      <c r="D75" s="97"/>
      <c r="E75" s="113"/>
      <c r="F75" s="90">
        <v>3.8</v>
      </c>
      <c r="G75" s="91" t="s">
        <v>18</v>
      </c>
      <c r="H75" s="92">
        <v>10</v>
      </c>
      <c r="I75" s="105">
        <v>38</v>
      </c>
      <c r="J75" s="83"/>
      <c r="K75" s="83"/>
      <c r="L75" s="12"/>
      <c r="M75" s="28"/>
      <c r="N75" s="14"/>
      <c r="O75" s="11"/>
      <c r="P75" s="11"/>
      <c r="Q75" s="16"/>
      <c r="R75" s="2"/>
      <c r="S75" s="12"/>
      <c r="T75" s="17"/>
      <c r="U75" s="2"/>
      <c r="V75" s="18"/>
      <c r="W75" s="16"/>
      <c r="Y75" s="149" t="s">
        <v>72</v>
      </c>
      <c r="Z75" s="152">
        <f t="shared" si="1"/>
        <v>0</v>
      </c>
    </row>
    <row r="76" spans="2:26" ht="18" x14ac:dyDescent="0.35">
      <c r="B76" s="95"/>
      <c r="C76" s="96"/>
      <c r="D76" s="97"/>
      <c r="E76" s="113"/>
      <c r="F76" s="90">
        <v>0.4</v>
      </c>
      <c r="G76" s="91" t="s">
        <v>23</v>
      </c>
      <c r="H76" s="92">
        <v>50</v>
      </c>
      <c r="I76" s="105">
        <v>20</v>
      </c>
      <c r="J76" s="83"/>
      <c r="K76" s="83"/>
      <c r="L76" s="12"/>
      <c r="M76" s="28"/>
      <c r="N76" s="14"/>
      <c r="O76" s="11"/>
      <c r="P76" s="11"/>
      <c r="Q76" s="16"/>
      <c r="R76" s="2"/>
      <c r="S76" s="12"/>
      <c r="T76" s="17"/>
      <c r="U76" s="2"/>
      <c r="V76" s="18"/>
      <c r="W76" s="16"/>
      <c r="Y76" s="149" t="s">
        <v>71</v>
      </c>
      <c r="Z76" s="152">
        <f t="shared" si="1"/>
        <v>0</v>
      </c>
    </row>
    <row r="77" spans="2:26" ht="18" x14ac:dyDescent="0.35">
      <c r="B77" s="95"/>
      <c r="C77" s="96"/>
      <c r="D77" s="97"/>
      <c r="E77" s="113"/>
      <c r="F77" s="90">
        <v>0.6</v>
      </c>
      <c r="G77" s="91" t="s">
        <v>90</v>
      </c>
      <c r="H77" s="92">
        <v>85</v>
      </c>
      <c r="I77" s="105">
        <v>51</v>
      </c>
      <c r="J77" s="83"/>
      <c r="K77" s="83"/>
      <c r="L77" s="12"/>
      <c r="M77" s="28"/>
      <c r="N77" s="14"/>
      <c r="O77" s="11"/>
      <c r="P77" s="11"/>
      <c r="Q77" s="16"/>
      <c r="R77" s="2"/>
      <c r="S77" s="12"/>
      <c r="T77" s="17"/>
      <c r="U77" s="2"/>
      <c r="V77" s="18"/>
      <c r="W77" s="16"/>
      <c r="Y77" s="149" t="s">
        <v>53</v>
      </c>
      <c r="Z77" s="152">
        <f t="shared" ref="Z77:Z79" si="2">SUMIF($G$9:$G$129, Y77, $F$9:$F$129)</f>
        <v>0</v>
      </c>
    </row>
    <row r="78" spans="2:26" ht="18" x14ac:dyDescent="0.35">
      <c r="B78" s="95"/>
      <c r="C78" s="96"/>
      <c r="D78" s="97"/>
      <c r="E78" s="113"/>
      <c r="F78" s="90">
        <v>5.5</v>
      </c>
      <c r="G78" s="91" t="s">
        <v>20</v>
      </c>
      <c r="H78" s="92">
        <v>1</v>
      </c>
      <c r="I78" s="105">
        <v>5.5</v>
      </c>
      <c r="J78" s="83"/>
      <c r="K78" s="83"/>
      <c r="L78" s="12"/>
      <c r="M78" s="28"/>
      <c r="N78" s="14"/>
      <c r="O78" s="11"/>
      <c r="P78" s="11"/>
      <c r="Q78" s="16"/>
      <c r="R78" s="2"/>
      <c r="S78" s="12"/>
      <c r="T78" s="17"/>
      <c r="U78" s="2"/>
      <c r="V78" s="18"/>
      <c r="W78" s="16"/>
      <c r="Y78" s="149" t="s">
        <v>54</v>
      </c>
      <c r="Z78" s="152">
        <f t="shared" si="2"/>
        <v>0</v>
      </c>
    </row>
    <row r="79" spans="2:26" ht="18.600000000000001" thickBot="1" x14ac:dyDescent="0.4">
      <c r="B79" s="95"/>
      <c r="C79" s="96"/>
      <c r="D79" s="97"/>
      <c r="E79" s="113"/>
      <c r="F79" s="90">
        <v>2.5</v>
      </c>
      <c r="G79" s="91" t="s">
        <v>94</v>
      </c>
      <c r="H79" s="92">
        <v>10</v>
      </c>
      <c r="I79" s="105">
        <v>25</v>
      </c>
      <c r="J79" s="83"/>
      <c r="K79" s="83"/>
      <c r="L79" s="12"/>
      <c r="M79" s="28"/>
      <c r="N79" s="14"/>
      <c r="O79" s="11"/>
      <c r="P79" s="11"/>
      <c r="Q79" s="16"/>
      <c r="R79" s="2"/>
      <c r="S79" s="12"/>
      <c r="T79" s="17"/>
      <c r="U79" s="2"/>
      <c r="V79" s="18"/>
      <c r="W79" s="16"/>
      <c r="Y79" s="150" t="s">
        <v>55</v>
      </c>
      <c r="Z79" s="153">
        <f t="shared" si="2"/>
        <v>0</v>
      </c>
    </row>
    <row r="80" spans="2:26" ht="18" x14ac:dyDescent="0.35">
      <c r="B80" s="95"/>
      <c r="C80" s="96"/>
      <c r="D80" s="97"/>
      <c r="E80" s="113"/>
      <c r="F80" s="90">
        <v>2</v>
      </c>
      <c r="G80" s="91" t="s">
        <v>18</v>
      </c>
      <c r="H80" s="92">
        <v>10</v>
      </c>
      <c r="I80" s="105">
        <v>20</v>
      </c>
      <c r="J80" s="83"/>
      <c r="K80" s="83"/>
      <c r="L80" s="12"/>
      <c r="M80" s="28"/>
      <c r="N80" s="14"/>
      <c r="O80" s="11"/>
      <c r="P80" s="11"/>
      <c r="Q80" s="16"/>
      <c r="R80" s="2"/>
      <c r="S80" s="12"/>
      <c r="T80" s="17"/>
      <c r="U80" s="2"/>
      <c r="V80" s="18"/>
      <c r="W80" s="16"/>
    </row>
    <row r="81" spans="2:23" ht="18" x14ac:dyDescent="0.35">
      <c r="B81" s="95"/>
      <c r="C81" s="96"/>
      <c r="D81" s="97"/>
      <c r="E81" s="113"/>
      <c r="F81" s="90">
        <v>0.8</v>
      </c>
      <c r="G81" s="91" t="s">
        <v>90</v>
      </c>
      <c r="H81" s="92">
        <v>85</v>
      </c>
      <c r="I81" s="105">
        <v>68</v>
      </c>
      <c r="J81" s="83"/>
      <c r="K81" s="83"/>
      <c r="L81" s="12"/>
      <c r="M81" s="28"/>
      <c r="N81" s="14"/>
      <c r="O81" s="11"/>
      <c r="P81" s="11"/>
      <c r="Q81" s="16"/>
      <c r="R81" s="2"/>
      <c r="S81" s="12"/>
      <c r="T81" s="17"/>
      <c r="U81" s="2"/>
      <c r="V81" s="18"/>
      <c r="W81" s="16"/>
    </row>
    <row r="82" spans="2:23" ht="18" x14ac:dyDescent="0.35">
      <c r="B82" s="95"/>
      <c r="C82" s="96"/>
      <c r="D82" s="97"/>
      <c r="E82" s="113"/>
      <c r="F82" s="90">
        <v>0.5</v>
      </c>
      <c r="G82" s="91" t="s">
        <v>18</v>
      </c>
      <c r="H82" s="92">
        <v>10</v>
      </c>
      <c r="I82" s="105">
        <v>5</v>
      </c>
      <c r="J82" s="83"/>
      <c r="K82" s="83"/>
      <c r="L82" s="12"/>
      <c r="M82" s="28"/>
      <c r="N82" s="14"/>
      <c r="O82" s="11"/>
      <c r="P82" s="11"/>
      <c r="Q82" s="16"/>
      <c r="R82" s="2"/>
      <c r="S82" s="12"/>
      <c r="T82" s="17"/>
      <c r="U82" s="2"/>
      <c r="V82" s="18"/>
      <c r="W82" s="16"/>
    </row>
    <row r="83" spans="2:23" ht="18" x14ac:dyDescent="0.35">
      <c r="B83" s="95"/>
      <c r="C83" s="96"/>
      <c r="D83" s="97"/>
      <c r="E83" s="113"/>
      <c r="F83" s="90">
        <v>2.2000000000000002</v>
      </c>
      <c r="G83" s="91" t="s">
        <v>94</v>
      </c>
      <c r="H83" s="92">
        <v>10</v>
      </c>
      <c r="I83" s="105">
        <v>22</v>
      </c>
      <c r="J83" s="83"/>
      <c r="K83" s="83"/>
      <c r="L83" s="12"/>
      <c r="M83" s="28"/>
      <c r="N83" s="14"/>
      <c r="O83" s="11"/>
      <c r="P83" s="11"/>
      <c r="Q83" s="16"/>
      <c r="R83" s="2"/>
      <c r="S83" s="12"/>
      <c r="T83" s="17"/>
      <c r="U83" s="2"/>
      <c r="V83" s="18"/>
      <c r="W83" s="16"/>
    </row>
    <row r="84" spans="2:23" ht="18" x14ac:dyDescent="0.35">
      <c r="B84" s="95"/>
      <c r="C84" s="96"/>
      <c r="D84" s="97"/>
      <c r="E84" s="113"/>
      <c r="F84" s="90">
        <v>1.6</v>
      </c>
      <c r="G84" s="91" t="s">
        <v>84</v>
      </c>
      <c r="H84" s="92">
        <v>5</v>
      </c>
      <c r="I84" s="105">
        <v>8</v>
      </c>
      <c r="J84" s="83"/>
      <c r="K84" s="83"/>
      <c r="L84" s="12"/>
      <c r="M84" s="28"/>
      <c r="N84" s="14"/>
      <c r="O84" s="11"/>
      <c r="P84" s="11"/>
      <c r="Q84" s="16"/>
      <c r="R84" s="2"/>
      <c r="S84" s="12"/>
      <c r="T84" s="17"/>
      <c r="U84" s="2"/>
      <c r="V84" s="18"/>
      <c r="W84" s="16"/>
    </row>
    <row r="85" spans="2:23" ht="18" x14ac:dyDescent="0.35">
      <c r="B85" s="95"/>
      <c r="C85" s="96"/>
      <c r="D85" s="97"/>
      <c r="E85" s="113"/>
      <c r="F85" s="90">
        <v>0.2</v>
      </c>
      <c r="G85" s="91" t="s">
        <v>23</v>
      </c>
      <c r="H85" s="92">
        <v>50</v>
      </c>
      <c r="I85" s="105">
        <v>10</v>
      </c>
      <c r="J85" s="83"/>
      <c r="K85" s="83"/>
      <c r="L85" s="12"/>
      <c r="M85" s="28"/>
      <c r="N85" s="14"/>
      <c r="O85" s="11"/>
      <c r="P85" s="11"/>
      <c r="Q85" s="16"/>
      <c r="R85" s="2"/>
      <c r="S85" s="12"/>
      <c r="T85" s="17"/>
      <c r="U85" s="2"/>
      <c r="V85" s="18"/>
      <c r="W85" s="16"/>
    </row>
    <row r="86" spans="2:23" ht="18" x14ac:dyDescent="0.35">
      <c r="B86" s="95"/>
      <c r="C86" s="96"/>
      <c r="D86" s="97"/>
      <c r="E86" s="113"/>
      <c r="F86" s="90">
        <v>1.2</v>
      </c>
      <c r="G86" s="91" t="s">
        <v>90</v>
      </c>
      <c r="H86" s="92">
        <v>85</v>
      </c>
      <c r="I86" s="105">
        <v>102</v>
      </c>
      <c r="J86" s="83"/>
      <c r="K86" s="83"/>
      <c r="L86" s="12"/>
      <c r="M86" s="28"/>
      <c r="N86" s="14"/>
      <c r="O86" s="11"/>
      <c r="P86" s="11"/>
      <c r="Q86" s="16"/>
      <c r="R86" s="2"/>
      <c r="S86" s="12"/>
      <c r="T86" s="17"/>
      <c r="U86" s="2"/>
      <c r="V86" s="18"/>
      <c r="W86" s="16"/>
    </row>
    <row r="87" spans="2:23" ht="18" x14ac:dyDescent="0.35">
      <c r="B87" s="95"/>
      <c r="C87" s="96"/>
      <c r="D87" s="97"/>
      <c r="E87" s="113"/>
      <c r="F87" s="90">
        <v>0.2</v>
      </c>
      <c r="G87" s="91" t="s">
        <v>90</v>
      </c>
      <c r="H87" s="92">
        <v>85</v>
      </c>
      <c r="I87" s="105">
        <v>17</v>
      </c>
      <c r="J87" s="83"/>
      <c r="K87" s="83"/>
      <c r="L87" s="12"/>
      <c r="M87" s="28"/>
      <c r="N87" s="14"/>
      <c r="O87" s="11"/>
      <c r="P87" s="11"/>
      <c r="Q87" s="16"/>
      <c r="R87" s="2"/>
      <c r="S87" s="12"/>
      <c r="T87" s="17"/>
      <c r="U87" s="2"/>
      <c r="V87" s="18"/>
      <c r="W87" s="16"/>
    </row>
    <row r="88" spans="2:23" ht="18" x14ac:dyDescent="0.35">
      <c r="B88" s="95"/>
      <c r="C88" s="96"/>
      <c r="D88" s="97"/>
      <c r="E88" s="113"/>
      <c r="F88" s="90">
        <v>1</v>
      </c>
      <c r="G88" s="91" t="s">
        <v>94</v>
      </c>
      <c r="H88" s="92">
        <v>10</v>
      </c>
      <c r="I88" s="105">
        <v>10</v>
      </c>
      <c r="J88" s="83"/>
      <c r="K88" s="83"/>
      <c r="L88" s="12"/>
      <c r="M88" s="28"/>
      <c r="N88" s="14"/>
      <c r="O88" s="11"/>
      <c r="P88" s="11"/>
      <c r="Q88" s="16"/>
      <c r="R88" s="2"/>
      <c r="S88" s="12"/>
      <c r="T88" s="17"/>
      <c r="U88" s="2"/>
      <c r="V88" s="18"/>
      <c r="W88" s="16"/>
    </row>
    <row r="89" spans="2:23" ht="18" x14ac:dyDescent="0.35">
      <c r="B89" s="95"/>
      <c r="C89" s="96"/>
      <c r="D89" s="97"/>
      <c r="E89" s="113"/>
      <c r="F89" s="90">
        <v>0.6</v>
      </c>
      <c r="G89" s="91" t="s">
        <v>23</v>
      </c>
      <c r="H89" s="92">
        <v>50</v>
      </c>
      <c r="I89" s="105">
        <v>30</v>
      </c>
      <c r="J89" s="83"/>
      <c r="K89" s="83"/>
      <c r="L89" s="12"/>
      <c r="M89" s="28"/>
      <c r="N89" s="14"/>
      <c r="O89" s="11"/>
      <c r="P89" s="11"/>
      <c r="Q89" s="16"/>
      <c r="R89" s="2"/>
      <c r="S89" s="12"/>
      <c r="T89" s="17"/>
      <c r="U89" s="2"/>
      <c r="V89" s="18"/>
      <c r="W89" s="16"/>
    </row>
    <row r="90" spans="2:23" ht="18" x14ac:dyDescent="0.35">
      <c r="B90" s="95"/>
      <c r="C90" s="96"/>
      <c r="D90" s="97"/>
      <c r="E90" s="113"/>
      <c r="F90" s="90">
        <v>1.5</v>
      </c>
      <c r="G90" s="91" t="s">
        <v>96</v>
      </c>
      <c r="H90" s="92">
        <v>12</v>
      </c>
      <c r="I90" s="105">
        <v>18</v>
      </c>
      <c r="J90" s="83"/>
      <c r="K90" s="83"/>
      <c r="L90" s="12"/>
      <c r="M90" s="28"/>
      <c r="N90" s="14"/>
      <c r="O90" s="11"/>
      <c r="P90" s="11"/>
      <c r="Q90" s="16"/>
      <c r="R90" s="2"/>
      <c r="S90" s="12"/>
      <c r="T90" s="17"/>
      <c r="U90" s="2"/>
      <c r="V90" s="18"/>
      <c r="W90" s="16"/>
    </row>
    <row r="91" spans="2:23" ht="18" x14ac:dyDescent="0.35">
      <c r="B91" s="95"/>
      <c r="C91" s="96"/>
      <c r="D91" s="97"/>
      <c r="E91" s="113"/>
      <c r="F91" s="90">
        <v>0.2</v>
      </c>
      <c r="G91" s="91" t="s">
        <v>94</v>
      </c>
      <c r="H91" s="92">
        <v>10</v>
      </c>
      <c r="I91" s="105">
        <v>2</v>
      </c>
      <c r="J91" s="83"/>
      <c r="K91" s="83"/>
      <c r="L91" s="12"/>
      <c r="M91" s="28"/>
      <c r="N91" s="14"/>
      <c r="O91" s="11"/>
      <c r="P91" s="11"/>
      <c r="Q91" s="16"/>
      <c r="R91" s="2"/>
      <c r="S91" s="12"/>
      <c r="T91" s="17"/>
      <c r="U91" s="2"/>
      <c r="V91" s="18"/>
      <c r="W91" s="16"/>
    </row>
    <row r="92" spans="2:23" ht="18" x14ac:dyDescent="0.35">
      <c r="B92" s="95"/>
      <c r="C92" s="96"/>
      <c r="D92" s="97"/>
      <c r="E92" s="113"/>
      <c r="F92" s="90">
        <v>0.2</v>
      </c>
      <c r="G92" s="91" t="s">
        <v>92</v>
      </c>
      <c r="H92" s="92">
        <v>70</v>
      </c>
      <c r="I92" s="105">
        <v>14</v>
      </c>
      <c r="J92" s="83"/>
      <c r="K92" s="83"/>
      <c r="L92" s="12"/>
      <c r="M92" s="28"/>
      <c r="N92" s="14"/>
      <c r="O92" s="11"/>
      <c r="P92" s="11"/>
      <c r="Q92" s="16"/>
      <c r="R92" s="2"/>
      <c r="S92" s="12"/>
      <c r="T92" s="17"/>
      <c r="U92" s="2"/>
      <c r="V92" s="18"/>
      <c r="W92" s="16"/>
    </row>
    <row r="93" spans="2:23" ht="18" x14ac:dyDescent="0.35">
      <c r="B93" s="95"/>
      <c r="C93" s="96"/>
      <c r="D93" s="97"/>
      <c r="E93" s="113"/>
      <c r="F93" s="90">
        <v>1.5</v>
      </c>
      <c r="G93" s="91" t="s">
        <v>94</v>
      </c>
      <c r="H93" s="92">
        <v>10</v>
      </c>
      <c r="I93" s="105">
        <v>15</v>
      </c>
      <c r="J93" s="83"/>
      <c r="K93" s="83"/>
      <c r="L93" s="12"/>
      <c r="M93" s="28"/>
      <c r="N93" s="14"/>
      <c r="O93" s="11"/>
      <c r="P93" s="11"/>
      <c r="Q93" s="16"/>
      <c r="R93" s="2"/>
      <c r="S93" s="12"/>
      <c r="T93" s="17"/>
      <c r="U93" s="2"/>
      <c r="V93" s="18"/>
      <c r="W93" s="16"/>
    </row>
    <row r="94" spans="2:23" ht="18" x14ac:dyDescent="0.35">
      <c r="B94" s="95"/>
      <c r="C94" s="96"/>
      <c r="D94" s="97"/>
      <c r="E94" s="113"/>
      <c r="F94" s="90">
        <v>2.5</v>
      </c>
      <c r="G94" s="91" t="s">
        <v>18</v>
      </c>
      <c r="H94" s="92">
        <v>10</v>
      </c>
      <c r="I94" s="105">
        <v>25</v>
      </c>
      <c r="J94" s="83"/>
      <c r="K94" s="83"/>
      <c r="L94" s="12"/>
      <c r="M94" s="28"/>
      <c r="N94" s="14"/>
      <c r="O94" s="11"/>
      <c r="P94" s="11"/>
      <c r="Q94" s="16"/>
      <c r="R94" s="2"/>
      <c r="S94" s="12"/>
      <c r="T94" s="17"/>
      <c r="U94" s="2"/>
      <c r="V94" s="18"/>
      <c r="W94" s="16"/>
    </row>
    <row r="95" spans="2:23" ht="18" x14ac:dyDescent="0.35">
      <c r="B95" s="95"/>
      <c r="C95" s="96"/>
      <c r="D95" s="97"/>
      <c r="E95" s="113"/>
      <c r="F95" s="90"/>
      <c r="G95" s="91"/>
      <c r="H95" s="92"/>
      <c r="I95" s="105"/>
      <c r="J95" s="83"/>
      <c r="K95" s="83"/>
      <c r="L95" s="12"/>
      <c r="M95" s="28"/>
      <c r="N95" s="14"/>
      <c r="O95" s="11"/>
      <c r="P95" s="11"/>
      <c r="Q95" s="16"/>
      <c r="R95" s="2"/>
      <c r="S95" s="12"/>
      <c r="T95" s="17"/>
      <c r="U95" s="2"/>
      <c r="V95" s="18"/>
      <c r="W95" s="16"/>
    </row>
    <row r="96" spans="2:23" ht="18" x14ac:dyDescent="0.35">
      <c r="B96" s="95"/>
      <c r="C96" s="96"/>
      <c r="D96" s="97"/>
      <c r="E96" s="113"/>
      <c r="F96" s="90"/>
      <c r="G96" s="91"/>
      <c r="H96" s="92"/>
      <c r="I96" s="105"/>
      <c r="J96" s="83"/>
      <c r="K96" s="83"/>
      <c r="L96" s="12"/>
      <c r="M96" s="28"/>
      <c r="N96" s="14"/>
      <c r="O96" s="11"/>
      <c r="P96" s="11"/>
      <c r="Q96" s="16"/>
      <c r="R96" s="2"/>
      <c r="S96" s="12"/>
      <c r="T96" s="17"/>
      <c r="U96" s="2"/>
      <c r="V96" s="18"/>
      <c r="W96" s="16"/>
    </row>
    <row r="97" spans="2:23" ht="18" x14ac:dyDescent="0.35">
      <c r="B97" s="95"/>
      <c r="C97" s="96"/>
      <c r="D97" s="97"/>
      <c r="E97" s="113"/>
      <c r="F97" s="90"/>
      <c r="G97" s="91"/>
      <c r="H97" s="92"/>
      <c r="I97" s="105"/>
      <c r="J97" s="83"/>
      <c r="K97" s="83"/>
      <c r="L97" s="12"/>
      <c r="M97" s="28"/>
      <c r="N97" s="14"/>
      <c r="O97" s="11"/>
      <c r="P97" s="11"/>
      <c r="Q97" s="16"/>
      <c r="R97" s="2"/>
      <c r="S97" s="12"/>
      <c r="T97" s="17"/>
      <c r="U97" s="2"/>
      <c r="V97" s="18"/>
      <c r="W97" s="16"/>
    </row>
    <row r="98" spans="2:23" ht="18" x14ac:dyDescent="0.35">
      <c r="B98" s="95"/>
      <c r="C98" s="96"/>
      <c r="D98" s="97"/>
      <c r="E98" s="113"/>
      <c r="F98" s="90"/>
      <c r="G98" s="91"/>
      <c r="H98" s="92"/>
      <c r="I98" s="105"/>
      <c r="J98" s="83"/>
      <c r="K98" s="83"/>
      <c r="L98" s="12"/>
      <c r="M98" s="28"/>
      <c r="N98" s="14"/>
      <c r="O98" s="11"/>
      <c r="P98" s="11"/>
      <c r="Q98" s="16"/>
      <c r="R98" s="2"/>
      <c r="S98" s="12"/>
      <c r="T98" s="17"/>
      <c r="U98" s="2"/>
      <c r="V98" s="18"/>
      <c r="W98" s="16"/>
    </row>
    <row r="99" spans="2:23" ht="18" x14ac:dyDescent="0.35">
      <c r="B99" s="95"/>
      <c r="C99" s="96"/>
      <c r="D99" s="97"/>
      <c r="E99" s="113"/>
      <c r="F99" s="90"/>
      <c r="G99" s="91"/>
      <c r="H99" s="92"/>
      <c r="I99" s="105"/>
      <c r="J99" s="83"/>
      <c r="K99" s="83"/>
      <c r="L99" s="12"/>
      <c r="M99" s="28"/>
      <c r="N99" s="14"/>
      <c r="O99" s="11"/>
      <c r="P99" s="11"/>
      <c r="Q99" s="16"/>
      <c r="R99" s="2"/>
      <c r="S99" s="12"/>
      <c r="T99" s="17"/>
      <c r="U99" s="2"/>
      <c r="V99" s="18"/>
      <c r="W99" s="16"/>
    </row>
    <row r="100" spans="2:23" ht="18" x14ac:dyDescent="0.35">
      <c r="B100" s="95"/>
      <c r="C100" s="96"/>
      <c r="D100" s="97"/>
      <c r="E100" s="113"/>
      <c r="F100" s="90"/>
      <c r="G100" s="91"/>
      <c r="H100" s="92"/>
      <c r="I100" s="105"/>
      <c r="J100" s="83"/>
      <c r="K100" s="83"/>
      <c r="L100" s="12"/>
      <c r="M100" s="28"/>
      <c r="N100" s="14"/>
      <c r="O100" s="11"/>
      <c r="P100" s="11"/>
      <c r="Q100" s="16"/>
      <c r="R100" s="2"/>
      <c r="S100" s="12"/>
      <c r="T100" s="17"/>
      <c r="U100" s="2"/>
      <c r="V100" s="18"/>
      <c r="W100" s="16"/>
    </row>
    <row r="101" spans="2:23" ht="18" x14ac:dyDescent="0.35">
      <c r="B101" s="95"/>
      <c r="C101" s="96"/>
      <c r="D101" s="97"/>
      <c r="E101" s="113"/>
      <c r="F101" s="90"/>
      <c r="G101" s="91"/>
      <c r="H101" s="92"/>
      <c r="I101" s="105"/>
      <c r="J101" s="83"/>
      <c r="K101" s="83"/>
      <c r="L101" s="12"/>
      <c r="M101" s="28"/>
      <c r="N101" s="14"/>
      <c r="O101" s="11"/>
      <c r="P101" s="11"/>
      <c r="Q101" s="16"/>
      <c r="R101" s="2"/>
      <c r="S101" s="12"/>
      <c r="T101" s="17"/>
      <c r="U101" s="2"/>
      <c r="V101" s="18"/>
      <c r="W101" s="16"/>
    </row>
    <row r="102" spans="2:23" ht="18" x14ac:dyDescent="0.35">
      <c r="B102" s="95"/>
      <c r="C102" s="96"/>
      <c r="D102" s="97"/>
      <c r="E102" s="113"/>
      <c r="F102" s="90"/>
      <c r="G102" s="91"/>
      <c r="H102" s="92"/>
      <c r="I102" s="105"/>
      <c r="J102" s="83"/>
      <c r="K102" s="83"/>
      <c r="L102" s="12"/>
      <c r="M102" s="28"/>
      <c r="N102" s="14"/>
      <c r="O102" s="11"/>
      <c r="P102" s="11"/>
      <c r="Q102" s="16"/>
      <c r="R102" s="2"/>
      <c r="S102" s="12"/>
      <c r="T102" s="17"/>
      <c r="U102" s="2"/>
      <c r="V102" s="18"/>
      <c r="W102" s="16"/>
    </row>
    <row r="103" spans="2:23" ht="18" x14ac:dyDescent="0.35">
      <c r="B103" s="95"/>
      <c r="C103" s="96"/>
      <c r="D103" s="97"/>
      <c r="E103" s="113"/>
      <c r="F103" s="90"/>
      <c r="G103" s="91"/>
      <c r="H103" s="92"/>
      <c r="I103" s="105"/>
      <c r="J103" s="83"/>
      <c r="K103" s="83"/>
      <c r="L103" s="12"/>
      <c r="M103" s="28"/>
      <c r="N103" s="14"/>
      <c r="O103" s="11"/>
      <c r="P103" s="11"/>
      <c r="Q103" s="16"/>
      <c r="R103" s="2"/>
      <c r="S103" s="12"/>
      <c r="T103" s="17"/>
      <c r="U103" s="2"/>
      <c r="V103" s="18"/>
      <c r="W103" s="16"/>
    </row>
    <row r="104" spans="2:23" ht="18" x14ac:dyDescent="0.35">
      <c r="B104" s="95"/>
      <c r="C104" s="96"/>
      <c r="D104" s="97"/>
      <c r="E104" s="113"/>
      <c r="F104" s="90"/>
      <c r="G104" s="91"/>
      <c r="H104" s="92"/>
      <c r="I104" s="105"/>
      <c r="J104" s="83"/>
      <c r="K104" s="83"/>
      <c r="L104" s="12"/>
      <c r="M104" s="28"/>
      <c r="N104" s="14"/>
      <c r="O104" s="11"/>
      <c r="P104" s="11"/>
      <c r="Q104" s="16"/>
      <c r="R104" s="2"/>
      <c r="S104" s="12"/>
      <c r="T104" s="17"/>
      <c r="U104" s="2"/>
      <c r="V104" s="18"/>
      <c r="W104" s="16"/>
    </row>
    <row r="105" spans="2:23" ht="18" x14ac:dyDescent="0.35">
      <c r="B105" s="95"/>
      <c r="C105" s="96"/>
      <c r="D105" s="97"/>
      <c r="E105" s="113"/>
      <c r="F105" s="90"/>
      <c r="G105" s="91"/>
      <c r="H105" s="92"/>
      <c r="I105" s="105"/>
      <c r="J105" s="83"/>
      <c r="K105" s="83"/>
      <c r="L105" s="12"/>
      <c r="M105" s="28"/>
      <c r="N105" s="14"/>
      <c r="O105" s="11"/>
      <c r="P105" s="11"/>
      <c r="Q105" s="16"/>
      <c r="R105" s="2"/>
      <c r="S105" s="12"/>
      <c r="T105" s="17"/>
      <c r="U105" s="2"/>
      <c r="V105" s="18"/>
      <c r="W105" s="16"/>
    </row>
    <row r="106" spans="2:23" ht="18" x14ac:dyDescent="0.35">
      <c r="B106" s="95"/>
      <c r="C106" s="96"/>
      <c r="D106" s="97"/>
      <c r="E106" s="113"/>
      <c r="F106" s="90"/>
      <c r="G106" s="91"/>
      <c r="H106" s="92"/>
      <c r="I106" s="105"/>
      <c r="J106" s="83"/>
      <c r="K106" s="83"/>
      <c r="L106" s="12"/>
      <c r="M106" s="28"/>
      <c r="N106" s="14"/>
      <c r="O106" s="11"/>
      <c r="P106" s="11"/>
      <c r="Q106" s="16"/>
      <c r="R106" s="2"/>
      <c r="S106" s="12"/>
      <c r="T106" s="17"/>
      <c r="U106" s="2"/>
      <c r="V106" s="18"/>
      <c r="W106" s="16"/>
    </row>
    <row r="107" spans="2:23" ht="18" x14ac:dyDescent="0.35">
      <c r="B107" s="95"/>
      <c r="C107" s="96"/>
      <c r="D107" s="97"/>
      <c r="E107" s="113"/>
      <c r="F107" s="90"/>
      <c r="G107" s="91"/>
      <c r="H107" s="92"/>
      <c r="I107" s="105"/>
      <c r="J107" s="83"/>
      <c r="K107" s="83"/>
      <c r="L107" s="12"/>
      <c r="M107" s="28"/>
      <c r="N107" s="14"/>
      <c r="O107" s="11"/>
      <c r="P107" s="11"/>
      <c r="Q107" s="16"/>
      <c r="R107" s="2"/>
      <c r="S107" s="12"/>
      <c r="T107" s="17"/>
      <c r="U107" s="2"/>
      <c r="V107" s="18"/>
      <c r="W107" s="16"/>
    </row>
    <row r="108" spans="2:23" ht="18" x14ac:dyDescent="0.35">
      <c r="B108" s="95"/>
      <c r="C108" s="96"/>
      <c r="D108" s="97"/>
      <c r="E108" s="113"/>
      <c r="F108" s="90"/>
      <c r="G108" s="91"/>
      <c r="H108" s="92"/>
      <c r="I108" s="105"/>
      <c r="J108" s="83"/>
      <c r="K108" s="83"/>
      <c r="L108" s="12"/>
      <c r="M108" s="28"/>
      <c r="N108" s="14"/>
      <c r="O108" s="11"/>
      <c r="P108" s="11"/>
      <c r="Q108" s="16"/>
      <c r="R108" s="2"/>
      <c r="S108" s="12"/>
      <c r="T108" s="17"/>
      <c r="U108" s="2"/>
      <c r="V108" s="18"/>
      <c r="W108" s="16"/>
    </row>
    <row r="109" spans="2:23" ht="18" x14ac:dyDescent="0.35">
      <c r="B109" s="95"/>
      <c r="C109" s="96"/>
      <c r="D109" s="97"/>
      <c r="E109" s="113"/>
      <c r="F109" s="90"/>
      <c r="G109" s="91"/>
      <c r="H109" s="92"/>
      <c r="I109" s="105"/>
      <c r="J109" s="83"/>
      <c r="K109" s="83"/>
      <c r="L109" s="12"/>
      <c r="M109" s="28"/>
      <c r="N109" s="14"/>
      <c r="O109" s="11"/>
      <c r="P109" s="11"/>
      <c r="Q109" s="16"/>
      <c r="R109" s="2"/>
      <c r="S109" s="12"/>
      <c r="T109" s="17"/>
      <c r="U109" s="2"/>
      <c r="V109" s="18"/>
      <c r="W109" s="16"/>
    </row>
    <row r="110" spans="2:23" ht="18" x14ac:dyDescent="0.35">
      <c r="B110" s="95"/>
      <c r="C110" s="96"/>
      <c r="D110" s="97"/>
      <c r="E110" s="113"/>
      <c r="F110" s="90"/>
      <c r="G110" s="91"/>
      <c r="H110" s="92"/>
      <c r="I110" s="105"/>
      <c r="J110" s="83"/>
      <c r="K110" s="83"/>
      <c r="L110" s="12"/>
      <c r="M110" s="28"/>
      <c r="N110" s="14"/>
      <c r="O110" s="11"/>
      <c r="P110" s="11"/>
      <c r="Q110" s="16"/>
      <c r="R110" s="2"/>
      <c r="S110" s="12"/>
      <c r="T110" s="17"/>
      <c r="U110" s="2"/>
      <c r="V110" s="18"/>
      <c r="W110" s="16"/>
    </row>
    <row r="111" spans="2:23" ht="18" x14ac:dyDescent="0.35">
      <c r="B111" s="95"/>
      <c r="C111" s="96"/>
      <c r="D111" s="97"/>
      <c r="E111" s="113"/>
      <c r="F111" s="90"/>
      <c r="G111" s="91"/>
      <c r="H111" s="92"/>
      <c r="I111" s="105"/>
      <c r="J111" s="83"/>
      <c r="K111" s="83"/>
      <c r="L111" s="12"/>
      <c r="M111" s="28"/>
      <c r="N111" s="14"/>
      <c r="O111" s="11"/>
      <c r="P111" s="11"/>
      <c r="Q111" s="16"/>
      <c r="R111" s="2"/>
      <c r="S111" s="12"/>
      <c r="T111" s="17"/>
      <c r="U111" s="2"/>
      <c r="V111" s="18"/>
      <c r="W111" s="16"/>
    </row>
    <row r="112" spans="2:23" ht="18" x14ac:dyDescent="0.35">
      <c r="B112" s="95"/>
      <c r="C112" s="96"/>
      <c r="D112" s="97"/>
      <c r="E112" s="113"/>
      <c r="F112" s="90"/>
      <c r="G112" s="91"/>
      <c r="H112" s="92"/>
      <c r="I112" s="105"/>
      <c r="J112" s="83"/>
      <c r="K112" s="83"/>
      <c r="L112" s="12"/>
      <c r="M112" s="28"/>
      <c r="N112" s="14"/>
      <c r="O112" s="11"/>
      <c r="P112" s="11"/>
      <c r="Q112" s="16"/>
      <c r="R112" s="2"/>
      <c r="S112" s="12"/>
      <c r="T112" s="17"/>
      <c r="U112" s="2"/>
      <c r="V112" s="18"/>
      <c r="W112" s="16"/>
    </row>
    <row r="113" spans="2:23" ht="18" x14ac:dyDescent="0.35">
      <c r="B113" s="95"/>
      <c r="C113" s="96"/>
      <c r="D113" s="97"/>
      <c r="E113" s="113"/>
      <c r="F113" s="90"/>
      <c r="G113" s="91"/>
      <c r="H113" s="92"/>
      <c r="I113" s="105"/>
      <c r="J113" s="83"/>
      <c r="K113" s="83"/>
      <c r="L113" s="12"/>
      <c r="M113" s="28"/>
      <c r="N113" s="14"/>
      <c r="O113" s="11"/>
      <c r="P113" s="11"/>
      <c r="Q113" s="16"/>
      <c r="R113" s="2"/>
      <c r="S113" s="12"/>
      <c r="T113" s="17"/>
      <c r="U113" s="2"/>
      <c r="V113" s="18"/>
      <c r="W113" s="16"/>
    </row>
    <row r="114" spans="2:23" ht="18" x14ac:dyDescent="0.35">
      <c r="B114" s="95"/>
      <c r="C114" s="96"/>
      <c r="D114" s="97"/>
      <c r="E114" s="113"/>
      <c r="F114" s="90"/>
      <c r="G114" s="91"/>
      <c r="H114" s="92"/>
      <c r="I114" s="105"/>
      <c r="J114" s="83"/>
      <c r="K114" s="83"/>
      <c r="L114" s="12"/>
      <c r="M114" s="28"/>
      <c r="N114" s="14"/>
      <c r="O114" s="11"/>
      <c r="P114" s="11"/>
      <c r="Q114" s="16"/>
      <c r="R114" s="2"/>
      <c r="S114" s="12"/>
      <c r="T114" s="17"/>
      <c r="U114" s="2"/>
      <c r="V114" s="18"/>
      <c r="W114" s="16"/>
    </row>
    <row r="115" spans="2:23" ht="18" x14ac:dyDescent="0.35">
      <c r="B115" s="95"/>
      <c r="C115" s="96"/>
      <c r="D115" s="97"/>
      <c r="E115" s="113"/>
      <c r="F115" s="90"/>
      <c r="G115" s="91"/>
      <c r="H115" s="92"/>
      <c r="I115" s="105"/>
      <c r="J115" s="83"/>
      <c r="K115" s="83"/>
      <c r="L115" s="12"/>
      <c r="M115" s="28"/>
      <c r="N115" s="14"/>
      <c r="O115" s="11"/>
      <c r="P115" s="11"/>
      <c r="Q115" s="16"/>
      <c r="R115" s="2"/>
      <c r="S115" s="12"/>
      <c r="T115" s="17"/>
      <c r="U115" s="2"/>
      <c r="V115" s="18"/>
      <c r="W115" s="16"/>
    </row>
    <row r="116" spans="2:23" ht="18" x14ac:dyDescent="0.35">
      <c r="B116" s="95"/>
      <c r="C116" s="96"/>
      <c r="D116" s="97"/>
      <c r="E116" s="113"/>
      <c r="F116" s="90"/>
      <c r="G116" s="91"/>
      <c r="H116" s="92"/>
      <c r="I116" s="105"/>
      <c r="J116" s="83"/>
      <c r="K116" s="83"/>
      <c r="L116" s="12"/>
      <c r="M116" s="28"/>
      <c r="N116" s="14"/>
      <c r="O116" s="11"/>
      <c r="P116" s="11"/>
      <c r="Q116" s="16"/>
      <c r="R116" s="2"/>
      <c r="S116" s="12"/>
      <c r="T116" s="17"/>
      <c r="U116" s="2"/>
      <c r="V116" s="18"/>
      <c r="W116" s="16"/>
    </row>
    <row r="117" spans="2:23" ht="18" x14ac:dyDescent="0.35">
      <c r="B117" s="95"/>
      <c r="C117" s="96"/>
      <c r="D117" s="97"/>
      <c r="E117" s="113"/>
      <c r="F117" s="90"/>
      <c r="G117" s="91"/>
      <c r="H117" s="92"/>
      <c r="I117" s="105"/>
      <c r="J117" s="83"/>
      <c r="K117" s="83"/>
      <c r="L117" s="12"/>
      <c r="M117" s="28"/>
      <c r="N117" s="14"/>
      <c r="O117" s="11"/>
      <c r="P117" s="11"/>
      <c r="Q117" s="16"/>
      <c r="R117" s="2"/>
      <c r="S117" s="12"/>
      <c r="T117" s="17"/>
      <c r="U117" s="2"/>
      <c r="V117" s="18"/>
      <c r="W117" s="16"/>
    </row>
    <row r="118" spans="2:23" ht="18" x14ac:dyDescent="0.35">
      <c r="B118" s="95"/>
      <c r="C118" s="96"/>
      <c r="D118" s="97"/>
      <c r="E118" s="113"/>
      <c r="F118" s="90"/>
      <c r="G118" s="91"/>
      <c r="H118" s="92"/>
      <c r="I118" s="105"/>
      <c r="J118" s="83"/>
      <c r="K118" s="83"/>
      <c r="L118" s="12"/>
      <c r="M118" s="28"/>
      <c r="N118" s="14"/>
      <c r="O118" s="11"/>
      <c r="P118" s="11"/>
      <c r="Q118" s="16"/>
      <c r="R118" s="2"/>
      <c r="S118" s="12"/>
      <c r="T118" s="17"/>
      <c r="U118" s="2"/>
      <c r="V118" s="18"/>
      <c r="W118" s="16"/>
    </row>
    <row r="119" spans="2:23" ht="18" x14ac:dyDescent="0.35">
      <c r="B119" s="95"/>
      <c r="C119" s="96"/>
      <c r="D119" s="97"/>
      <c r="E119" s="113"/>
      <c r="F119" s="90"/>
      <c r="G119" s="91"/>
      <c r="H119" s="92"/>
      <c r="I119" s="105"/>
      <c r="J119" s="83"/>
      <c r="K119" s="83"/>
      <c r="L119" s="12"/>
      <c r="M119" s="28"/>
      <c r="N119" s="14"/>
      <c r="O119" s="11"/>
      <c r="P119" s="11"/>
      <c r="Q119" s="16"/>
      <c r="R119" s="2"/>
      <c r="S119" s="12"/>
      <c r="T119" s="17"/>
      <c r="U119" s="2"/>
      <c r="V119" s="18"/>
      <c r="W119" s="16"/>
    </row>
    <row r="120" spans="2:23" ht="18" x14ac:dyDescent="0.35">
      <c r="B120" s="95"/>
      <c r="C120" s="96"/>
      <c r="D120" s="97"/>
      <c r="E120" s="113"/>
      <c r="F120" s="90"/>
      <c r="G120" s="91"/>
      <c r="H120" s="92"/>
      <c r="I120" s="105"/>
      <c r="J120" s="83"/>
      <c r="K120" s="83"/>
      <c r="L120" s="12"/>
      <c r="M120" s="28"/>
      <c r="N120" s="14"/>
      <c r="O120" s="11"/>
      <c r="P120" s="11"/>
      <c r="Q120" s="16"/>
      <c r="R120" s="2"/>
      <c r="S120" s="12"/>
      <c r="T120" s="17"/>
      <c r="U120" s="2"/>
      <c r="V120" s="18"/>
      <c r="W120" s="16"/>
    </row>
    <row r="121" spans="2:23" ht="18" x14ac:dyDescent="0.35">
      <c r="B121" s="95"/>
      <c r="C121" s="96"/>
      <c r="D121" s="97"/>
      <c r="E121" s="113"/>
      <c r="F121" s="90"/>
      <c r="G121" s="91"/>
      <c r="H121" s="92"/>
      <c r="I121" s="105"/>
      <c r="J121" s="83"/>
      <c r="K121" s="83"/>
      <c r="L121" s="12"/>
      <c r="M121" s="28"/>
      <c r="N121" s="14"/>
      <c r="O121" s="11"/>
      <c r="P121" s="11"/>
      <c r="Q121" s="16"/>
      <c r="R121" s="2"/>
      <c r="S121" s="12"/>
      <c r="T121" s="17"/>
      <c r="U121" s="2"/>
      <c r="V121" s="18"/>
      <c r="W121" s="16"/>
    </row>
    <row r="122" spans="2:23" ht="18" x14ac:dyDescent="0.35">
      <c r="B122" s="95"/>
      <c r="C122" s="96"/>
      <c r="D122" s="97"/>
      <c r="E122" s="113"/>
      <c r="F122" s="99"/>
      <c r="G122" s="100"/>
      <c r="H122" s="101"/>
      <c r="I122" s="105"/>
      <c r="J122" s="83"/>
      <c r="K122" s="83"/>
      <c r="L122" s="12"/>
      <c r="M122" s="28"/>
      <c r="N122" s="14"/>
      <c r="O122" s="11"/>
      <c r="P122" s="11"/>
      <c r="Q122" s="16"/>
      <c r="R122" s="2"/>
      <c r="S122" s="12"/>
      <c r="T122" s="17"/>
      <c r="U122" s="2"/>
      <c r="V122" s="18"/>
      <c r="W122" s="16"/>
    </row>
    <row r="123" spans="2:23" ht="18" x14ac:dyDescent="0.35">
      <c r="B123" s="95"/>
      <c r="C123" s="96"/>
      <c r="D123" s="97"/>
      <c r="E123" s="113"/>
      <c r="F123" s="99"/>
      <c r="G123" s="100"/>
      <c r="H123" s="101"/>
      <c r="I123" s="105"/>
      <c r="J123" s="83"/>
      <c r="K123" s="83"/>
      <c r="L123" s="12"/>
      <c r="M123" s="28"/>
      <c r="N123" s="14"/>
      <c r="O123" s="11"/>
      <c r="P123" s="11"/>
      <c r="Q123" s="16"/>
      <c r="R123" s="2"/>
      <c r="S123" s="12"/>
      <c r="T123" s="17"/>
      <c r="U123" s="2"/>
      <c r="V123" s="18"/>
      <c r="W123" s="16"/>
    </row>
    <row r="124" spans="2:23" ht="18" x14ac:dyDescent="0.35">
      <c r="B124" s="95"/>
      <c r="C124" s="96"/>
      <c r="D124" s="97"/>
      <c r="E124" s="113"/>
      <c r="F124" s="99"/>
      <c r="G124" s="100"/>
      <c r="H124" s="101"/>
      <c r="I124" s="105"/>
      <c r="J124" s="83"/>
      <c r="K124" s="83"/>
      <c r="L124" s="12"/>
      <c r="M124" s="28"/>
      <c r="N124" s="14"/>
      <c r="O124" s="11"/>
      <c r="P124" s="11"/>
      <c r="Q124" s="16"/>
      <c r="R124" s="2"/>
      <c r="S124" s="12"/>
      <c r="T124" s="17"/>
      <c r="U124" s="2"/>
      <c r="V124" s="18"/>
      <c r="W124" s="16"/>
    </row>
    <row r="125" spans="2:23" ht="18" x14ac:dyDescent="0.35">
      <c r="B125" s="95"/>
      <c r="C125" s="96"/>
      <c r="D125" s="97"/>
      <c r="E125" s="113"/>
      <c r="F125" s="99"/>
      <c r="G125" s="100"/>
      <c r="H125" s="101"/>
      <c r="I125" s="105"/>
      <c r="J125" s="83"/>
      <c r="K125" s="83"/>
      <c r="L125" s="12"/>
      <c r="M125" s="28"/>
      <c r="N125" s="14"/>
      <c r="O125" s="11"/>
      <c r="P125" s="11"/>
      <c r="Q125" s="16"/>
      <c r="R125" s="2"/>
      <c r="S125" s="12"/>
      <c r="T125" s="17"/>
      <c r="U125" s="2"/>
      <c r="V125" s="18"/>
      <c r="W125" s="16"/>
    </row>
    <row r="126" spans="2:23" ht="18" x14ac:dyDescent="0.35">
      <c r="B126" s="95"/>
      <c r="C126" s="96"/>
      <c r="D126" s="97"/>
      <c r="E126" s="113"/>
      <c r="F126" s="99"/>
      <c r="G126" s="100"/>
      <c r="H126" s="101"/>
      <c r="I126" s="105"/>
      <c r="J126" s="83"/>
      <c r="K126" s="83"/>
      <c r="L126" s="12"/>
      <c r="M126" s="28"/>
      <c r="N126" s="14"/>
      <c r="O126" s="11"/>
      <c r="P126" s="11"/>
      <c r="Q126" s="16"/>
      <c r="R126" s="2"/>
      <c r="S126" s="12"/>
      <c r="T126" s="17"/>
      <c r="U126" s="2"/>
      <c r="V126" s="18"/>
      <c r="W126" s="16"/>
    </row>
    <row r="127" spans="2:23" ht="18" x14ac:dyDescent="0.35">
      <c r="B127" s="95"/>
      <c r="C127" s="96"/>
      <c r="D127" s="97"/>
      <c r="E127" s="113"/>
      <c r="F127" s="99"/>
      <c r="G127" s="100"/>
      <c r="H127" s="101"/>
      <c r="I127" s="105"/>
      <c r="J127" s="83"/>
      <c r="K127" s="83"/>
      <c r="L127" s="12"/>
      <c r="M127" s="28"/>
      <c r="N127" s="14"/>
      <c r="O127" s="11"/>
      <c r="P127" s="11"/>
      <c r="Q127" s="16"/>
      <c r="R127" s="2"/>
      <c r="S127" s="12"/>
      <c r="T127" s="17"/>
      <c r="U127" s="2"/>
      <c r="V127" s="18"/>
      <c r="W127" s="16"/>
    </row>
    <row r="128" spans="2:23" ht="18" x14ac:dyDescent="0.35">
      <c r="B128" s="95"/>
      <c r="C128" s="96"/>
      <c r="D128" s="97"/>
      <c r="E128" s="113"/>
      <c r="F128" s="99"/>
      <c r="G128" s="100"/>
      <c r="H128" s="101"/>
      <c r="I128" s="105"/>
      <c r="J128" s="83"/>
      <c r="K128" s="83"/>
      <c r="L128" s="12"/>
      <c r="M128" s="28"/>
      <c r="N128" s="14"/>
      <c r="O128" s="11"/>
      <c r="P128" s="11"/>
      <c r="Q128" s="16"/>
      <c r="R128" s="2"/>
      <c r="S128" s="12"/>
      <c r="T128" s="17"/>
      <c r="U128" s="2"/>
      <c r="V128" s="18"/>
      <c r="W128" s="16"/>
    </row>
    <row r="129" spans="1:23" ht="18.600000000000001" thickBot="1" x14ac:dyDescent="0.4">
      <c r="B129" s="114"/>
      <c r="C129" s="115"/>
      <c r="D129" s="116"/>
      <c r="E129" s="113"/>
      <c r="F129" s="117"/>
      <c r="G129" s="118"/>
      <c r="H129" s="119"/>
      <c r="I129" s="105"/>
      <c r="J129" s="83"/>
      <c r="K129" s="83"/>
      <c r="L129" s="30"/>
      <c r="M129" s="31"/>
      <c r="N129" s="32"/>
      <c r="O129" s="29"/>
      <c r="P129" s="29"/>
      <c r="Q129" s="33"/>
      <c r="R129" s="2"/>
      <c r="S129" s="30"/>
      <c r="T129" s="34"/>
      <c r="U129" s="2"/>
      <c r="V129" s="35"/>
      <c r="W129" s="33"/>
    </row>
    <row r="130" spans="1:23" ht="18.600000000000001" thickBot="1" x14ac:dyDescent="0.4">
      <c r="A130" s="120" t="s">
        <v>15</v>
      </c>
      <c r="B130" s="121">
        <f>SUM(B9:B129)</f>
        <v>813.8</v>
      </c>
      <c r="C130" s="122"/>
      <c r="D130" s="121"/>
      <c r="E130" s="123">
        <f>SUM(E9:E129)</f>
        <v>1655.85</v>
      </c>
      <c r="F130" s="124">
        <f>SUM(F9:F129)</f>
        <v>280.49999999999989</v>
      </c>
      <c r="G130" s="82"/>
      <c r="H130" s="125"/>
      <c r="I130" s="125">
        <f>SUM(I9:I129)</f>
        <v>12225.5</v>
      </c>
      <c r="J130" s="83"/>
      <c r="K130" s="83"/>
      <c r="L130" s="126"/>
      <c r="M130" s="126">
        <f>SUM(M9:M129)</f>
        <v>500.5</v>
      </c>
      <c r="N130" s="127">
        <f>SUM(N9:N129)</f>
        <v>27923.95</v>
      </c>
      <c r="O130" s="82"/>
      <c r="P130" s="82">
        <f>SUM(P9:P129)</f>
        <v>0</v>
      </c>
      <c r="Q130" s="128">
        <f>SUM(Q9:Q129)</f>
        <v>0</v>
      </c>
      <c r="R130" s="83"/>
      <c r="S130" s="84"/>
      <c r="T130" s="129">
        <f>SUM(T9:T129)</f>
        <v>0</v>
      </c>
      <c r="U130" s="83"/>
      <c r="V130" s="82"/>
      <c r="W130" s="130">
        <f>SUM(W9:W129)</f>
        <v>0</v>
      </c>
    </row>
  </sheetData>
  <sheetProtection algorithmName="SHA-512" hashValue="vbJXN7P4PQqmfgs3ScYf1cv2KeRLRhYLvlEhDLLptRW9vgKlH2CKQcAp2oNT1MFkKyjwviU0vy5PkZHVsbioCg==" saltValue="ZagCEzZ5mwcsK4H8WfgoEQ==" spinCount="100000" sheet="1" objects="1" scenarios="1"/>
  <mergeCells count="8">
    <mergeCell ref="V5:W5"/>
    <mergeCell ref="Y5:Z5"/>
    <mergeCell ref="E1:G1"/>
    <mergeCell ref="B2:C2"/>
    <mergeCell ref="B3:C3"/>
    <mergeCell ref="B5:I5"/>
    <mergeCell ref="L5:Q5"/>
    <mergeCell ref="S5:T5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D25A52-4B54-4A25-BFC7-066671890B5D}">
  <sheetPr codeName="Sheet49"/>
  <dimension ref="A1:Z130"/>
  <sheetViews>
    <sheetView topLeftCell="O1" zoomScale="80" zoomScaleNormal="80" workbookViewId="0">
      <selection activeCell="V12" sqref="V12"/>
    </sheetView>
  </sheetViews>
  <sheetFormatPr defaultColWidth="9.109375" defaultRowHeight="14.4" x14ac:dyDescent="0.3"/>
  <cols>
    <col min="1" max="1" width="15.5546875" style="36" customWidth="1"/>
    <col min="2" max="2" width="15.88671875" style="36" customWidth="1"/>
    <col min="3" max="3" width="20" style="76" customWidth="1"/>
    <col min="4" max="4" width="20.33203125" style="36" customWidth="1"/>
    <col min="5" max="5" width="22.33203125" style="36" customWidth="1"/>
    <col min="6" max="6" width="14.6640625" style="36" customWidth="1"/>
    <col min="7" max="7" width="22" style="76" customWidth="1"/>
    <col min="8" max="8" width="18.88671875" style="36" customWidth="1"/>
    <col min="9" max="9" width="23" style="36" customWidth="1"/>
    <col min="10" max="11" width="9.109375" style="36"/>
    <col min="12" max="12" width="20.6640625" style="76" customWidth="1"/>
    <col min="13" max="13" width="15.44140625" style="76" customWidth="1"/>
    <col min="14" max="14" width="22.6640625" style="36" customWidth="1"/>
    <col min="15" max="15" width="20.5546875" style="76" customWidth="1"/>
    <col min="16" max="16" width="13.33203125" style="76" customWidth="1"/>
    <col min="17" max="17" width="21.5546875" style="76" customWidth="1"/>
    <col min="18" max="18" width="9.109375" style="36"/>
    <col min="19" max="19" width="22" style="76" customWidth="1"/>
    <col min="20" max="20" width="22.33203125" style="76" customWidth="1"/>
    <col min="21" max="21" width="9.109375" style="36"/>
    <col min="22" max="22" width="21.88671875" style="76" customWidth="1"/>
    <col min="23" max="23" width="23.109375" style="76" customWidth="1"/>
    <col min="24" max="24" width="9.109375" style="36"/>
    <col min="25" max="25" width="21.33203125" style="36" customWidth="1"/>
    <col min="26" max="26" width="21.88671875" style="36" customWidth="1"/>
    <col min="27" max="16384" width="9.109375" style="36"/>
  </cols>
  <sheetData>
    <row r="1" spans="2:26" ht="21" x14ac:dyDescent="0.4">
      <c r="E1" s="189">
        <v>44176</v>
      </c>
      <c r="F1" s="189"/>
      <c r="G1" s="189"/>
    </row>
    <row r="2" spans="2:26" ht="18" x14ac:dyDescent="0.35">
      <c r="B2" s="190" t="s">
        <v>0</v>
      </c>
      <c r="C2" s="190"/>
      <c r="D2" s="1">
        <v>18264</v>
      </c>
    </row>
    <row r="3" spans="2:26" ht="18" x14ac:dyDescent="0.35">
      <c r="B3" s="190" t="s">
        <v>1</v>
      </c>
      <c r="C3" s="190"/>
      <c r="D3" s="77">
        <f>(D2-E130-I130)</f>
        <v>6578.3599999999988</v>
      </c>
    </row>
    <row r="5" spans="2:26" ht="36.6" x14ac:dyDescent="0.7">
      <c r="B5" s="187" t="s">
        <v>2</v>
      </c>
      <c r="C5" s="187"/>
      <c r="D5" s="187"/>
      <c r="E5" s="187"/>
      <c r="F5" s="187"/>
      <c r="G5" s="187"/>
      <c r="H5" s="187"/>
      <c r="I5" s="187"/>
      <c r="L5" s="187" t="s">
        <v>3</v>
      </c>
      <c r="M5" s="187"/>
      <c r="N5" s="187"/>
      <c r="O5" s="187"/>
      <c r="P5" s="187"/>
      <c r="Q5" s="187"/>
      <c r="S5" s="191" t="s">
        <v>4</v>
      </c>
      <c r="T5" s="191"/>
      <c r="V5" s="187" t="s">
        <v>5</v>
      </c>
      <c r="W5" s="187"/>
      <c r="Y5" s="188" t="s">
        <v>105</v>
      </c>
      <c r="Z5" s="187"/>
    </row>
    <row r="7" spans="2:26" ht="15" thickBot="1" x14ac:dyDescent="0.35"/>
    <row r="8" spans="2:26" ht="18.600000000000001" thickBot="1" x14ac:dyDescent="0.4">
      <c r="B8" s="78" t="s">
        <v>6</v>
      </c>
      <c r="C8" s="79" t="s">
        <v>7</v>
      </c>
      <c r="D8" s="78" t="s">
        <v>8</v>
      </c>
      <c r="E8" s="80" t="s">
        <v>9</v>
      </c>
      <c r="F8" s="81" t="s">
        <v>6</v>
      </c>
      <c r="G8" s="81" t="s">
        <v>10</v>
      </c>
      <c r="H8" s="81" t="s">
        <v>8</v>
      </c>
      <c r="I8" s="82" t="s">
        <v>9</v>
      </c>
      <c r="J8" s="83"/>
      <c r="K8" s="83"/>
      <c r="L8" s="84" t="s">
        <v>11</v>
      </c>
      <c r="M8" s="84" t="s">
        <v>6</v>
      </c>
      <c r="N8" s="84" t="s">
        <v>9</v>
      </c>
      <c r="O8" s="82" t="s">
        <v>12</v>
      </c>
      <c r="P8" s="82" t="s">
        <v>6</v>
      </c>
      <c r="Q8" s="82" t="s">
        <v>9</v>
      </c>
      <c r="R8" s="83"/>
      <c r="S8" s="84" t="s">
        <v>13</v>
      </c>
      <c r="T8" s="85" t="s">
        <v>9</v>
      </c>
      <c r="U8" s="83"/>
      <c r="V8" s="82" t="s">
        <v>14</v>
      </c>
      <c r="W8" s="82" t="s">
        <v>9</v>
      </c>
      <c r="Y8" s="146" t="s">
        <v>106</v>
      </c>
      <c r="Z8" s="147" t="s">
        <v>107</v>
      </c>
    </row>
    <row r="9" spans="2:26" ht="18" x14ac:dyDescent="0.35">
      <c r="B9" s="86">
        <v>83.5</v>
      </c>
      <c r="C9" s="87" t="s">
        <v>76</v>
      </c>
      <c r="D9" s="88">
        <v>2.2999999999999998</v>
      </c>
      <c r="E9" s="89">
        <v>192.04999999999998</v>
      </c>
      <c r="F9" s="90">
        <v>0.8</v>
      </c>
      <c r="G9" s="91" t="s">
        <v>23</v>
      </c>
      <c r="H9" s="92">
        <v>50</v>
      </c>
      <c r="I9" s="93">
        <v>40</v>
      </c>
      <c r="J9" s="83"/>
      <c r="K9" s="83"/>
      <c r="L9" s="3" t="s">
        <v>130</v>
      </c>
      <c r="M9" s="4">
        <v>242</v>
      </c>
      <c r="N9" s="5">
        <v>3712</v>
      </c>
      <c r="O9" s="6"/>
      <c r="P9" s="7"/>
      <c r="Q9" s="8"/>
      <c r="R9" s="2"/>
      <c r="S9" s="3" t="s">
        <v>129</v>
      </c>
      <c r="T9" s="9">
        <v>400</v>
      </c>
      <c r="U9" s="2"/>
      <c r="V9" s="10" t="s">
        <v>121</v>
      </c>
      <c r="W9" s="8">
        <v>1600</v>
      </c>
      <c r="Y9" s="148" t="s">
        <v>88</v>
      </c>
      <c r="Z9" s="151">
        <f>SUMIF($C$9:$C$129, Y9, $B$9:$B$129)</f>
        <v>234.5</v>
      </c>
    </row>
    <row r="10" spans="2:26" ht="18" x14ac:dyDescent="0.35">
      <c r="B10" s="95">
        <v>8</v>
      </c>
      <c r="C10" s="96" t="s">
        <v>77</v>
      </c>
      <c r="D10" s="97">
        <v>2.1</v>
      </c>
      <c r="E10" s="98">
        <v>16.8</v>
      </c>
      <c r="F10" s="90">
        <v>0.5</v>
      </c>
      <c r="G10" s="91" t="s">
        <v>92</v>
      </c>
      <c r="H10" s="92">
        <v>70</v>
      </c>
      <c r="I10" s="93">
        <v>35</v>
      </c>
      <c r="J10" s="83"/>
      <c r="K10" s="83"/>
      <c r="L10" s="12" t="s">
        <v>19</v>
      </c>
      <c r="M10" s="13">
        <v>880</v>
      </c>
      <c r="N10" s="14">
        <v>4400</v>
      </c>
      <c r="O10" s="11"/>
      <c r="P10" s="15"/>
      <c r="Q10" s="16"/>
      <c r="R10" s="2"/>
      <c r="S10" s="12"/>
      <c r="T10" s="17"/>
      <c r="U10" s="2"/>
      <c r="V10" s="18" t="s">
        <v>122</v>
      </c>
      <c r="W10" s="8">
        <v>1400</v>
      </c>
      <c r="Y10" s="149" t="s">
        <v>76</v>
      </c>
      <c r="Z10" s="151">
        <f t="shared" ref="Z10:Z11" si="0">SUMIF($C$9:$C$129, Y10, $B$9:$B$129)</f>
        <v>697.1</v>
      </c>
    </row>
    <row r="11" spans="2:26" ht="18" x14ac:dyDescent="0.35">
      <c r="B11" s="95">
        <v>5</v>
      </c>
      <c r="C11" s="96" t="s">
        <v>77</v>
      </c>
      <c r="D11" s="97">
        <v>2.1</v>
      </c>
      <c r="E11" s="98">
        <v>10.5</v>
      </c>
      <c r="F11" s="90">
        <v>1</v>
      </c>
      <c r="G11" s="91" t="s">
        <v>23</v>
      </c>
      <c r="H11" s="92">
        <v>50</v>
      </c>
      <c r="I11" s="93">
        <v>50</v>
      </c>
      <c r="J11" s="83"/>
      <c r="K11" s="83"/>
      <c r="L11" s="12"/>
      <c r="M11" s="13"/>
      <c r="N11" s="14"/>
      <c r="O11" s="11"/>
      <c r="P11" s="15"/>
      <c r="Q11" s="16"/>
      <c r="R11" s="2"/>
      <c r="S11" s="12"/>
      <c r="T11" s="17"/>
      <c r="U11" s="2"/>
      <c r="V11" s="18" t="s">
        <v>131</v>
      </c>
      <c r="W11" s="8">
        <v>450</v>
      </c>
      <c r="Y11" s="149" t="s">
        <v>77</v>
      </c>
      <c r="Z11" s="151">
        <f t="shared" si="0"/>
        <v>267.60000000000002</v>
      </c>
    </row>
    <row r="12" spans="2:26" ht="18" x14ac:dyDescent="0.35">
      <c r="B12" s="95">
        <v>17.5</v>
      </c>
      <c r="C12" s="96" t="s">
        <v>88</v>
      </c>
      <c r="D12" s="97">
        <v>0.9</v>
      </c>
      <c r="E12" s="98">
        <v>15.75</v>
      </c>
      <c r="F12" s="90">
        <v>0.5</v>
      </c>
      <c r="G12" s="91" t="s">
        <v>96</v>
      </c>
      <c r="H12" s="92">
        <v>12</v>
      </c>
      <c r="I12" s="93">
        <v>6</v>
      </c>
      <c r="J12" s="83"/>
      <c r="K12" s="83"/>
      <c r="L12" s="12"/>
      <c r="M12" s="13"/>
      <c r="N12" s="14"/>
      <c r="O12" s="11"/>
      <c r="P12" s="15"/>
      <c r="Q12" s="16"/>
      <c r="R12" s="2"/>
      <c r="S12" s="12"/>
      <c r="T12" s="17"/>
      <c r="U12" s="2"/>
      <c r="V12" s="18" t="s">
        <v>132</v>
      </c>
      <c r="W12" s="8">
        <v>900</v>
      </c>
      <c r="Y12" s="149" t="s">
        <v>89</v>
      </c>
      <c r="Z12" s="152">
        <f>SUMIF($G$9:$G$129, Y12, $F$9:$F$129)</f>
        <v>334</v>
      </c>
    </row>
    <row r="13" spans="2:26" ht="18" x14ac:dyDescent="0.35">
      <c r="B13" s="95">
        <v>52</v>
      </c>
      <c r="C13" s="96" t="s">
        <v>77</v>
      </c>
      <c r="D13" s="97">
        <v>2.1</v>
      </c>
      <c r="E13" s="98">
        <v>109.2</v>
      </c>
      <c r="F13" s="90">
        <v>1.5</v>
      </c>
      <c r="G13" s="91" t="s">
        <v>94</v>
      </c>
      <c r="H13" s="92">
        <v>10</v>
      </c>
      <c r="I13" s="93">
        <v>15</v>
      </c>
      <c r="J13" s="83"/>
      <c r="K13" s="83"/>
      <c r="L13" s="12"/>
      <c r="M13" s="13"/>
      <c r="N13" s="14"/>
      <c r="O13" s="11"/>
      <c r="P13" s="15"/>
      <c r="Q13" s="16"/>
      <c r="R13" s="2"/>
      <c r="S13" s="12"/>
      <c r="T13" s="17"/>
      <c r="U13" s="2"/>
      <c r="V13" s="18"/>
      <c r="W13" s="8"/>
      <c r="Y13" s="149" t="s">
        <v>20</v>
      </c>
      <c r="Z13" s="152">
        <f t="shared" ref="Z13:Z76" si="1">SUMIF($G$9:$G$129, Y13, $F$9:$F$129)</f>
        <v>0</v>
      </c>
    </row>
    <row r="14" spans="2:26" ht="18" x14ac:dyDescent="0.35">
      <c r="B14" s="95">
        <v>77</v>
      </c>
      <c r="C14" s="96" t="s">
        <v>88</v>
      </c>
      <c r="D14" s="97">
        <v>0.9</v>
      </c>
      <c r="E14" s="98">
        <v>69.3</v>
      </c>
      <c r="F14" s="90">
        <v>0.5</v>
      </c>
      <c r="G14" s="91" t="s">
        <v>47</v>
      </c>
      <c r="H14" s="92">
        <v>13</v>
      </c>
      <c r="I14" s="93">
        <v>6.5</v>
      </c>
      <c r="J14" s="83"/>
      <c r="K14" s="83"/>
      <c r="L14" s="12"/>
      <c r="M14" s="13"/>
      <c r="N14" s="14"/>
      <c r="O14" s="11"/>
      <c r="P14" s="15"/>
      <c r="Q14" s="16"/>
      <c r="R14" s="2"/>
      <c r="S14" s="12"/>
      <c r="T14" s="17"/>
      <c r="U14" s="2"/>
      <c r="V14" s="18"/>
      <c r="W14" s="8"/>
      <c r="Y14" s="149" t="s">
        <v>19</v>
      </c>
      <c r="Z14" s="152">
        <f t="shared" si="1"/>
        <v>6</v>
      </c>
    </row>
    <row r="15" spans="2:26" ht="18" x14ac:dyDescent="0.35">
      <c r="B15" s="95">
        <v>3</v>
      </c>
      <c r="C15" s="96" t="s">
        <v>76</v>
      </c>
      <c r="D15" s="97">
        <v>2.2999999999999998</v>
      </c>
      <c r="E15" s="98">
        <v>6.8999999999999995</v>
      </c>
      <c r="F15" s="90">
        <v>334</v>
      </c>
      <c r="G15" s="91" t="s">
        <v>89</v>
      </c>
      <c r="H15" s="92">
        <v>2.2000000000000002</v>
      </c>
      <c r="I15" s="93">
        <v>734.80000000000007</v>
      </c>
      <c r="J15" s="83"/>
      <c r="K15" s="83"/>
      <c r="L15" s="12"/>
      <c r="M15" s="13"/>
      <c r="N15" s="14"/>
      <c r="O15" s="11"/>
      <c r="P15" s="15"/>
      <c r="Q15" s="16"/>
      <c r="R15" s="2"/>
      <c r="S15" s="12"/>
      <c r="T15" s="17"/>
      <c r="U15" s="2"/>
      <c r="V15" s="18"/>
      <c r="W15" s="8"/>
      <c r="Y15" s="149" t="s">
        <v>18</v>
      </c>
      <c r="Z15" s="152">
        <f t="shared" si="1"/>
        <v>11.5</v>
      </c>
    </row>
    <row r="16" spans="2:26" ht="18" x14ac:dyDescent="0.35">
      <c r="B16" s="95">
        <v>7</v>
      </c>
      <c r="C16" s="96" t="s">
        <v>77</v>
      </c>
      <c r="D16" s="97">
        <v>2.1</v>
      </c>
      <c r="E16" s="98">
        <v>14.700000000000001</v>
      </c>
      <c r="F16" s="90">
        <v>1.5</v>
      </c>
      <c r="G16" s="91" t="s">
        <v>19</v>
      </c>
      <c r="H16" s="92">
        <v>2</v>
      </c>
      <c r="I16" s="93">
        <v>3</v>
      </c>
      <c r="J16" s="83"/>
      <c r="K16" s="83"/>
      <c r="L16" s="12"/>
      <c r="M16" s="13"/>
      <c r="N16" s="14"/>
      <c r="O16" s="11"/>
      <c r="P16" s="15"/>
      <c r="Q16" s="16"/>
      <c r="R16" s="2"/>
      <c r="S16" s="12"/>
      <c r="T16" s="17"/>
      <c r="U16" s="2"/>
      <c r="V16" s="18"/>
      <c r="W16" s="8"/>
      <c r="Y16" s="149" t="s">
        <v>22</v>
      </c>
      <c r="Z16" s="152">
        <f t="shared" si="1"/>
        <v>9.5</v>
      </c>
    </row>
    <row r="17" spans="2:26" ht="18" x14ac:dyDescent="0.35">
      <c r="B17" s="95">
        <v>6</v>
      </c>
      <c r="C17" s="96" t="s">
        <v>76</v>
      </c>
      <c r="D17" s="97">
        <v>2.2999999999999998</v>
      </c>
      <c r="E17" s="98">
        <v>13.799999999999999</v>
      </c>
      <c r="F17" s="90">
        <v>0.5</v>
      </c>
      <c r="G17" s="91" t="s">
        <v>92</v>
      </c>
      <c r="H17" s="92">
        <v>70</v>
      </c>
      <c r="I17" s="93">
        <v>35</v>
      </c>
      <c r="J17" s="83"/>
      <c r="K17" s="83"/>
      <c r="L17" s="12"/>
      <c r="M17" s="13"/>
      <c r="N17" s="14"/>
      <c r="O17" s="11"/>
      <c r="P17" s="15"/>
      <c r="Q17" s="16"/>
      <c r="R17" s="2"/>
      <c r="S17" s="12"/>
      <c r="T17" s="17"/>
      <c r="U17" s="2"/>
      <c r="V17" s="18"/>
      <c r="W17" s="8"/>
      <c r="Y17" s="149" t="s">
        <v>67</v>
      </c>
      <c r="Z17" s="152">
        <f t="shared" si="1"/>
        <v>30.7</v>
      </c>
    </row>
    <row r="18" spans="2:26" ht="18" x14ac:dyDescent="0.35">
      <c r="B18" s="95">
        <v>13.5</v>
      </c>
      <c r="C18" s="96" t="s">
        <v>76</v>
      </c>
      <c r="D18" s="97">
        <v>2.2999999999999998</v>
      </c>
      <c r="E18" s="98">
        <v>31.049999999999997</v>
      </c>
      <c r="F18" s="90">
        <v>3</v>
      </c>
      <c r="G18" s="91" t="s">
        <v>84</v>
      </c>
      <c r="H18" s="92">
        <v>5</v>
      </c>
      <c r="I18" s="93">
        <v>15</v>
      </c>
      <c r="J18" s="83"/>
      <c r="K18" s="83"/>
      <c r="L18" s="12"/>
      <c r="M18" s="13"/>
      <c r="N18" s="14"/>
      <c r="O18" s="11"/>
      <c r="P18" s="15"/>
      <c r="Q18" s="16"/>
      <c r="R18" s="2"/>
      <c r="S18" s="12"/>
      <c r="T18" s="17"/>
      <c r="U18" s="2"/>
      <c r="V18" s="18"/>
      <c r="W18" s="8"/>
      <c r="Y18" s="149" t="s">
        <v>90</v>
      </c>
      <c r="Z18" s="152">
        <f t="shared" si="1"/>
        <v>22.1</v>
      </c>
    </row>
    <row r="19" spans="2:26" ht="18" x14ac:dyDescent="0.35">
      <c r="B19" s="95">
        <v>4</v>
      </c>
      <c r="C19" s="96" t="s">
        <v>88</v>
      </c>
      <c r="D19" s="97">
        <v>0.9</v>
      </c>
      <c r="E19" s="98">
        <v>3.6</v>
      </c>
      <c r="F19" s="90">
        <v>0.8</v>
      </c>
      <c r="G19" s="91" t="s">
        <v>94</v>
      </c>
      <c r="H19" s="92">
        <v>10</v>
      </c>
      <c r="I19" s="93">
        <v>8</v>
      </c>
      <c r="J19" s="83"/>
      <c r="K19" s="83"/>
      <c r="L19" s="12"/>
      <c r="M19" s="13"/>
      <c r="N19" s="14"/>
      <c r="O19" s="11"/>
      <c r="P19" s="15"/>
      <c r="Q19" s="16"/>
      <c r="R19" s="2"/>
      <c r="S19" s="12"/>
      <c r="T19" s="17"/>
      <c r="U19" s="2"/>
      <c r="V19" s="18"/>
      <c r="W19" s="8"/>
      <c r="Y19" s="149" t="s">
        <v>91</v>
      </c>
      <c r="Z19" s="152">
        <f t="shared" si="1"/>
        <v>0</v>
      </c>
    </row>
    <row r="20" spans="2:26" ht="18" x14ac:dyDescent="0.35">
      <c r="B20" s="95">
        <v>6</v>
      </c>
      <c r="C20" s="96" t="s">
        <v>76</v>
      </c>
      <c r="D20" s="97">
        <v>2.2999999999999998</v>
      </c>
      <c r="E20" s="98">
        <v>13.799999999999999</v>
      </c>
      <c r="F20" s="90">
        <v>0.5</v>
      </c>
      <c r="G20" s="91" t="s">
        <v>18</v>
      </c>
      <c r="H20" s="92">
        <v>10</v>
      </c>
      <c r="I20" s="93">
        <v>5</v>
      </c>
      <c r="J20" s="83"/>
      <c r="K20" s="83"/>
      <c r="L20" s="12"/>
      <c r="M20" s="13"/>
      <c r="N20" s="14"/>
      <c r="O20" s="11"/>
      <c r="P20" s="15"/>
      <c r="Q20" s="16"/>
      <c r="R20" s="2"/>
      <c r="S20" s="12"/>
      <c r="T20" s="17"/>
      <c r="U20" s="2"/>
      <c r="V20" s="18"/>
      <c r="W20" s="8"/>
      <c r="Y20" s="149" t="s">
        <v>92</v>
      </c>
      <c r="Z20" s="152">
        <f t="shared" si="1"/>
        <v>7.6</v>
      </c>
    </row>
    <row r="21" spans="2:26" ht="18" x14ac:dyDescent="0.35">
      <c r="B21" s="95">
        <v>36.5</v>
      </c>
      <c r="C21" s="96" t="s">
        <v>76</v>
      </c>
      <c r="D21" s="97">
        <v>2.2999999999999998</v>
      </c>
      <c r="E21" s="98">
        <v>83.949999999999989</v>
      </c>
      <c r="F21" s="90">
        <v>2</v>
      </c>
      <c r="G21" s="91" t="s">
        <v>92</v>
      </c>
      <c r="H21" s="92">
        <v>70</v>
      </c>
      <c r="I21" s="93">
        <v>140</v>
      </c>
      <c r="J21" s="83"/>
      <c r="K21" s="83"/>
      <c r="L21" s="12"/>
      <c r="M21" s="13"/>
      <c r="N21" s="14"/>
      <c r="O21" s="11"/>
      <c r="P21" s="15"/>
      <c r="Q21" s="16"/>
      <c r="R21" s="2"/>
      <c r="S21" s="12"/>
      <c r="T21" s="17"/>
      <c r="U21" s="2"/>
      <c r="V21" s="18"/>
      <c r="W21" s="8"/>
      <c r="Y21" s="149" t="s">
        <v>68</v>
      </c>
      <c r="Z21" s="152">
        <f t="shared" si="1"/>
        <v>0</v>
      </c>
    </row>
    <row r="22" spans="2:26" ht="18" x14ac:dyDescent="0.35">
      <c r="B22" s="95">
        <v>4.4000000000000004</v>
      </c>
      <c r="C22" s="96" t="s">
        <v>77</v>
      </c>
      <c r="D22" s="97">
        <v>2.1</v>
      </c>
      <c r="E22" s="98">
        <v>9.240000000000002</v>
      </c>
      <c r="F22" s="90">
        <v>1</v>
      </c>
      <c r="G22" s="91" t="s">
        <v>94</v>
      </c>
      <c r="H22" s="92">
        <v>10</v>
      </c>
      <c r="I22" s="93">
        <v>10</v>
      </c>
      <c r="J22" s="83"/>
      <c r="K22" s="83"/>
      <c r="L22" s="12"/>
      <c r="M22" s="13"/>
      <c r="N22" s="14"/>
      <c r="O22" s="11"/>
      <c r="P22" s="15"/>
      <c r="Q22" s="16"/>
      <c r="R22" s="2"/>
      <c r="S22" s="12"/>
      <c r="T22" s="17"/>
      <c r="U22" s="2"/>
      <c r="V22" s="18"/>
      <c r="W22" s="8"/>
      <c r="Y22" s="149" t="s">
        <v>93</v>
      </c>
      <c r="Z22" s="152">
        <f t="shared" si="1"/>
        <v>4.4000000000000004</v>
      </c>
    </row>
    <row r="23" spans="2:26" ht="18" x14ac:dyDescent="0.35">
      <c r="B23" s="95">
        <v>3.2</v>
      </c>
      <c r="C23" s="96" t="s">
        <v>76</v>
      </c>
      <c r="D23" s="97">
        <v>2.2999999999999998</v>
      </c>
      <c r="E23" s="98">
        <v>7.3599999999999994</v>
      </c>
      <c r="F23" s="90">
        <v>29.5</v>
      </c>
      <c r="G23" s="91" t="s">
        <v>67</v>
      </c>
      <c r="H23" s="92">
        <v>88</v>
      </c>
      <c r="I23" s="93">
        <v>2596</v>
      </c>
      <c r="J23" s="83"/>
      <c r="K23" s="83"/>
      <c r="L23" s="12"/>
      <c r="M23" s="13"/>
      <c r="N23" s="14"/>
      <c r="O23" s="11"/>
      <c r="P23" s="15"/>
      <c r="Q23" s="16"/>
      <c r="R23" s="2"/>
      <c r="S23" s="12"/>
      <c r="T23" s="17"/>
      <c r="U23" s="2"/>
      <c r="V23" s="18"/>
      <c r="W23" s="8"/>
      <c r="Y23" s="149" t="s">
        <v>23</v>
      </c>
      <c r="Z23" s="152">
        <f t="shared" si="1"/>
        <v>17.399999999999999</v>
      </c>
    </row>
    <row r="24" spans="2:26" ht="18" x14ac:dyDescent="0.35">
      <c r="B24" s="95">
        <v>38.5</v>
      </c>
      <c r="C24" s="96" t="s">
        <v>77</v>
      </c>
      <c r="D24" s="97">
        <v>2.1</v>
      </c>
      <c r="E24" s="98">
        <v>80.850000000000009</v>
      </c>
      <c r="F24" s="90">
        <v>8.6</v>
      </c>
      <c r="G24" s="91" t="s">
        <v>23</v>
      </c>
      <c r="H24" s="92">
        <v>50</v>
      </c>
      <c r="I24" s="93">
        <v>430</v>
      </c>
      <c r="J24" s="83"/>
      <c r="K24" s="83"/>
      <c r="L24" s="12"/>
      <c r="M24" s="13"/>
      <c r="N24" s="14"/>
      <c r="O24" s="11"/>
      <c r="P24" s="15"/>
      <c r="Q24" s="16"/>
      <c r="R24" s="2"/>
      <c r="S24" s="12"/>
      <c r="T24" s="17"/>
      <c r="U24" s="2"/>
      <c r="V24" s="18"/>
      <c r="W24" s="8"/>
      <c r="Y24" s="149" t="s">
        <v>24</v>
      </c>
      <c r="Z24" s="152">
        <f t="shared" si="1"/>
        <v>0</v>
      </c>
    </row>
    <row r="25" spans="2:26" ht="18" x14ac:dyDescent="0.35">
      <c r="B25" s="95">
        <v>18</v>
      </c>
      <c r="C25" s="96" t="s">
        <v>88</v>
      </c>
      <c r="D25" s="97">
        <v>0.9</v>
      </c>
      <c r="E25" s="98">
        <v>16.2</v>
      </c>
      <c r="F25" s="90">
        <v>2</v>
      </c>
      <c r="G25" s="91" t="s">
        <v>18</v>
      </c>
      <c r="H25" s="92">
        <v>10</v>
      </c>
      <c r="I25" s="93">
        <v>20</v>
      </c>
      <c r="J25" s="83"/>
      <c r="K25" s="83"/>
      <c r="L25" s="12"/>
      <c r="M25" s="13"/>
      <c r="N25" s="14"/>
      <c r="O25" s="11"/>
      <c r="P25" s="15"/>
      <c r="Q25" s="16"/>
      <c r="R25" s="2"/>
      <c r="S25" s="12"/>
      <c r="T25" s="17"/>
      <c r="U25" s="2"/>
      <c r="V25" s="18"/>
      <c r="W25" s="8"/>
      <c r="Y25" s="149" t="s">
        <v>25</v>
      </c>
      <c r="Z25" s="152">
        <f t="shared" si="1"/>
        <v>0</v>
      </c>
    </row>
    <row r="26" spans="2:26" ht="18" x14ac:dyDescent="0.35">
      <c r="B26" s="95">
        <v>451</v>
      </c>
      <c r="C26" s="96" t="s">
        <v>76</v>
      </c>
      <c r="D26" s="97">
        <v>2.2999999999999998</v>
      </c>
      <c r="E26" s="98">
        <v>1037.3</v>
      </c>
      <c r="F26" s="90">
        <v>0.5</v>
      </c>
      <c r="G26" s="91" t="s">
        <v>23</v>
      </c>
      <c r="H26" s="92">
        <v>50</v>
      </c>
      <c r="I26" s="93">
        <v>25</v>
      </c>
      <c r="J26" s="83"/>
      <c r="K26" s="83"/>
      <c r="L26" s="12"/>
      <c r="M26" s="13"/>
      <c r="N26" s="14"/>
      <c r="O26" s="11"/>
      <c r="P26" s="15"/>
      <c r="Q26" s="16"/>
      <c r="R26" s="2"/>
      <c r="S26" s="12"/>
      <c r="T26" s="17"/>
      <c r="U26" s="2"/>
      <c r="V26" s="18"/>
      <c r="W26" s="8"/>
      <c r="Y26" s="149" t="s">
        <v>98</v>
      </c>
      <c r="Z26" s="152">
        <f t="shared" si="1"/>
        <v>0</v>
      </c>
    </row>
    <row r="27" spans="2:26" ht="18" x14ac:dyDescent="0.35">
      <c r="B27" s="95">
        <v>90</v>
      </c>
      <c r="C27" s="96" t="s">
        <v>77</v>
      </c>
      <c r="D27" s="97">
        <v>2.1</v>
      </c>
      <c r="E27" s="98">
        <v>189</v>
      </c>
      <c r="F27" s="90">
        <v>0.5</v>
      </c>
      <c r="G27" s="91" t="s">
        <v>23</v>
      </c>
      <c r="H27" s="92">
        <v>50</v>
      </c>
      <c r="I27" s="93">
        <v>25</v>
      </c>
      <c r="J27" s="83"/>
      <c r="K27" s="83"/>
      <c r="L27" s="12"/>
      <c r="M27" s="13"/>
      <c r="N27" s="14"/>
      <c r="O27" s="11"/>
      <c r="P27" s="15"/>
      <c r="Q27" s="16"/>
      <c r="R27" s="2"/>
      <c r="S27" s="12"/>
      <c r="T27" s="17"/>
      <c r="U27" s="2"/>
      <c r="V27" s="18"/>
      <c r="W27" s="8"/>
      <c r="Y27" s="149" t="s">
        <v>94</v>
      </c>
      <c r="Z27" s="152">
        <f t="shared" si="1"/>
        <v>17.099999999999998</v>
      </c>
    </row>
    <row r="28" spans="2:26" ht="18" x14ac:dyDescent="0.35">
      <c r="B28" s="95">
        <v>19</v>
      </c>
      <c r="C28" s="96" t="s">
        <v>76</v>
      </c>
      <c r="D28" s="97">
        <v>2.2999999999999998</v>
      </c>
      <c r="E28" s="98">
        <v>43.699999999999996</v>
      </c>
      <c r="F28" s="90">
        <v>1</v>
      </c>
      <c r="G28" s="91" t="s">
        <v>90</v>
      </c>
      <c r="H28" s="92">
        <v>85</v>
      </c>
      <c r="I28" s="93">
        <v>85</v>
      </c>
      <c r="J28" s="83"/>
      <c r="K28" s="83"/>
      <c r="L28" s="12"/>
      <c r="M28" s="13"/>
      <c r="N28" s="14"/>
      <c r="O28" s="11"/>
      <c r="P28" s="15"/>
      <c r="Q28" s="16"/>
      <c r="R28" s="2"/>
      <c r="S28" s="12"/>
      <c r="T28" s="17"/>
      <c r="U28" s="2"/>
      <c r="V28" s="18"/>
      <c r="W28" s="8"/>
      <c r="Y28" s="149" t="s">
        <v>42</v>
      </c>
      <c r="Z28" s="152">
        <f t="shared" si="1"/>
        <v>17</v>
      </c>
    </row>
    <row r="29" spans="2:26" ht="18" x14ac:dyDescent="0.35">
      <c r="B29" s="95">
        <v>5</v>
      </c>
      <c r="C29" s="96" t="s">
        <v>76</v>
      </c>
      <c r="D29" s="97">
        <v>2.2999999999999998</v>
      </c>
      <c r="E29" s="98">
        <v>11.5</v>
      </c>
      <c r="F29" s="90">
        <v>1.2</v>
      </c>
      <c r="G29" s="91" t="s">
        <v>92</v>
      </c>
      <c r="H29" s="92">
        <v>70</v>
      </c>
      <c r="I29" s="93">
        <v>84</v>
      </c>
      <c r="J29" s="83"/>
      <c r="K29" s="83"/>
      <c r="L29" s="12"/>
      <c r="M29" s="13"/>
      <c r="N29" s="14"/>
      <c r="O29" s="11"/>
      <c r="P29" s="15"/>
      <c r="Q29" s="16"/>
      <c r="R29" s="2"/>
      <c r="S29" s="12"/>
      <c r="T29" s="17"/>
      <c r="U29" s="2"/>
      <c r="V29" s="18"/>
      <c r="W29" s="8"/>
      <c r="Y29" s="149" t="s">
        <v>39</v>
      </c>
      <c r="Z29" s="152">
        <f t="shared" si="1"/>
        <v>0</v>
      </c>
    </row>
    <row r="30" spans="2:26" ht="18" x14ac:dyDescent="0.35">
      <c r="B30" s="95">
        <v>6</v>
      </c>
      <c r="C30" s="96" t="s">
        <v>77</v>
      </c>
      <c r="D30" s="97">
        <v>2.1</v>
      </c>
      <c r="E30" s="98">
        <v>12.600000000000001</v>
      </c>
      <c r="F30" s="90">
        <v>2</v>
      </c>
      <c r="G30" s="91" t="s">
        <v>48</v>
      </c>
      <c r="H30" s="92">
        <v>6</v>
      </c>
      <c r="I30" s="93">
        <v>12</v>
      </c>
      <c r="J30" s="83"/>
      <c r="K30" s="83"/>
      <c r="L30" s="12"/>
      <c r="M30" s="13"/>
      <c r="N30" s="14"/>
      <c r="O30" s="11"/>
      <c r="P30" s="15"/>
      <c r="Q30" s="16"/>
      <c r="R30" s="2"/>
      <c r="S30" s="12"/>
      <c r="T30" s="17"/>
      <c r="U30" s="2"/>
      <c r="V30" s="18"/>
      <c r="W30" s="8"/>
      <c r="Y30" s="149" t="s">
        <v>99</v>
      </c>
      <c r="Z30" s="152">
        <f t="shared" si="1"/>
        <v>0</v>
      </c>
    </row>
    <row r="31" spans="2:26" ht="18" x14ac:dyDescent="0.35">
      <c r="B31" s="95">
        <v>40</v>
      </c>
      <c r="C31" s="96" t="s">
        <v>76</v>
      </c>
      <c r="D31" s="97">
        <v>2.2999999999999998</v>
      </c>
      <c r="E31" s="98">
        <v>92</v>
      </c>
      <c r="F31" s="90">
        <v>0.5</v>
      </c>
      <c r="G31" s="91" t="s">
        <v>18</v>
      </c>
      <c r="H31" s="92">
        <v>10</v>
      </c>
      <c r="I31" s="93">
        <v>5</v>
      </c>
      <c r="J31" s="83"/>
      <c r="K31" s="83"/>
      <c r="L31" s="12"/>
      <c r="M31" s="13"/>
      <c r="N31" s="14"/>
      <c r="O31" s="11"/>
      <c r="P31" s="15"/>
      <c r="Q31" s="16"/>
      <c r="R31" s="2"/>
      <c r="S31" s="12"/>
      <c r="T31" s="17"/>
      <c r="U31" s="2"/>
      <c r="V31" s="18"/>
      <c r="W31" s="8"/>
      <c r="Y31" s="149" t="s">
        <v>95</v>
      </c>
      <c r="Z31" s="152">
        <f t="shared" si="1"/>
        <v>0</v>
      </c>
    </row>
    <row r="32" spans="2:26" ht="18" x14ac:dyDescent="0.35">
      <c r="B32" s="95">
        <v>2.2000000000000002</v>
      </c>
      <c r="C32" s="96" t="s">
        <v>77</v>
      </c>
      <c r="D32" s="97">
        <v>2.1</v>
      </c>
      <c r="E32" s="98">
        <v>4.620000000000001</v>
      </c>
      <c r="F32" s="90">
        <v>1.4</v>
      </c>
      <c r="G32" s="91" t="s">
        <v>23</v>
      </c>
      <c r="H32" s="92">
        <v>50</v>
      </c>
      <c r="I32" s="93">
        <v>70</v>
      </c>
      <c r="J32" s="83"/>
      <c r="K32" s="83"/>
      <c r="L32" s="12"/>
      <c r="M32" s="13"/>
      <c r="N32" s="14"/>
      <c r="O32" s="11"/>
      <c r="P32" s="15"/>
      <c r="Q32" s="16"/>
      <c r="R32" s="2"/>
      <c r="S32" s="12"/>
      <c r="T32" s="17"/>
      <c r="U32" s="2"/>
      <c r="V32" s="18"/>
      <c r="W32" s="8"/>
      <c r="Y32" s="149" t="s">
        <v>97</v>
      </c>
      <c r="Z32" s="152">
        <f t="shared" si="1"/>
        <v>0</v>
      </c>
    </row>
    <row r="33" spans="2:26" ht="18" x14ac:dyDescent="0.35">
      <c r="B33" s="95">
        <v>3.5</v>
      </c>
      <c r="C33" s="96" t="s">
        <v>76</v>
      </c>
      <c r="D33" s="97">
        <v>2.2999999999999998</v>
      </c>
      <c r="E33" s="98">
        <v>8.0499999999999989</v>
      </c>
      <c r="F33" s="90">
        <v>4.4000000000000004</v>
      </c>
      <c r="G33" s="91" t="s">
        <v>93</v>
      </c>
      <c r="H33" s="92">
        <v>30</v>
      </c>
      <c r="I33" s="93">
        <v>132</v>
      </c>
      <c r="J33" s="83"/>
      <c r="K33" s="83"/>
      <c r="L33" s="12"/>
      <c r="M33" s="13"/>
      <c r="N33" s="14"/>
      <c r="O33" s="11"/>
      <c r="P33" s="15"/>
      <c r="Q33" s="16"/>
      <c r="R33" s="2"/>
      <c r="S33" s="12"/>
      <c r="T33" s="17"/>
      <c r="U33" s="2"/>
      <c r="V33" s="18"/>
      <c r="W33" s="8"/>
      <c r="Y33" s="149" t="s">
        <v>43</v>
      </c>
      <c r="Z33" s="152">
        <f t="shared" si="1"/>
        <v>0</v>
      </c>
    </row>
    <row r="34" spans="2:26" ht="18" x14ac:dyDescent="0.35">
      <c r="B34" s="95">
        <v>33</v>
      </c>
      <c r="C34" s="96" t="s">
        <v>88</v>
      </c>
      <c r="D34" s="97">
        <v>0.9</v>
      </c>
      <c r="E34" s="98">
        <v>29.7</v>
      </c>
      <c r="F34" s="90">
        <v>4.5</v>
      </c>
      <c r="G34" s="91" t="s">
        <v>94</v>
      </c>
      <c r="H34" s="92">
        <v>10</v>
      </c>
      <c r="I34" s="93">
        <v>45</v>
      </c>
      <c r="J34" s="83"/>
      <c r="K34" s="83"/>
      <c r="L34" s="12"/>
      <c r="M34" s="13"/>
      <c r="N34" s="14"/>
      <c r="O34" s="11"/>
      <c r="P34" s="15"/>
      <c r="Q34" s="16"/>
      <c r="R34" s="2"/>
      <c r="S34" s="12"/>
      <c r="T34" s="17"/>
      <c r="U34" s="2"/>
      <c r="V34" s="18"/>
      <c r="W34" s="8"/>
      <c r="Y34" s="149" t="s">
        <v>32</v>
      </c>
      <c r="Z34" s="152">
        <f t="shared" si="1"/>
        <v>0</v>
      </c>
    </row>
    <row r="35" spans="2:26" ht="18" x14ac:dyDescent="0.35">
      <c r="B35" s="95">
        <v>7</v>
      </c>
      <c r="C35" s="96" t="s">
        <v>76</v>
      </c>
      <c r="D35" s="97">
        <v>2.2999999999999998</v>
      </c>
      <c r="E35" s="98">
        <v>16.099999999999998</v>
      </c>
      <c r="F35" s="90">
        <v>1.6</v>
      </c>
      <c r="G35" s="91" t="s">
        <v>84</v>
      </c>
      <c r="H35" s="92">
        <v>5</v>
      </c>
      <c r="I35" s="93">
        <v>8</v>
      </c>
      <c r="J35" s="83"/>
      <c r="K35" s="83"/>
      <c r="L35" s="12"/>
      <c r="M35" s="13"/>
      <c r="N35" s="14"/>
      <c r="O35" s="11"/>
      <c r="P35" s="15"/>
      <c r="Q35" s="16"/>
      <c r="R35" s="2"/>
      <c r="S35" s="12"/>
      <c r="T35" s="17"/>
      <c r="U35" s="2"/>
      <c r="V35" s="18"/>
      <c r="W35" s="8"/>
      <c r="Y35" s="149" t="s">
        <v>33</v>
      </c>
      <c r="Z35" s="152">
        <f t="shared" si="1"/>
        <v>0</v>
      </c>
    </row>
    <row r="36" spans="2:26" ht="18" x14ac:dyDescent="0.35">
      <c r="B36" s="95">
        <v>5</v>
      </c>
      <c r="C36" s="96" t="s">
        <v>76</v>
      </c>
      <c r="D36" s="97">
        <v>2.2999999999999998</v>
      </c>
      <c r="E36" s="98">
        <v>11.5</v>
      </c>
      <c r="F36" s="90">
        <v>2.8</v>
      </c>
      <c r="G36" s="91" t="s">
        <v>48</v>
      </c>
      <c r="H36" s="92">
        <v>6</v>
      </c>
      <c r="I36" s="93">
        <v>16.799999999999997</v>
      </c>
      <c r="J36" s="83"/>
      <c r="K36" s="83"/>
      <c r="L36" s="12"/>
      <c r="M36" s="13"/>
      <c r="N36" s="14"/>
      <c r="O36" s="11"/>
      <c r="P36" s="15"/>
      <c r="Q36" s="16"/>
      <c r="R36" s="2"/>
      <c r="S36" s="12"/>
      <c r="T36" s="17"/>
      <c r="U36" s="2"/>
      <c r="V36" s="18"/>
      <c r="W36" s="8"/>
      <c r="Y36" s="149" t="s">
        <v>30</v>
      </c>
      <c r="Z36" s="152">
        <f t="shared" si="1"/>
        <v>0</v>
      </c>
    </row>
    <row r="37" spans="2:26" ht="18" x14ac:dyDescent="0.35">
      <c r="B37" s="95">
        <v>7</v>
      </c>
      <c r="C37" s="96" t="s">
        <v>77</v>
      </c>
      <c r="D37" s="97">
        <v>2.1</v>
      </c>
      <c r="E37" s="98">
        <v>14.700000000000001</v>
      </c>
      <c r="F37" s="90">
        <v>0.4</v>
      </c>
      <c r="G37" s="91" t="s">
        <v>94</v>
      </c>
      <c r="H37" s="92">
        <v>10</v>
      </c>
      <c r="I37" s="93">
        <v>4</v>
      </c>
      <c r="J37" s="83"/>
      <c r="K37" s="83"/>
      <c r="L37" s="12"/>
      <c r="M37" s="13"/>
      <c r="N37" s="14"/>
      <c r="O37" s="11"/>
      <c r="P37" s="15"/>
      <c r="Q37" s="16"/>
      <c r="R37" s="2"/>
      <c r="S37" s="12"/>
      <c r="T37" s="17"/>
      <c r="U37" s="2"/>
      <c r="V37" s="18"/>
      <c r="W37" s="8"/>
      <c r="Y37" s="149" t="s">
        <v>31</v>
      </c>
      <c r="Z37" s="152">
        <f t="shared" si="1"/>
        <v>0</v>
      </c>
    </row>
    <row r="38" spans="2:26" ht="18" x14ac:dyDescent="0.35">
      <c r="B38" s="95">
        <v>8.5</v>
      </c>
      <c r="C38" s="96" t="s">
        <v>76</v>
      </c>
      <c r="D38" s="97">
        <v>2.2999999999999998</v>
      </c>
      <c r="E38" s="98">
        <v>19.549999999999997</v>
      </c>
      <c r="F38" s="90">
        <v>0.2</v>
      </c>
      <c r="G38" s="91" t="s">
        <v>94</v>
      </c>
      <c r="H38" s="92">
        <v>10</v>
      </c>
      <c r="I38" s="93">
        <v>2</v>
      </c>
      <c r="J38" s="83"/>
      <c r="K38" s="83"/>
      <c r="L38" s="12"/>
      <c r="M38" s="13"/>
      <c r="N38" s="14"/>
      <c r="O38" s="11"/>
      <c r="P38" s="15"/>
      <c r="Q38" s="16"/>
      <c r="R38" s="2"/>
      <c r="S38" s="12"/>
      <c r="T38" s="17"/>
      <c r="U38" s="2"/>
      <c r="V38" s="18"/>
      <c r="W38" s="8"/>
      <c r="Y38" s="149" t="s">
        <v>84</v>
      </c>
      <c r="Z38" s="152">
        <f t="shared" si="1"/>
        <v>6.3</v>
      </c>
    </row>
    <row r="39" spans="2:26" ht="18" x14ac:dyDescent="0.35">
      <c r="B39" s="95">
        <v>11.5</v>
      </c>
      <c r="C39" s="96" t="s">
        <v>77</v>
      </c>
      <c r="D39" s="97">
        <v>2.1</v>
      </c>
      <c r="E39" s="98">
        <v>24.150000000000002</v>
      </c>
      <c r="F39" s="90">
        <v>17</v>
      </c>
      <c r="G39" s="91" t="s">
        <v>42</v>
      </c>
      <c r="H39" s="92">
        <v>10</v>
      </c>
      <c r="I39" s="93">
        <v>170</v>
      </c>
      <c r="J39" s="83"/>
      <c r="K39" s="83"/>
      <c r="L39" s="12"/>
      <c r="M39" s="13"/>
      <c r="N39" s="14"/>
      <c r="O39" s="11"/>
      <c r="P39" s="15"/>
      <c r="Q39" s="16"/>
      <c r="R39" s="2"/>
      <c r="S39" s="12"/>
      <c r="T39" s="17"/>
      <c r="U39" s="2"/>
      <c r="V39" s="18"/>
      <c r="W39" s="8"/>
      <c r="Y39" s="149" t="s">
        <v>85</v>
      </c>
      <c r="Z39" s="152">
        <f t="shared" si="1"/>
        <v>0</v>
      </c>
    </row>
    <row r="40" spans="2:26" ht="18" x14ac:dyDescent="0.35">
      <c r="B40" s="95">
        <v>4</v>
      </c>
      <c r="C40" s="96" t="s">
        <v>76</v>
      </c>
      <c r="D40" s="97">
        <v>2.2999999999999998</v>
      </c>
      <c r="E40" s="98">
        <v>9.1999999999999993</v>
      </c>
      <c r="F40" s="90">
        <v>12</v>
      </c>
      <c r="G40" s="91" t="s">
        <v>70</v>
      </c>
      <c r="H40" s="92">
        <v>5</v>
      </c>
      <c r="I40" s="93">
        <v>60</v>
      </c>
      <c r="J40" s="83"/>
      <c r="K40" s="83"/>
      <c r="L40" s="12"/>
      <c r="M40" s="13"/>
      <c r="N40" s="14"/>
      <c r="O40" s="11"/>
      <c r="P40" s="15"/>
      <c r="Q40" s="16"/>
      <c r="R40" s="2"/>
      <c r="S40" s="12"/>
      <c r="T40" s="17"/>
      <c r="U40" s="2"/>
      <c r="V40" s="18"/>
      <c r="W40" s="8"/>
      <c r="Y40" s="149" t="s">
        <v>86</v>
      </c>
      <c r="Z40" s="152">
        <f t="shared" si="1"/>
        <v>0</v>
      </c>
    </row>
    <row r="41" spans="2:26" ht="18" x14ac:dyDescent="0.35">
      <c r="B41" s="95">
        <v>29</v>
      </c>
      <c r="C41" s="96" t="s">
        <v>77</v>
      </c>
      <c r="D41" s="97">
        <v>2.1</v>
      </c>
      <c r="E41" s="98">
        <v>60.900000000000006</v>
      </c>
      <c r="F41" s="90">
        <v>4.5</v>
      </c>
      <c r="G41" s="91" t="s">
        <v>94</v>
      </c>
      <c r="H41" s="92">
        <v>10</v>
      </c>
      <c r="I41" s="93">
        <v>45</v>
      </c>
      <c r="J41" s="83"/>
      <c r="K41" s="83"/>
      <c r="L41" s="12"/>
      <c r="M41" s="13"/>
      <c r="N41" s="14"/>
      <c r="O41" s="11"/>
      <c r="P41" s="15"/>
      <c r="Q41" s="16"/>
      <c r="R41" s="2"/>
      <c r="S41" s="12"/>
      <c r="T41" s="17"/>
      <c r="U41" s="2"/>
      <c r="V41" s="18"/>
      <c r="W41" s="8"/>
      <c r="Y41" s="149" t="s">
        <v>87</v>
      </c>
      <c r="Z41" s="152">
        <f t="shared" si="1"/>
        <v>0</v>
      </c>
    </row>
    <row r="42" spans="2:26" ht="18" x14ac:dyDescent="0.35">
      <c r="B42" s="95">
        <v>83</v>
      </c>
      <c r="C42" s="96" t="s">
        <v>88</v>
      </c>
      <c r="D42" s="97">
        <v>0.9</v>
      </c>
      <c r="E42" s="98">
        <v>74.7</v>
      </c>
      <c r="F42" s="90">
        <v>2.5</v>
      </c>
      <c r="G42" s="91" t="s">
        <v>90</v>
      </c>
      <c r="H42" s="92">
        <v>85</v>
      </c>
      <c r="I42" s="93">
        <v>212.5</v>
      </c>
      <c r="J42" s="83"/>
      <c r="K42" s="83"/>
      <c r="L42" s="12"/>
      <c r="M42" s="13"/>
      <c r="N42" s="14"/>
      <c r="O42" s="11"/>
      <c r="P42" s="15"/>
      <c r="Q42" s="16"/>
      <c r="R42" s="2"/>
      <c r="S42" s="12"/>
      <c r="T42" s="17"/>
      <c r="U42" s="2"/>
      <c r="V42" s="18"/>
      <c r="W42" s="8"/>
      <c r="Y42" s="149" t="s">
        <v>46</v>
      </c>
      <c r="Z42" s="152">
        <f t="shared" si="1"/>
        <v>0</v>
      </c>
    </row>
    <row r="43" spans="2:26" ht="18" x14ac:dyDescent="0.35">
      <c r="B43" s="95">
        <v>7</v>
      </c>
      <c r="C43" s="96" t="s">
        <v>77</v>
      </c>
      <c r="D43" s="97">
        <v>2.1</v>
      </c>
      <c r="E43" s="98">
        <v>14.700000000000001</v>
      </c>
      <c r="F43" s="90">
        <v>0.2</v>
      </c>
      <c r="G43" s="91" t="s">
        <v>94</v>
      </c>
      <c r="H43" s="92">
        <v>10</v>
      </c>
      <c r="I43" s="93">
        <v>2</v>
      </c>
      <c r="J43" s="83"/>
      <c r="K43" s="83"/>
      <c r="L43" s="12"/>
      <c r="M43" s="13"/>
      <c r="N43" s="14"/>
      <c r="O43" s="11"/>
      <c r="P43" s="15"/>
      <c r="Q43" s="16"/>
      <c r="R43" s="2"/>
      <c r="S43" s="12"/>
      <c r="T43" s="17"/>
      <c r="U43" s="2"/>
      <c r="V43" s="18"/>
      <c r="W43" s="8"/>
      <c r="Y43" s="149" t="s">
        <v>47</v>
      </c>
      <c r="Z43" s="152">
        <f t="shared" si="1"/>
        <v>0.5</v>
      </c>
    </row>
    <row r="44" spans="2:26" ht="18" x14ac:dyDescent="0.35">
      <c r="B44" s="95">
        <v>0.4</v>
      </c>
      <c r="C44" s="96" t="s">
        <v>76</v>
      </c>
      <c r="D44" s="97">
        <v>2.2999999999999998</v>
      </c>
      <c r="E44" s="98">
        <v>0.91999999999999993</v>
      </c>
      <c r="F44" s="90">
        <v>2.8</v>
      </c>
      <c r="G44" s="91" t="s">
        <v>92</v>
      </c>
      <c r="H44" s="92">
        <v>70</v>
      </c>
      <c r="I44" s="93">
        <v>196</v>
      </c>
      <c r="J44" s="83"/>
      <c r="K44" s="83"/>
      <c r="L44" s="12"/>
      <c r="M44" s="13"/>
      <c r="N44" s="14"/>
      <c r="O44" s="11"/>
      <c r="P44" s="15"/>
      <c r="Q44" s="16"/>
      <c r="R44" s="2"/>
      <c r="S44" s="12"/>
      <c r="T44" s="17"/>
      <c r="U44" s="2"/>
      <c r="V44" s="18"/>
      <c r="W44" s="8"/>
      <c r="Y44" s="149" t="s">
        <v>48</v>
      </c>
      <c r="Z44" s="152">
        <f t="shared" si="1"/>
        <v>6.8</v>
      </c>
    </row>
    <row r="45" spans="2:26" ht="18" x14ac:dyDescent="0.35">
      <c r="B45" s="95">
        <v>2</v>
      </c>
      <c r="C45" s="96" t="s">
        <v>88</v>
      </c>
      <c r="D45" s="97">
        <v>0.9</v>
      </c>
      <c r="E45" s="98">
        <v>1.8</v>
      </c>
      <c r="F45" s="90">
        <v>1.2</v>
      </c>
      <c r="G45" s="91" t="s">
        <v>67</v>
      </c>
      <c r="H45" s="92">
        <v>88</v>
      </c>
      <c r="I45" s="93">
        <v>105.6</v>
      </c>
      <c r="J45" s="83"/>
      <c r="K45" s="83"/>
      <c r="L45" s="12"/>
      <c r="M45" s="13"/>
      <c r="N45" s="14"/>
      <c r="O45" s="11"/>
      <c r="P45" s="15"/>
      <c r="Q45" s="16"/>
      <c r="R45" s="2"/>
      <c r="S45" s="12"/>
      <c r="T45" s="17"/>
      <c r="U45" s="2"/>
      <c r="V45" s="18"/>
      <c r="W45" s="8"/>
      <c r="Y45" s="149" t="s">
        <v>83</v>
      </c>
      <c r="Z45" s="152">
        <f t="shared" si="1"/>
        <v>70</v>
      </c>
    </row>
    <row r="46" spans="2:26" ht="18" x14ac:dyDescent="0.35">
      <c r="B46" s="95">
        <v>2</v>
      </c>
      <c r="C46" s="96" t="s">
        <v>76</v>
      </c>
      <c r="D46" s="97">
        <v>2.2999999999999998</v>
      </c>
      <c r="E46" s="98">
        <v>4.5999999999999996</v>
      </c>
      <c r="F46" s="90">
        <v>1.4</v>
      </c>
      <c r="G46" s="91" t="s">
        <v>94</v>
      </c>
      <c r="H46" s="92">
        <v>10</v>
      </c>
      <c r="I46" s="93">
        <v>14</v>
      </c>
      <c r="J46" s="83"/>
      <c r="K46" s="83"/>
      <c r="L46" s="12"/>
      <c r="M46" s="13"/>
      <c r="N46" s="14"/>
      <c r="O46" s="11"/>
      <c r="P46" s="15"/>
      <c r="Q46" s="16"/>
      <c r="R46" s="2"/>
      <c r="S46" s="12"/>
      <c r="T46" s="17"/>
      <c r="U46" s="2"/>
      <c r="V46" s="18"/>
      <c r="W46" s="8"/>
      <c r="Y46" s="149" t="s">
        <v>96</v>
      </c>
      <c r="Z46" s="152">
        <f t="shared" si="1"/>
        <v>0.5</v>
      </c>
    </row>
    <row r="47" spans="2:26" ht="18" x14ac:dyDescent="0.35">
      <c r="B47" s="95"/>
      <c r="C47" s="96"/>
      <c r="D47" s="97"/>
      <c r="E47" s="98"/>
      <c r="F47" s="90">
        <v>0.2</v>
      </c>
      <c r="G47" s="91" t="s">
        <v>23</v>
      </c>
      <c r="H47" s="92">
        <v>50</v>
      </c>
      <c r="I47" s="93">
        <v>10</v>
      </c>
      <c r="J47" s="83"/>
      <c r="K47" s="83"/>
      <c r="L47" s="12"/>
      <c r="M47" s="13"/>
      <c r="N47" s="14"/>
      <c r="O47" s="11"/>
      <c r="P47" s="15"/>
      <c r="Q47" s="16"/>
      <c r="R47" s="2"/>
      <c r="S47" s="12"/>
      <c r="T47" s="17"/>
      <c r="U47" s="2"/>
      <c r="V47" s="18"/>
      <c r="W47" s="8"/>
      <c r="Y47" s="149" t="s">
        <v>73</v>
      </c>
      <c r="Z47" s="152">
        <f t="shared" si="1"/>
        <v>0</v>
      </c>
    </row>
    <row r="48" spans="2:26" ht="18" x14ac:dyDescent="0.35">
      <c r="B48" s="95"/>
      <c r="C48" s="96"/>
      <c r="D48" s="97"/>
      <c r="E48" s="98"/>
      <c r="F48" s="90">
        <v>0.6</v>
      </c>
      <c r="G48" s="91" t="s">
        <v>90</v>
      </c>
      <c r="H48" s="92">
        <v>83</v>
      </c>
      <c r="I48" s="93">
        <v>49.8</v>
      </c>
      <c r="J48" s="83"/>
      <c r="K48" s="83"/>
      <c r="L48" s="12"/>
      <c r="M48" s="13"/>
      <c r="N48" s="14"/>
      <c r="O48" s="11"/>
      <c r="P48" s="15"/>
      <c r="Q48" s="16"/>
      <c r="R48" s="2"/>
      <c r="S48" s="12"/>
      <c r="T48" s="17"/>
      <c r="U48" s="2"/>
      <c r="V48" s="18"/>
      <c r="W48" s="8"/>
      <c r="Y48" s="149" t="s">
        <v>74</v>
      </c>
      <c r="Z48" s="152">
        <f t="shared" si="1"/>
        <v>0</v>
      </c>
    </row>
    <row r="49" spans="2:26" ht="18" x14ac:dyDescent="0.35">
      <c r="B49" s="95"/>
      <c r="C49" s="96"/>
      <c r="D49" s="97"/>
      <c r="E49" s="98"/>
      <c r="F49" s="90">
        <v>0.6</v>
      </c>
      <c r="G49" s="91" t="s">
        <v>94</v>
      </c>
      <c r="H49" s="92">
        <v>10</v>
      </c>
      <c r="I49" s="93">
        <v>6</v>
      </c>
      <c r="J49" s="83"/>
      <c r="K49" s="83"/>
      <c r="L49" s="12"/>
      <c r="M49" s="13"/>
      <c r="N49" s="14"/>
      <c r="O49" s="11"/>
      <c r="P49" s="15"/>
      <c r="Q49" s="16"/>
      <c r="R49" s="2"/>
      <c r="S49" s="12"/>
      <c r="T49" s="17"/>
      <c r="U49" s="2"/>
      <c r="V49" s="18"/>
      <c r="W49" s="8"/>
      <c r="Y49" s="149" t="s">
        <v>70</v>
      </c>
      <c r="Z49" s="152">
        <f t="shared" si="1"/>
        <v>12</v>
      </c>
    </row>
    <row r="50" spans="2:26" ht="18" x14ac:dyDescent="0.35">
      <c r="B50" s="95"/>
      <c r="C50" s="96"/>
      <c r="D50" s="97"/>
      <c r="E50" s="98"/>
      <c r="F50" s="90">
        <v>1</v>
      </c>
      <c r="G50" s="91" t="s">
        <v>94</v>
      </c>
      <c r="H50" s="92">
        <v>10</v>
      </c>
      <c r="I50" s="93">
        <v>10</v>
      </c>
      <c r="J50" s="83"/>
      <c r="K50" s="83"/>
      <c r="L50" s="12"/>
      <c r="M50" s="13"/>
      <c r="N50" s="14"/>
      <c r="O50" s="11"/>
      <c r="P50" s="15"/>
      <c r="Q50" s="16"/>
      <c r="R50" s="2"/>
      <c r="S50" s="12"/>
      <c r="T50" s="17"/>
      <c r="U50" s="2"/>
      <c r="V50" s="18"/>
      <c r="W50" s="8"/>
      <c r="Y50" s="149" t="s">
        <v>64</v>
      </c>
      <c r="Z50" s="152">
        <f t="shared" si="1"/>
        <v>0</v>
      </c>
    </row>
    <row r="51" spans="2:26" ht="18" x14ac:dyDescent="0.35">
      <c r="B51" s="95"/>
      <c r="C51" s="96"/>
      <c r="D51" s="97"/>
      <c r="E51" s="98"/>
      <c r="F51" s="90">
        <v>1.5</v>
      </c>
      <c r="G51" s="91" t="s">
        <v>84</v>
      </c>
      <c r="H51" s="92">
        <v>5</v>
      </c>
      <c r="I51" s="93">
        <v>7.5</v>
      </c>
      <c r="J51" s="83"/>
      <c r="K51" s="83"/>
      <c r="L51" s="12"/>
      <c r="M51" s="13"/>
      <c r="N51" s="14"/>
      <c r="O51" s="11"/>
      <c r="P51" s="15"/>
      <c r="Q51" s="16"/>
      <c r="R51" s="2"/>
      <c r="S51" s="12"/>
      <c r="T51" s="17"/>
      <c r="U51" s="2"/>
      <c r="V51" s="18"/>
      <c r="W51" s="8"/>
      <c r="Y51" s="149" t="s">
        <v>65</v>
      </c>
      <c r="Z51" s="152">
        <f t="shared" si="1"/>
        <v>0</v>
      </c>
    </row>
    <row r="52" spans="2:26" ht="18" x14ac:dyDescent="0.35">
      <c r="B52" s="95"/>
      <c r="C52" s="96"/>
      <c r="D52" s="97"/>
      <c r="E52" s="98"/>
      <c r="F52" s="90">
        <v>4.5</v>
      </c>
      <c r="G52" s="91" t="s">
        <v>19</v>
      </c>
      <c r="H52" s="92">
        <v>2</v>
      </c>
      <c r="I52" s="93">
        <v>9</v>
      </c>
      <c r="J52" s="83"/>
      <c r="K52" s="83"/>
      <c r="L52" s="12"/>
      <c r="M52" s="13"/>
      <c r="N52" s="14"/>
      <c r="O52" s="11"/>
      <c r="P52" s="15"/>
      <c r="Q52" s="16"/>
      <c r="R52" s="2"/>
      <c r="S52" s="12"/>
      <c r="T52" s="17"/>
      <c r="U52" s="2"/>
      <c r="V52" s="18"/>
      <c r="W52" s="8"/>
      <c r="Y52" s="149" t="s">
        <v>66</v>
      </c>
      <c r="Z52" s="152">
        <f t="shared" si="1"/>
        <v>0</v>
      </c>
    </row>
    <row r="53" spans="2:26" ht="18" x14ac:dyDescent="0.35">
      <c r="B53" s="95"/>
      <c r="C53" s="96"/>
      <c r="D53" s="97"/>
      <c r="E53" s="98"/>
      <c r="F53" s="90">
        <v>2</v>
      </c>
      <c r="G53" s="91" t="s">
        <v>90</v>
      </c>
      <c r="H53" s="92">
        <v>83</v>
      </c>
      <c r="I53" s="93">
        <v>166</v>
      </c>
      <c r="J53" s="83"/>
      <c r="K53" s="83"/>
      <c r="L53" s="12"/>
      <c r="M53" s="13"/>
      <c r="N53" s="14"/>
      <c r="O53" s="11"/>
      <c r="P53" s="15"/>
      <c r="Q53" s="16"/>
      <c r="R53" s="2"/>
      <c r="S53" s="12"/>
      <c r="T53" s="17"/>
      <c r="U53" s="2"/>
      <c r="V53" s="18"/>
      <c r="W53" s="8"/>
      <c r="Y53" s="149" t="s">
        <v>100</v>
      </c>
      <c r="Z53" s="152">
        <f t="shared" si="1"/>
        <v>0</v>
      </c>
    </row>
    <row r="54" spans="2:26" ht="18" x14ac:dyDescent="0.35">
      <c r="B54" s="95"/>
      <c r="C54" s="96"/>
      <c r="D54" s="97"/>
      <c r="E54" s="98"/>
      <c r="F54" s="90">
        <v>70</v>
      </c>
      <c r="G54" s="91" t="s">
        <v>83</v>
      </c>
      <c r="H54" s="92">
        <v>15</v>
      </c>
      <c r="I54" s="93">
        <v>1050</v>
      </c>
      <c r="J54" s="83"/>
      <c r="K54" s="83"/>
      <c r="L54" s="12"/>
      <c r="M54" s="13"/>
      <c r="N54" s="14"/>
      <c r="O54" s="11"/>
      <c r="P54" s="15"/>
      <c r="Q54" s="16"/>
      <c r="R54" s="2"/>
      <c r="S54" s="12"/>
      <c r="T54" s="17"/>
      <c r="U54" s="2"/>
      <c r="V54" s="18"/>
      <c r="W54" s="8"/>
      <c r="Y54" s="149" t="s">
        <v>101</v>
      </c>
      <c r="Z54" s="152">
        <f t="shared" si="1"/>
        <v>0</v>
      </c>
    </row>
    <row r="55" spans="2:26" ht="18" x14ac:dyDescent="0.35">
      <c r="B55" s="95"/>
      <c r="C55" s="96"/>
      <c r="D55" s="97"/>
      <c r="E55" s="98"/>
      <c r="F55" s="90">
        <v>0.2</v>
      </c>
      <c r="G55" s="91" t="s">
        <v>84</v>
      </c>
      <c r="H55" s="92">
        <v>5</v>
      </c>
      <c r="I55" s="93">
        <v>1</v>
      </c>
      <c r="J55" s="83"/>
      <c r="K55" s="83"/>
      <c r="L55" s="12"/>
      <c r="M55" s="13"/>
      <c r="N55" s="14"/>
      <c r="O55" s="11"/>
      <c r="P55" s="15"/>
      <c r="Q55" s="16"/>
      <c r="R55" s="2"/>
      <c r="S55" s="12"/>
      <c r="T55" s="17"/>
      <c r="U55" s="2"/>
      <c r="V55" s="18"/>
      <c r="W55" s="8"/>
      <c r="Y55" s="149" t="s">
        <v>102</v>
      </c>
      <c r="Z55" s="152">
        <f t="shared" si="1"/>
        <v>0</v>
      </c>
    </row>
    <row r="56" spans="2:26" ht="18" x14ac:dyDescent="0.35">
      <c r="B56" s="95"/>
      <c r="C56" s="96"/>
      <c r="D56" s="97"/>
      <c r="E56" s="98"/>
      <c r="F56" s="90">
        <v>2</v>
      </c>
      <c r="G56" s="91" t="s">
        <v>48</v>
      </c>
      <c r="H56" s="92">
        <v>6</v>
      </c>
      <c r="I56" s="93">
        <v>12</v>
      </c>
      <c r="J56" s="83"/>
      <c r="K56" s="83"/>
      <c r="L56" s="12"/>
      <c r="M56" s="13"/>
      <c r="N56" s="14"/>
      <c r="O56" s="11"/>
      <c r="P56" s="15"/>
      <c r="Q56" s="16"/>
      <c r="R56" s="2"/>
      <c r="S56" s="12"/>
      <c r="T56" s="17"/>
      <c r="U56" s="2"/>
      <c r="V56" s="18"/>
      <c r="W56" s="8"/>
      <c r="Y56" s="149" t="s">
        <v>26</v>
      </c>
      <c r="Z56" s="152">
        <f t="shared" si="1"/>
        <v>0</v>
      </c>
    </row>
    <row r="57" spans="2:26" ht="18" x14ac:dyDescent="0.35">
      <c r="B57" s="95"/>
      <c r="C57" s="96"/>
      <c r="D57" s="97"/>
      <c r="E57" s="98"/>
      <c r="F57" s="90">
        <v>0.2</v>
      </c>
      <c r="G57" s="91" t="s">
        <v>90</v>
      </c>
      <c r="H57" s="92">
        <v>83</v>
      </c>
      <c r="I57" s="93">
        <v>16.600000000000001</v>
      </c>
      <c r="J57" s="83"/>
      <c r="K57" s="83"/>
      <c r="L57" s="12"/>
      <c r="M57" s="13"/>
      <c r="N57" s="14"/>
      <c r="O57" s="11"/>
      <c r="P57" s="15"/>
      <c r="Q57" s="16"/>
      <c r="R57" s="2"/>
      <c r="S57" s="12"/>
      <c r="T57" s="17"/>
      <c r="U57" s="2"/>
      <c r="V57" s="18"/>
      <c r="W57" s="8"/>
      <c r="Y57" s="149" t="s">
        <v>27</v>
      </c>
      <c r="Z57" s="152">
        <f t="shared" si="1"/>
        <v>0</v>
      </c>
    </row>
    <row r="58" spans="2:26" ht="18" x14ac:dyDescent="0.35">
      <c r="B58" s="95"/>
      <c r="C58" s="96"/>
      <c r="D58" s="97"/>
      <c r="E58" s="98"/>
      <c r="F58" s="90">
        <v>1</v>
      </c>
      <c r="G58" s="91" t="s">
        <v>94</v>
      </c>
      <c r="H58" s="92">
        <v>10</v>
      </c>
      <c r="I58" s="93">
        <v>10</v>
      </c>
      <c r="J58" s="83"/>
      <c r="K58" s="83"/>
      <c r="L58" s="12"/>
      <c r="M58" s="13"/>
      <c r="N58" s="14"/>
      <c r="O58" s="11"/>
      <c r="P58" s="15"/>
      <c r="Q58" s="16"/>
      <c r="R58" s="2"/>
      <c r="S58" s="12"/>
      <c r="T58" s="17"/>
      <c r="U58" s="2"/>
      <c r="V58" s="18"/>
      <c r="W58" s="8"/>
      <c r="Y58" s="149" t="s">
        <v>28</v>
      </c>
      <c r="Z58" s="152">
        <f t="shared" si="1"/>
        <v>0</v>
      </c>
    </row>
    <row r="59" spans="2:26" ht="18" x14ac:dyDescent="0.35">
      <c r="B59" s="95"/>
      <c r="C59" s="96"/>
      <c r="D59" s="97"/>
      <c r="E59" s="98"/>
      <c r="F59" s="90">
        <v>7.5</v>
      </c>
      <c r="G59" s="91" t="s">
        <v>18</v>
      </c>
      <c r="H59" s="92">
        <v>10</v>
      </c>
      <c r="I59" s="93">
        <v>75</v>
      </c>
      <c r="J59" s="83"/>
      <c r="K59" s="83"/>
      <c r="L59" s="12"/>
      <c r="M59" s="13"/>
      <c r="N59" s="14"/>
      <c r="O59" s="11"/>
      <c r="P59" s="15"/>
      <c r="Q59" s="16"/>
      <c r="R59" s="2"/>
      <c r="S59" s="12"/>
      <c r="T59" s="17"/>
      <c r="U59" s="2"/>
      <c r="V59" s="18"/>
      <c r="W59" s="8"/>
      <c r="Y59" s="149" t="s">
        <v>29</v>
      </c>
      <c r="Z59" s="152">
        <f t="shared" si="1"/>
        <v>0</v>
      </c>
    </row>
    <row r="60" spans="2:26" ht="18" x14ac:dyDescent="0.35">
      <c r="B60" s="95"/>
      <c r="C60" s="96"/>
      <c r="D60" s="97"/>
      <c r="E60" s="98"/>
      <c r="F60" s="90">
        <v>0.6</v>
      </c>
      <c r="G60" s="91" t="s">
        <v>92</v>
      </c>
      <c r="H60" s="92">
        <v>68</v>
      </c>
      <c r="I60" s="93">
        <v>40.799999999999997</v>
      </c>
      <c r="J60" s="83"/>
      <c r="K60" s="83"/>
      <c r="L60" s="12"/>
      <c r="M60" s="13"/>
      <c r="N60" s="14"/>
      <c r="O60" s="11"/>
      <c r="P60" s="15"/>
      <c r="Q60" s="16"/>
      <c r="R60" s="2"/>
      <c r="S60" s="12"/>
      <c r="T60" s="17"/>
      <c r="U60" s="2"/>
      <c r="V60" s="18"/>
      <c r="W60" s="8"/>
      <c r="Y60" s="149" t="s">
        <v>34</v>
      </c>
      <c r="Z60" s="152">
        <f t="shared" si="1"/>
        <v>0</v>
      </c>
    </row>
    <row r="61" spans="2:26" ht="18" x14ac:dyDescent="0.35">
      <c r="B61" s="95"/>
      <c r="C61" s="96"/>
      <c r="D61" s="97"/>
      <c r="E61" s="98"/>
      <c r="F61" s="90">
        <v>6.8</v>
      </c>
      <c r="G61" s="91" t="s">
        <v>90</v>
      </c>
      <c r="H61" s="92">
        <v>83</v>
      </c>
      <c r="I61" s="93">
        <v>564.4</v>
      </c>
      <c r="J61" s="83"/>
      <c r="K61" s="83"/>
      <c r="L61" s="12"/>
      <c r="M61" s="13"/>
      <c r="N61" s="14"/>
      <c r="O61" s="11"/>
      <c r="P61" s="15"/>
      <c r="Q61" s="16"/>
      <c r="R61" s="2"/>
      <c r="S61" s="12"/>
      <c r="T61" s="17"/>
      <c r="U61" s="2"/>
      <c r="V61" s="18"/>
      <c r="W61" s="8"/>
      <c r="Y61" s="149" t="s">
        <v>35</v>
      </c>
      <c r="Z61" s="152">
        <f t="shared" si="1"/>
        <v>0</v>
      </c>
    </row>
    <row r="62" spans="2:26" ht="18" x14ac:dyDescent="0.35">
      <c r="B62" s="95"/>
      <c r="C62" s="96"/>
      <c r="D62" s="97"/>
      <c r="E62" s="98"/>
      <c r="F62" s="90">
        <v>9.5</v>
      </c>
      <c r="G62" s="91" t="s">
        <v>22</v>
      </c>
      <c r="H62" s="92">
        <v>88</v>
      </c>
      <c r="I62" s="93">
        <v>836</v>
      </c>
      <c r="J62" s="83"/>
      <c r="K62" s="83"/>
      <c r="L62" s="12"/>
      <c r="M62" s="13"/>
      <c r="N62" s="14"/>
      <c r="O62" s="11"/>
      <c r="P62" s="15"/>
      <c r="Q62" s="16"/>
      <c r="R62" s="2"/>
      <c r="S62" s="12"/>
      <c r="T62" s="17"/>
      <c r="U62" s="2"/>
      <c r="V62" s="18"/>
      <c r="W62" s="8"/>
      <c r="Y62" s="149" t="s">
        <v>36</v>
      </c>
      <c r="Z62" s="152">
        <f t="shared" si="1"/>
        <v>0</v>
      </c>
    </row>
    <row r="63" spans="2:26" ht="18" x14ac:dyDescent="0.35">
      <c r="B63" s="95"/>
      <c r="C63" s="96"/>
      <c r="D63" s="97"/>
      <c r="E63" s="98"/>
      <c r="F63" s="90">
        <v>1</v>
      </c>
      <c r="G63" s="91" t="s">
        <v>18</v>
      </c>
      <c r="H63" s="92">
        <v>10</v>
      </c>
      <c r="I63" s="93">
        <v>10</v>
      </c>
      <c r="J63" s="83"/>
      <c r="K63" s="83"/>
      <c r="L63" s="12"/>
      <c r="M63" s="13"/>
      <c r="N63" s="14"/>
      <c r="O63" s="11"/>
      <c r="P63" s="15"/>
      <c r="Q63" s="16"/>
      <c r="R63" s="2"/>
      <c r="S63" s="12"/>
      <c r="T63" s="17"/>
      <c r="U63" s="2"/>
      <c r="V63" s="18"/>
      <c r="W63" s="8"/>
      <c r="Y63" s="149" t="s">
        <v>37</v>
      </c>
      <c r="Z63" s="152">
        <f t="shared" si="1"/>
        <v>0</v>
      </c>
    </row>
    <row r="64" spans="2:26" ht="18" x14ac:dyDescent="0.35">
      <c r="B64" s="95"/>
      <c r="C64" s="96"/>
      <c r="D64" s="97"/>
      <c r="E64" s="98"/>
      <c r="F64" s="90">
        <v>0.5</v>
      </c>
      <c r="G64" s="91" t="s">
        <v>90</v>
      </c>
      <c r="H64" s="92">
        <v>83</v>
      </c>
      <c r="I64" s="93">
        <v>41.5</v>
      </c>
      <c r="J64" s="83"/>
      <c r="K64" s="83"/>
      <c r="L64" s="12"/>
      <c r="M64" s="13"/>
      <c r="N64" s="14"/>
      <c r="O64" s="11"/>
      <c r="P64" s="15"/>
      <c r="Q64" s="16"/>
      <c r="R64" s="2"/>
      <c r="S64" s="12"/>
      <c r="T64" s="17"/>
      <c r="U64" s="2"/>
      <c r="V64" s="18"/>
      <c r="W64" s="8"/>
      <c r="Y64" s="149" t="s">
        <v>38</v>
      </c>
      <c r="Z64" s="152">
        <f t="shared" si="1"/>
        <v>0</v>
      </c>
    </row>
    <row r="65" spans="2:26" ht="18" x14ac:dyDescent="0.35">
      <c r="B65" s="95"/>
      <c r="C65" s="96"/>
      <c r="D65" s="97"/>
      <c r="E65" s="98"/>
      <c r="F65" s="99">
        <v>1</v>
      </c>
      <c r="G65" s="100" t="s">
        <v>90</v>
      </c>
      <c r="H65" s="101">
        <v>83</v>
      </c>
      <c r="I65" s="102">
        <v>83</v>
      </c>
      <c r="J65" s="83"/>
      <c r="K65" s="83"/>
      <c r="L65" s="12"/>
      <c r="M65" s="13"/>
      <c r="N65" s="14"/>
      <c r="O65" s="11"/>
      <c r="P65" s="15"/>
      <c r="Q65" s="16"/>
      <c r="R65" s="2"/>
      <c r="S65" s="12"/>
      <c r="T65" s="17"/>
      <c r="U65" s="2"/>
      <c r="V65" s="18"/>
      <c r="W65" s="8"/>
      <c r="Y65" s="149" t="s">
        <v>40</v>
      </c>
      <c r="Z65" s="152">
        <f t="shared" si="1"/>
        <v>0</v>
      </c>
    </row>
    <row r="66" spans="2:26" ht="18" x14ac:dyDescent="0.35">
      <c r="B66" s="95"/>
      <c r="C66" s="96"/>
      <c r="D66" s="97"/>
      <c r="E66" s="98"/>
      <c r="F66" s="90">
        <v>2</v>
      </c>
      <c r="G66" s="91" t="s">
        <v>23</v>
      </c>
      <c r="H66" s="92">
        <v>50</v>
      </c>
      <c r="I66" s="93">
        <v>100</v>
      </c>
      <c r="J66" s="83"/>
      <c r="K66" s="83"/>
      <c r="L66" s="12"/>
      <c r="M66" s="13"/>
      <c r="N66" s="14"/>
      <c r="O66" s="11"/>
      <c r="P66" s="15"/>
      <c r="Q66" s="16"/>
      <c r="R66" s="2"/>
      <c r="S66" s="12"/>
      <c r="T66" s="17"/>
      <c r="U66" s="2"/>
      <c r="V66" s="18"/>
      <c r="W66" s="8"/>
      <c r="Y66" s="149" t="s">
        <v>41</v>
      </c>
      <c r="Z66" s="152">
        <f t="shared" si="1"/>
        <v>0</v>
      </c>
    </row>
    <row r="67" spans="2:26" ht="18" x14ac:dyDescent="0.35">
      <c r="B67" s="95"/>
      <c r="C67" s="96"/>
      <c r="D67" s="97"/>
      <c r="E67" s="98"/>
      <c r="F67" s="103">
        <v>1</v>
      </c>
      <c r="G67" s="94" t="s">
        <v>90</v>
      </c>
      <c r="H67" s="104">
        <v>83</v>
      </c>
      <c r="I67" s="105">
        <v>83</v>
      </c>
      <c r="J67" s="83"/>
      <c r="K67" s="83"/>
      <c r="L67" s="12"/>
      <c r="M67" s="13"/>
      <c r="N67" s="14"/>
      <c r="O67" s="11"/>
      <c r="P67" s="15"/>
      <c r="Q67" s="16"/>
      <c r="R67" s="2"/>
      <c r="S67" s="12"/>
      <c r="T67" s="17"/>
      <c r="U67" s="2"/>
      <c r="V67" s="18"/>
      <c r="W67" s="8"/>
      <c r="Y67" s="149" t="s">
        <v>69</v>
      </c>
      <c r="Z67" s="152">
        <f t="shared" si="1"/>
        <v>0</v>
      </c>
    </row>
    <row r="68" spans="2:26" ht="18" x14ac:dyDescent="0.35">
      <c r="B68" s="95"/>
      <c r="C68" s="96"/>
      <c r="D68" s="97"/>
      <c r="E68" s="98"/>
      <c r="F68" s="90">
        <v>2.4</v>
      </c>
      <c r="G68" s="91" t="s">
        <v>23</v>
      </c>
      <c r="H68" s="92">
        <v>50</v>
      </c>
      <c r="I68" s="105">
        <v>120</v>
      </c>
      <c r="J68" s="83"/>
      <c r="K68" s="83"/>
      <c r="L68" s="12"/>
      <c r="M68" s="13"/>
      <c r="N68" s="14"/>
      <c r="O68" s="11"/>
      <c r="P68" s="15"/>
      <c r="Q68" s="16"/>
      <c r="R68" s="2"/>
      <c r="S68" s="12"/>
      <c r="T68" s="17"/>
      <c r="U68" s="2"/>
      <c r="V68" s="18"/>
      <c r="W68" s="8"/>
      <c r="Y68" s="149" t="s">
        <v>108</v>
      </c>
      <c r="Z68" s="152">
        <f t="shared" si="1"/>
        <v>0</v>
      </c>
    </row>
    <row r="69" spans="2:26" ht="18" x14ac:dyDescent="0.35">
      <c r="B69" s="95"/>
      <c r="C69" s="96"/>
      <c r="D69" s="97"/>
      <c r="E69" s="98"/>
      <c r="F69" s="90">
        <v>5</v>
      </c>
      <c r="G69" s="91" t="s">
        <v>90</v>
      </c>
      <c r="H69" s="92">
        <v>83</v>
      </c>
      <c r="I69" s="105">
        <v>415</v>
      </c>
      <c r="J69" s="83"/>
      <c r="K69" s="83"/>
      <c r="L69" s="12"/>
      <c r="M69" s="13"/>
      <c r="N69" s="14"/>
      <c r="O69" s="11"/>
      <c r="P69" s="15"/>
      <c r="Q69" s="16"/>
      <c r="R69" s="2"/>
      <c r="S69" s="12"/>
      <c r="T69" s="17"/>
      <c r="U69" s="2"/>
      <c r="V69" s="18"/>
      <c r="W69" s="8"/>
      <c r="Y69" s="149" t="s">
        <v>44</v>
      </c>
      <c r="Z69" s="152">
        <f t="shared" si="1"/>
        <v>0</v>
      </c>
    </row>
    <row r="70" spans="2:26" ht="18" x14ac:dyDescent="0.35">
      <c r="B70" s="95"/>
      <c r="C70" s="96"/>
      <c r="D70" s="97"/>
      <c r="E70" s="98"/>
      <c r="F70" s="90">
        <v>1.5</v>
      </c>
      <c r="G70" s="91" t="s">
        <v>90</v>
      </c>
      <c r="H70" s="92">
        <v>83</v>
      </c>
      <c r="I70" s="105">
        <v>124.5</v>
      </c>
      <c r="J70" s="83"/>
      <c r="K70" s="83"/>
      <c r="L70" s="12"/>
      <c r="M70" s="13"/>
      <c r="N70" s="14"/>
      <c r="O70" s="11"/>
      <c r="P70" s="15"/>
      <c r="Q70" s="16"/>
      <c r="R70" s="2"/>
      <c r="S70" s="12"/>
      <c r="T70" s="17"/>
      <c r="U70" s="2"/>
      <c r="V70" s="18"/>
      <c r="W70" s="8"/>
      <c r="Y70" s="149" t="s">
        <v>45</v>
      </c>
      <c r="Z70" s="152">
        <f t="shared" si="1"/>
        <v>0</v>
      </c>
    </row>
    <row r="71" spans="2:26" ht="18" x14ac:dyDescent="0.35">
      <c r="B71" s="95"/>
      <c r="C71" s="96"/>
      <c r="D71" s="97"/>
      <c r="E71" s="98"/>
      <c r="F71" s="90"/>
      <c r="G71" s="91"/>
      <c r="H71" s="92"/>
      <c r="I71" s="105"/>
      <c r="J71" s="83"/>
      <c r="K71" s="83"/>
      <c r="L71" s="12"/>
      <c r="M71" s="13"/>
      <c r="N71" s="14"/>
      <c r="O71" s="11"/>
      <c r="P71" s="15"/>
      <c r="Q71" s="16"/>
      <c r="R71" s="2"/>
      <c r="S71" s="12"/>
      <c r="T71" s="17"/>
      <c r="U71" s="2"/>
      <c r="V71" s="18"/>
      <c r="W71" s="8"/>
      <c r="Y71" s="149" t="s">
        <v>49</v>
      </c>
      <c r="Z71" s="152">
        <f t="shared" si="1"/>
        <v>0</v>
      </c>
    </row>
    <row r="72" spans="2:26" ht="18" x14ac:dyDescent="0.35">
      <c r="B72" s="106"/>
      <c r="C72" s="107"/>
      <c r="D72" s="108"/>
      <c r="E72" s="109"/>
      <c r="F72" s="90"/>
      <c r="G72" s="91"/>
      <c r="H72" s="92"/>
      <c r="I72" s="105"/>
      <c r="J72" s="83"/>
      <c r="K72" s="83"/>
      <c r="L72" s="12"/>
      <c r="M72" s="13"/>
      <c r="N72" s="14"/>
      <c r="O72" s="11"/>
      <c r="P72" s="15"/>
      <c r="Q72" s="16"/>
      <c r="R72" s="2"/>
      <c r="S72" s="12"/>
      <c r="T72" s="17"/>
      <c r="U72" s="2"/>
      <c r="V72" s="18"/>
      <c r="W72" s="8"/>
      <c r="Y72" s="149" t="s">
        <v>50</v>
      </c>
      <c r="Z72" s="152">
        <f t="shared" si="1"/>
        <v>0</v>
      </c>
    </row>
    <row r="73" spans="2:26" ht="18" x14ac:dyDescent="0.35">
      <c r="B73" s="95"/>
      <c r="C73" s="96"/>
      <c r="D73" s="97"/>
      <c r="E73" s="98"/>
      <c r="F73" s="90"/>
      <c r="G73" s="91"/>
      <c r="H73" s="92"/>
      <c r="I73" s="105"/>
      <c r="J73" s="83"/>
      <c r="K73" s="83"/>
      <c r="L73" s="20"/>
      <c r="M73" s="21"/>
      <c r="N73" s="22"/>
      <c r="O73" s="19"/>
      <c r="P73" s="23"/>
      <c r="Q73" s="24"/>
      <c r="R73" s="2"/>
      <c r="S73" s="20"/>
      <c r="T73" s="25"/>
      <c r="U73" s="2"/>
      <c r="V73" s="26"/>
      <c r="W73" s="27"/>
      <c r="Y73" s="149" t="s">
        <v>51</v>
      </c>
      <c r="Z73" s="152">
        <f t="shared" si="1"/>
        <v>0</v>
      </c>
    </row>
    <row r="74" spans="2:26" ht="18" x14ac:dyDescent="0.35">
      <c r="B74" s="110"/>
      <c r="C74" s="111"/>
      <c r="D74" s="112"/>
      <c r="E74" s="113"/>
      <c r="F74" s="90"/>
      <c r="G74" s="91"/>
      <c r="H74" s="92"/>
      <c r="I74" s="105"/>
      <c r="J74" s="83"/>
      <c r="K74" s="83"/>
      <c r="L74" s="12"/>
      <c r="M74" s="28"/>
      <c r="N74" s="14"/>
      <c r="O74" s="11"/>
      <c r="P74" s="11"/>
      <c r="Q74" s="16"/>
      <c r="R74" s="2"/>
      <c r="S74" s="12"/>
      <c r="T74" s="17"/>
      <c r="U74" s="2"/>
      <c r="V74" s="18"/>
      <c r="W74" s="16"/>
      <c r="Y74" s="149" t="s">
        <v>52</v>
      </c>
      <c r="Z74" s="152">
        <f t="shared" si="1"/>
        <v>0</v>
      </c>
    </row>
    <row r="75" spans="2:26" ht="18" x14ac:dyDescent="0.35">
      <c r="B75" s="95"/>
      <c r="C75" s="96"/>
      <c r="D75" s="97"/>
      <c r="E75" s="113"/>
      <c r="F75" s="90"/>
      <c r="G75" s="91"/>
      <c r="H75" s="92"/>
      <c r="I75" s="105"/>
      <c r="J75" s="83"/>
      <c r="K75" s="83"/>
      <c r="L75" s="12"/>
      <c r="M75" s="28"/>
      <c r="N75" s="14"/>
      <c r="O75" s="11"/>
      <c r="P75" s="11"/>
      <c r="Q75" s="16"/>
      <c r="R75" s="2"/>
      <c r="S75" s="12"/>
      <c r="T75" s="17"/>
      <c r="U75" s="2"/>
      <c r="V75" s="18"/>
      <c r="W75" s="16"/>
      <c r="Y75" s="149" t="s">
        <v>72</v>
      </c>
      <c r="Z75" s="152">
        <f t="shared" si="1"/>
        <v>0</v>
      </c>
    </row>
    <row r="76" spans="2:26" ht="18" x14ac:dyDescent="0.35">
      <c r="B76" s="95"/>
      <c r="C76" s="96"/>
      <c r="D76" s="97"/>
      <c r="E76" s="113"/>
      <c r="F76" s="90"/>
      <c r="G76" s="91"/>
      <c r="H76" s="92"/>
      <c r="I76" s="105"/>
      <c r="J76" s="83"/>
      <c r="K76" s="83"/>
      <c r="L76" s="12"/>
      <c r="M76" s="28"/>
      <c r="N76" s="14"/>
      <c r="O76" s="11"/>
      <c r="P76" s="11"/>
      <c r="Q76" s="16"/>
      <c r="R76" s="2"/>
      <c r="S76" s="12"/>
      <c r="T76" s="17"/>
      <c r="U76" s="2"/>
      <c r="V76" s="18"/>
      <c r="W76" s="16"/>
      <c r="Y76" s="149" t="s">
        <v>71</v>
      </c>
      <c r="Z76" s="152">
        <f t="shared" si="1"/>
        <v>0</v>
      </c>
    </row>
    <row r="77" spans="2:26" ht="18" x14ac:dyDescent="0.35">
      <c r="B77" s="95"/>
      <c r="C77" s="96"/>
      <c r="D77" s="97"/>
      <c r="E77" s="113"/>
      <c r="F77" s="90"/>
      <c r="G77" s="91"/>
      <c r="H77" s="92"/>
      <c r="I77" s="105"/>
      <c r="J77" s="83"/>
      <c r="K77" s="83"/>
      <c r="L77" s="12"/>
      <c r="M77" s="28"/>
      <c r="N77" s="14"/>
      <c r="O77" s="11"/>
      <c r="P77" s="11"/>
      <c r="Q77" s="16"/>
      <c r="R77" s="2"/>
      <c r="S77" s="12"/>
      <c r="T77" s="17"/>
      <c r="U77" s="2"/>
      <c r="V77" s="18"/>
      <c r="W77" s="16"/>
      <c r="Y77" s="149" t="s">
        <v>53</v>
      </c>
      <c r="Z77" s="152">
        <f t="shared" ref="Z77:Z79" si="2">SUMIF($G$9:$G$129, Y77, $F$9:$F$129)</f>
        <v>0</v>
      </c>
    </row>
    <row r="78" spans="2:26" ht="18" x14ac:dyDescent="0.35">
      <c r="B78" s="95"/>
      <c r="C78" s="96"/>
      <c r="D78" s="97"/>
      <c r="E78" s="113"/>
      <c r="F78" s="90"/>
      <c r="G78" s="91"/>
      <c r="H78" s="92"/>
      <c r="I78" s="105"/>
      <c r="J78" s="83"/>
      <c r="K78" s="83"/>
      <c r="L78" s="12"/>
      <c r="M78" s="28"/>
      <c r="N78" s="14"/>
      <c r="O78" s="11"/>
      <c r="P78" s="11"/>
      <c r="Q78" s="16"/>
      <c r="R78" s="2"/>
      <c r="S78" s="12"/>
      <c r="T78" s="17"/>
      <c r="U78" s="2"/>
      <c r="V78" s="18"/>
      <c r="W78" s="16"/>
      <c r="Y78" s="149" t="s">
        <v>54</v>
      </c>
      <c r="Z78" s="152">
        <f t="shared" si="2"/>
        <v>0</v>
      </c>
    </row>
    <row r="79" spans="2:26" ht="18.600000000000001" thickBot="1" x14ac:dyDescent="0.4">
      <c r="B79" s="95"/>
      <c r="C79" s="96"/>
      <c r="D79" s="97"/>
      <c r="E79" s="113"/>
      <c r="F79" s="90"/>
      <c r="G79" s="91"/>
      <c r="H79" s="92"/>
      <c r="I79" s="105"/>
      <c r="J79" s="83"/>
      <c r="K79" s="83"/>
      <c r="L79" s="12"/>
      <c r="M79" s="28"/>
      <c r="N79" s="14"/>
      <c r="O79" s="11"/>
      <c r="P79" s="11"/>
      <c r="Q79" s="16"/>
      <c r="R79" s="2"/>
      <c r="S79" s="12"/>
      <c r="T79" s="17"/>
      <c r="U79" s="2"/>
      <c r="V79" s="18"/>
      <c r="W79" s="16"/>
      <c r="Y79" s="150" t="s">
        <v>55</v>
      </c>
      <c r="Z79" s="153">
        <f t="shared" si="2"/>
        <v>0</v>
      </c>
    </row>
    <row r="80" spans="2:26" ht="18" x14ac:dyDescent="0.35">
      <c r="B80" s="95"/>
      <c r="C80" s="96"/>
      <c r="D80" s="97"/>
      <c r="E80" s="113"/>
      <c r="F80" s="90"/>
      <c r="G80" s="91"/>
      <c r="H80" s="92"/>
      <c r="I80" s="105"/>
      <c r="J80" s="83"/>
      <c r="K80" s="83"/>
      <c r="L80" s="12"/>
      <c r="M80" s="28"/>
      <c r="N80" s="14"/>
      <c r="O80" s="11"/>
      <c r="P80" s="11"/>
      <c r="Q80" s="16"/>
      <c r="R80" s="2"/>
      <c r="S80" s="12"/>
      <c r="T80" s="17"/>
      <c r="U80" s="2"/>
      <c r="V80" s="18"/>
      <c r="W80" s="16"/>
    </row>
    <row r="81" spans="2:23" ht="18" x14ac:dyDescent="0.35">
      <c r="B81" s="95"/>
      <c r="C81" s="96"/>
      <c r="D81" s="97"/>
      <c r="E81" s="113"/>
      <c r="F81" s="90"/>
      <c r="G81" s="91"/>
      <c r="H81" s="92"/>
      <c r="I81" s="105"/>
      <c r="J81" s="83"/>
      <c r="K81" s="83"/>
      <c r="L81" s="12"/>
      <c r="M81" s="28"/>
      <c r="N81" s="14"/>
      <c r="O81" s="11"/>
      <c r="P81" s="11"/>
      <c r="Q81" s="16"/>
      <c r="R81" s="2"/>
      <c r="S81" s="12"/>
      <c r="T81" s="17"/>
      <c r="U81" s="2"/>
      <c r="V81" s="18"/>
      <c r="W81" s="16"/>
    </row>
    <row r="82" spans="2:23" ht="18" x14ac:dyDescent="0.35">
      <c r="B82" s="95"/>
      <c r="C82" s="96"/>
      <c r="D82" s="97"/>
      <c r="E82" s="113"/>
      <c r="F82" s="90"/>
      <c r="G82" s="91"/>
      <c r="H82" s="92"/>
      <c r="I82" s="105"/>
      <c r="J82" s="83"/>
      <c r="K82" s="83"/>
      <c r="L82" s="12"/>
      <c r="M82" s="28"/>
      <c r="N82" s="14"/>
      <c r="O82" s="11"/>
      <c r="P82" s="11"/>
      <c r="Q82" s="16"/>
      <c r="R82" s="2"/>
      <c r="S82" s="12"/>
      <c r="T82" s="17"/>
      <c r="U82" s="2"/>
      <c r="V82" s="18"/>
      <c r="W82" s="16"/>
    </row>
    <row r="83" spans="2:23" ht="18" x14ac:dyDescent="0.35">
      <c r="B83" s="95"/>
      <c r="C83" s="96"/>
      <c r="D83" s="97"/>
      <c r="E83" s="113"/>
      <c r="F83" s="90"/>
      <c r="G83" s="91"/>
      <c r="H83" s="92"/>
      <c r="I83" s="105"/>
      <c r="J83" s="83"/>
      <c r="K83" s="83"/>
      <c r="L83" s="12"/>
      <c r="M83" s="28"/>
      <c r="N83" s="14"/>
      <c r="O83" s="11"/>
      <c r="P83" s="11"/>
      <c r="Q83" s="16"/>
      <c r="R83" s="2"/>
      <c r="S83" s="12"/>
      <c r="T83" s="17"/>
      <c r="U83" s="2"/>
      <c r="V83" s="18"/>
      <c r="W83" s="16"/>
    </row>
    <row r="84" spans="2:23" ht="18" x14ac:dyDescent="0.35">
      <c r="B84" s="95"/>
      <c r="C84" s="96"/>
      <c r="D84" s="97"/>
      <c r="E84" s="113"/>
      <c r="F84" s="90"/>
      <c r="G84" s="91"/>
      <c r="H84" s="92"/>
      <c r="I84" s="105"/>
      <c r="J84" s="83"/>
      <c r="K84" s="83"/>
      <c r="L84" s="12"/>
      <c r="M84" s="28"/>
      <c r="N84" s="14"/>
      <c r="O84" s="11"/>
      <c r="P84" s="11"/>
      <c r="Q84" s="16"/>
      <c r="R84" s="2"/>
      <c r="S84" s="12"/>
      <c r="T84" s="17"/>
      <c r="U84" s="2"/>
      <c r="V84" s="18"/>
      <c r="W84" s="16"/>
    </row>
    <row r="85" spans="2:23" ht="18" x14ac:dyDescent="0.35">
      <c r="B85" s="95"/>
      <c r="C85" s="96"/>
      <c r="D85" s="97"/>
      <c r="E85" s="113"/>
      <c r="F85" s="90"/>
      <c r="G85" s="91"/>
      <c r="H85" s="92"/>
      <c r="I85" s="105"/>
      <c r="J85" s="83"/>
      <c r="K85" s="83"/>
      <c r="L85" s="12"/>
      <c r="M85" s="28"/>
      <c r="N85" s="14"/>
      <c r="O85" s="11"/>
      <c r="P85" s="11"/>
      <c r="Q85" s="16"/>
      <c r="R85" s="2"/>
      <c r="S85" s="12"/>
      <c r="T85" s="17"/>
      <c r="U85" s="2"/>
      <c r="V85" s="18"/>
      <c r="W85" s="16"/>
    </row>
    <row r="86" spans="2:23" ht="18" x14ac:dyDescent="0.35">
      <c r="B86" s="95"/>
      <c r="C86" s="96"/>
      <c r="D86" s="97"/>
      <c r="E86" s="113"/>
      <c r="F86" s="90"/>
      <c r="G86" s="91"/>
      <c r="H86" s="92"/>
      <c r="I86" s="105"/>
      <c r="J86" s="83"/>
      <c r="K86" s="83"/>
      <c r="L86" s="12"/>
      <c r="M86" s="28"/>
      <c r="N86" s="14"/>
      <c r="O86" s="11"/>
      <c r="P86" s="11"/>
      <c r="Q86" s="16"/>
      <c r="R86" s="2"/>
      <c r="S86" s="12"/>
      <c r="T86" s="17"/>
      <c r="U86" s="2"/>
      <c r="V86" s="18"/>
      <c r="W86" s="16"/>
    </row>
    <row r="87" spans="2:23" ht="18" x14ac:dyDescent="0.35">
      <c r="B87" s="95"/>
      <c r="C87" s="96"/>
      <c r="D87" s="97"/>
      <c r="E87" s="113"/>
      <c r="F87" s="90"/>
      <c r="G87" s="91"/>
      <c r="H87" s="92"/>
      <c r="I87" s="105"/>
      <c r="J87" s="83"/>
      <c r="K87" s="83"/>
      <c r="L87" s="12"/>
      <c r="M87" s="28"/>
      <c r="N87" s="14"/>
      <c r="O87" s="11"/>
      <c r="P87" s="11"/>
      <c r="Q87" s="16"/>
      <c r="R87" s="2"/>
      <c r="S87" s="12"/>
      <c r="T87" s="17"/>
      <c r="U87" s="2"/>
      <c r="V87" s="18"/>
      <c r="W87" s="16"/>
    </row>
    <row r="88" spans="2:23" ht="18" x14ac:dyDescent="0.35">
      <c r="B88" s="95"/>
      <c r="C88" s="96"/>
      <c r="D88" s="97"/>
      <c r="E88" s="113"/>
      <c r="F88" s="90"/>
      <c r="G88" s="91"/>
      <c r="H88" s="92"/>
      <c r="I88" s="105"/>
      <c r="J88" s="83"/>
      <c r="K88" s="83"/>
      <c r="L88" s="12"/>
      <c r="M88" s="28"/>
      <c r="N88" s="14"/>
      <c r="O88" s="11"/>
      <c r="P88" s="11"/>
      <c r="Q88" s="16"/>
      <c r="R88" s="2"/>
      <c r="S88" s="12"/>
      <c r="T88" s="17"/>
      <c r="U88" s="2"/>
      <c r="V88" s="18"/>
      <c r="W88" s="16"/>
    </row>
    <row r="89" spans="2:23" ht="18" x14ac:dyDescent="0.35">
      <c r="B89" s="95"/>
      <c r="C89" s="96"/>
      <c r="D89" s="97"/>
      <c r="E89" s="113"/>
      <c r="F89" s="90"/>
      <c r="G89" s="91"/>
      <c r="H89" s="92"/>
      <c r="I89" s="105"/>
      <c r="J89" s="83"/>
      <c r="K89" s="83"/>
      <c r="L89" s="12"/>
      <c r="M89" s="28"/>
      <c r="N89" s="14"/>
      <c r="O89" s="11"/>
      <c r="P89" s="11"/>
      <c r="Q89" s="16"/>
      <c r="R89" s="2"/>
      <c r="S89" s="12"/>
      <c r="T89" s="17"/>
      <c r="U89" s="2"/>
      <c r="V89" s="18"/>
      <c r="W89" s="16"/>
    </row>
    <row r="90" spans="2:23" ht="18" x14ac:dyDescent="0.35">
      <c r="B90" s="95"/>
      <c r="C90" s="96"/>
      <c r="D90" s="97"/>
      <c r="E90" s="113"/>
      <c r="F90" s="90"/>
      <c r="G90" s="91"/>
      <c r="H90" s="92"/>
      <c r="I90" s="105"/>
      <c r="J90" s="83"/>
      <c r="K90" s="83"/>
      <c r="L90" s="12"/>
      <c r="M90" s="28"/>
      <c r="N90" s="14"/>
      <c r="O90" s="11"/>
      <c r="P90" s="11"/>
      <c r="Q90" s="16"/>
      <c r="R90" s="2"/>
      <c r="S90" s="12"/>
      <c r="T90" s="17"/>
      <c r="U90" s="2"/>
      <c r="V90" s="18"/>
      <c r="W90" s="16"/>
    </row>
    <row r="91" spans="2:23" ht="18" x14ac:dyDescent="0.35">
      <c r="B91" s="95"/>
      <c r="C91" s="96"/>
      <c r="D91" s="97"/>
      <c r="E91" s="113"/>
      <c r="F91" s="90"/>
      <c r="G91" s="91"/>
      <c r="H91" s="92"/>
      <c r="I91" s="105"/>
      <c r="J91" s="83"/>
      <c r="K91" s="83"/>
      <c r="L91" s="12"/>
      <c r="M91" s="28"/>
      <c r="N91" s="14"/>
      <c r="O91" s="11"/>
      <c r="P91" s="11"/>
      <c r="Q91" s="16"/>
      <c r="R91" s="2"/>
      <c r="S91" s="12"/>
      <c r="T91" s="17"/>
      <c r="U91" s="2"/>
      <c r="V91" s="18"/>
      <c r="W91" s="16"/>
    </row>
    <row r="92" spans="2:23" ht="18" x14ac:dyDescent="0.35">
      <c r="B92" s="95"/>
      <c r="C92" s="96"/>
      <c r="D92" s="97"/>
      <c r="E92" s="113"/>
      <c r="F92" s="90"/>
      <c r="G92" s="91"/>
      <c r="H92" s="92"/>
      <c r="I92" s="105"/>
      <c r="J92" s="83"/>
      <c r="K92" s="83"/>
      <c r="L92" s="12"/>
      <c r="M92" s="28"/>
      <c r="N92" s="14"/>
      <c r="O92" s="11"/>
      <c r="P92" s="11"/>
      <c r="Q92" s="16"/>
      <c r="R92" s="2"/>
      <c r="S92" s="12"/>
      <c r="T92" s="17"/>
      <c r="U92" s="2"/>
      <c r="V92" s="18"/>
      <c r="W92" s="16"/>
    </row>
    <row r="93" spans="2:23" ht="18" x14ac:dyDescent="0.35">
      <c r="B93" s="95"/>
      <c r="C93" s="96"/>
      <c r="D93" s="97"/>
      <c r="E93" s="113"/>
      <c r="F93" s="90"/>
      <c r="G93" s="91"/>
      <c r="H93" s="92"/>
      <c r="I93" s="105"/>
      <c r="J93" s="83"/>
      <c r="K93" s="83"/>
      <c r="L93" s="12"/>
      <c r="M93" s="28"/>
      <c r="N93" s="14"/>
      <c r="O93" s="11"/>
      <c r="P93" s="11"/>
      <c r="Q93" s="16"/>
      <c r="R93" s="2"/>
      <c r="S93" s="12"/>
      <c r="T93" s="17"/>
      <c r="U93" s="2"/>
      <c r="V93" s="18"/>
      <c r="W93" s="16"/>
    </row>
    <row r="94" spans="2:23" ht="18" x14ac:dyDescent="0.35">
      <c r="B94" s="95"/>
      <c r="C94" s="96"/>
      <c r="D94" s="97"/>
      <c r="E94" s="113"/>
      <c r="F94" s="90"/>
      <c r="G94" s="91"/>
      <c r="H94" s="92"/>
      <c r="I94" s="105"/>
      <c r="J94" s="83"/>
      <c r="K94" s="83"/>
      <c r="L94" s="12"/>
      <c r="M94" s="28"/>
      <c r="N94" s="14"/>
      <c r="O94" s="11"/>
      <c r="P94" s="11"/>
      <c r="Q94" s="16"/>
      <c r="R94" s="2"/>
      <c r="S94" s="12"/>
      <c r="T94" s="17"/>
      <c r="U94" s="2"/>
      <c r="V94" s="18"/>
      <c r="W94" s="16"/>
    </row>
    <row r="95" spans="2:23" ht="18" x14ac:dyDescent="0.35">
      <c r="B95" s="95"/>
      <c r="C95" s="96"/>
      <c r="D95" s="97"/>
      <c r="E95" s="113"/>
      <c r="F95" s="90"/>
      <c r="G95" s="91"/>
      <c r="H95" s="92"/>
      <c r="I95" s="105"/>
      <c r="J95" s="83"/>
      <c r="K95" s="83"/>
      <c r="L95" s="12"/>
      <c r="M95" s="28"/>
      <c r="N95" s="14"/>
      <c r="O95" s="11"/>
      <c r="P95" s="11"/>
      <c r="Q95" s="16"/>
      <c r="R95" s="2"/>
      <c r="S95" s="12"/>
      <c r="T95" s="17"/>
      <c r="U95" s="2"/>
      <c r="V95" s="18"/>
      <c r="W95" s="16"/>
    </row>
    <row r="96" spans="2:23" ht="18" x14ac:dyDescent="0.35">
      <c r="B96" s="95"/>
      <c r="C96" s="96"/>
      <c r="D96" s="97"/>
      <c r="E96" s="113"/>
      <c r="F96" s="90"/>
      <c r="G96" s="91"/>
      <c r="H96" s="92"/>
      <c r="I96" s="105"/>
      <c r="J96" s="83"/>
      <c r="K96" s="83"/>
      <c r="L96" s="12"/>
      <c r="M96" s="28"/>
      <c r="N96" s="14"/>
      <c r="O96" s="11"/>
      <c r="P96" s="11"/>
      <c r="Q96" s="16"/>
      <c r="R96" s="2"/>
      <c r="S96" s="12"/>
      <c r="T96" s="17"/>
      <c r="U96" s="2"/>
      <c r="V96" s="18"/>
      <c r="W96" s="16"/>
    </row>
    <row r="97" spans="2:23" ht="18" x14ac:dyDescent="0.35">
      <c r="B97" s="95"/>
      <c r="C97" s="96"/>
      <c r="D97" s="97"/>
      <c r="E97" s="113"/>
      <c r="F97" s="90"/>
      <c r="G97" s="91"/>
      <c r="H97" s="92"/>
      <c r="I97" s="105"/>
      <c r="J97" s="83"/>
      <c r="K97" s="83"/>
      <c r="L97" s="12"/>
      <c r="M97" s="28"/>
      <c r="N97" s="14"/>
      <c r="O97" s="11"/>
      <c r="P97" s="11"/>
      <c r="Q97" s="16"/>
      <c r="R97" s="2"/>
      <c r="S97" s="12"/>
      <c r="T97" s="17"/>
      <c r="U97" s="2"/>
      <c r="V97" s="18"/>
      <c r="W97" s="16"/>
    </row>
    <row r="98" spans="2:23" ht="18" x14ac:dyDescent="0.35">
      <c r="B98" s="95"/>
      <c r="C98" s="96"/>
      <c r="D98" s="97"/>
      <c r="E98" s="113"/>
      <c r="F98" s="90"/>
      <c r="G98" s="91"/>
      <c r="H98" s="92"/>
      <c r="I98" s="105"/>
      <c r="J98" s="83"/>
      <c r="K98" s="83"/>
      <c r="L98" s="12"/>
      <c r="M98" s="28"/>
      <c r="N98" s="14"/>
      <c r="O98" s="11"/>
      <c r="P98" s="11"/>
      <c r="Q98" s="16"/>
      <c r="R98" s="2"/>
      <c r="S98" s="12"/>
      <c r="T98" s="17"/>
      <c r="U98" s="2"/>
      <c r="V98" s="18"/>
      <c r="W98" s="16"/>
    </row>
    <row r="99" spans="2:23" ht="18" x14ac:dyDescent="0.35">
      <c r="B99" s="95"/>
      <c r="C99" s="96"/>
      <c r="D99" s="97"/>
      <c r="E99" s="113"/>
      <c r="F99" s="90"/>
      <c r="G99" s="91"/>
      <c r="H99" s="92"/>
      <c r="I99" s="105"/>
      <c r="J99" s="83"/>
      <c r="K99" s="83"/>
      <c r="L99" s="12"/>
      <c r="M99" s="28"/>
      <c r="N99" s="14"/>
      <c r="O99" s="11"/>
      <c r="P99" s="11"/>
      <c r="Q99" s="16"/>
      <c r="R99" s="2"/>
      <c r="S99" s="12"/>
      <c r="T99" s="17"/>
      <c r="U99" s="2"/>
      <c r="V99" s="18"/>
      <c r="W99" s="16"/>
    </row>
    <row r="100" spans="2:23" ht="18" x14ac:dyDescent="0.35">
      <c r="B100" s="95"/>
      <c r="C100" s="96"/>
      <c r="D100" s="97"/>
      <c r="E100" s="113"/>
      <c r="F100" s="90"/>
      <c r="G100" s="91"/>
      <c r="H100" s="92"/>
      <c r="I100" s="105"/>
      <c r="J100" s="83"/>
      <c r="K100" s="83"/>
      <c r="L100" s="12"/>
      <c r="M100" s="28"/>
      <c r="N100" s="14"/>
      <c r="O100" s="11"/>
      <c r="P100" s="11"/>
      <c r="Q100" s="16"/>
      <c r="R100" s="2"/>
      <c r="S100" s="12"/>
      <c r="T100" s="17"/>
      <c r="U100" s="2"/>
      <c r="V100" s="18"/>
      <c r="W100" s="16"/>
    </row>
    <row r="101" spans="2:23" ht="18" x14ac:dyDescent="0.35">
      <c r="B101" s="95"/>
      <c r="C101" s="96"/>
      <c r="D101" s="97"/>
      <c r="E101" s="113"/>
      <c r="F101" s="90"/>
      <c r="G101" s="91"/>
      <c r="H101" s="92"/>
      <c r="I101" s="105"/>
      <c r="J101" s="83"/>
      <c r="K101" s="83"/>
      <c r="L101" s="12"/>
      <c r="M101" s="28"/>
      <c r="N101" s="14"/>
      <c r="O101" s="11"/>
      <c r="P101" s="11"/>
      <c r="Q101" s="16"/>
      <c r="R101" s="2"/>
      <c r="S101" s="12"/>
      <c r="T101" s="17"/>
      <c r="U101" s="2"/>
      <c r="V101" s="18"/>
      <c r="W101" s="16"/>
    </row>
    <row r="102" spans="2:23" ht="18" x14ac:dyDescent="0.35">
      <c r="B102" s="95"/>
      <c r="C102" s="96"/>
      <c r="D102" s="97"/>
      <c r="E102" s="113"/>
      <c r="F102" s="90"/>
      <c r="G102" s="91"/>
      <c r="H102" s="92"/>
      <c r="I102" s="105"/>
      <c r="J102" s="83"/>
      <c r="K102" s="83"/>
      <c r="L102" s="12"/>
      <c r="M102" s="28"/>
      <c r="N102" s="14"/>
      <c r="O102" s="11"/>
      <c r="P102" s="11"/>
      <c r="Q102" s="16"/>
      <c r="R102" s="2"/>
      <c r="S102" s="12"/>
      <c r="T102" s="17"/>
      <c r="U102" s="2"/>
      <c r="V102" s="18"/>
      <c r="W102" s="16"/>
    </row>
    <row r="103" spans="2:23" ht="18" x14ac:dyDescent="0.35">
      <c r="B103" s="95"/>
      <c r="C103" s="96"/>
      <c r="D103" s="97"/>
      <c r="E103" s="113"/>
      <c r="F103" s="90"/>
      <c r="G103" s="91"/>
      <c r="H103" s="92"/>
      <c r="I103" s="105"/>
      <c r="J103" s="83"/>
      <c r="K103" s="83"/>
      <c r="L103" s="12"/>
      <c r="M103" s="28"/>
      <c r="N103" s="14"/>
      <c r="O103" s="11"/>
      <c r="P103" s="11"/>
      <c r="Q103" s="16"/>
      <c r="R103" s="2"/>
      <c r="S103" s="12"/>
      <c r="T103" s="17"/>
      <c r="U103" s="2"/>
      <c r="V103" s="18"/>
      <c r="W103" s="16"/>
    </row>
    <row r="104" spans="2:23" ht="18" x14ac:dyDescent="0.35">
      <c r="B104" s="95"/>
      <c r="C104" s="96"/>
      <c r="D104" s="97"/>
      <c r="E104" s="113"/>
      <c r="F104" s="90"/>
      <c r="G104" s="91"/>
      <c r="H104" s="92"/>
      <c r="I104" s="105"/>
      <c r="J104" s="83"/>
      <c r="K104" s="83"/>
      <c r="L104" s="12"/>
      <c r="M104" s="28"/>
      <c r="N104" s="14"/>
      <c r="O104" s="11"/>
      <c r="P104" s="11"/>
      <c r="Q104" s="16"/>
      <c r="R104" s="2"/>
      <c r="S104" s="12"/>
      <c r="T104" s="17"/>
      <c r="U104" s="2"/>
      <c r="V104" s="18"/>
      <c r="W104" s="16"/>
    </row>
    <row r="105" spans="2:23" ht="18" x14ac:dyDescent="0.35">
      <c r="B105" s="95"/>
      <c r="C105" s="96"/>
      <c r="D105" s="97"/>
      <c r="E105" s="113"/>
      <c r="F105" s="90"/>
      <c r="G105" s="91"/>
      <c r="H105" s="92"/>
      <c r="I105" s="105"/>
      <c r="J105" s="83"/>
      <c r="K105" s="83"/>
      <c r="L105" s="12"/>
      <c r="M105" s="28"/>
      <c r="N105" s="14"/>
      <c r="O105" s="11"/>
      <c r="P105" s="11"/>
      <c r="Q105" s="16"/>
      <c r="R105" s="2"/>
      <c r="S105" s="12"/>
      <c r="T105" s="17"/>
      <c r="U105" s="2"/>
      <c r="V105" s="18"/>
      <c r="W105" s="16"/>
    </row>
    <row r="106" spans="2:23" ht="18" x14ac:dyDescent="0.35">
      <c r="B106" s="95"/>
      <c r="C106" s="96"/>
      <c r="D106" s="97"/>
      <c r="E106" s="113"/>
      <c r="F106" s="90"/>
      <c r="G106" s="91"/>
      <c r="H106" s="92"/>
      <c r="I106" s="105"/>
      <c r="J106" s="83"/>
      <c r="K106" s="83"/>
      <c r="L106" s="12"/>
      <c r="M106" s="28"/>
      <c r="N106" s="14"/>
      <c r="O106" s="11"/>
      <c r="P106" s="11"/>
      <c r="Q106" s="16"/>
      <c r="R106" s="2"/>
      <c r="S106" s="12"/>
      <c r="T106" s="17"/>
      <c r="U106" s="2"/>
      <c r="V106" s="18"/>
      <c r="W106" s="16"/>
    </row>
    <row r="107" spans="2:23" ht="18" x14ac:dyDescent="0.35">
      <c r="B107" s="95"/>
      <c r="C107" s="96"/>
      <c r="D107" s="97"/>
      <c r="E107" s="113"/>
      <c r="F107" s="90"/>
      <c r="G107" s="91"/>
      <c r="H107" s="92"/>
      <c r="I107" s="105"/>
      <c r="J107" s="83"/>
      <c r="K107" s="83"/>
      <c r="L107" s="12"/>
      <c r="M107" s="28"/>
      <c r="N107" s="14"/>
      <c r="O107" s="11"/>
      <c r="P107" s="11"/>
      <c r="Q107" s="16"/>
      <c r="R107" s="2"/>
      <c r="S107" s="12"/>
      <c r="T107" s="17"/>
      <c r="U107" s="2"/>
      <c r="V107" s="18"/>
      <c r="W107" s="16"/>
    </row>
    <row r="108" spans="2:23" ht="18" x14ac:dyDescent="0.35">
      <c r="B108" s="95"/>
      <c r="C108" s="96"/>
      <c r="D108" s="97"/>
      <c r="E108" s="113"/>
      <c r="F108" s="90"/>
      <c r="G108" s="91"/>
      <c r="H108" s="92"/>
      <c r="I108" s="105"/>
      <c r="J108" s="83"/>
      <c r="K108" s="83"/>
      <c r="L108" s="12"/>
      <c r="M108" s="28"/>
      <c r="N108" s="14"/>
      <c r="O108" s="11"/>
      <c r="P108" s="11"/>
      <c r="Q108" s="16"/>
      <c r="R108" s="2"/>
      <c r="S108" s="12"/>
      <c r="T108" s="17"/>
      <c r="U108" s="2"/>
      <c r="V108" s="18"/>
      <c r="W108" s="16"/>
    </row>
    <row r="109" spans="2:23" ht="18" x14ac:dyDescent="0.35">
      <c r="B109" s="95"/>
      <c r="C109" s="96"/>
      <c r="D109" s="97"/>
      <c r="E109" s="113"/>
      <c r="F109" s="90"/>
      <c r="G109" s="91"/>
      <c r="H109" s="92"/>
      <c r="I109" s="105"/>
      <c r="J109" s="83"/>
      <c r="K109" s="83"/>
      <c r="L109" s="12"/>
      <c r="M109" s="28"/>
      <c r="N109" s="14"/>
      <c r="O109" s="11"/>
      <c r="P109" s="11"/>
      <c r="Q109" s="16"/>
      <c r="R109" s="2"/>
      <c r="S109" s="12"/>
      <c r="T109" s="17"/>
      <c r="U109" s="2"/>
      <c r="V109" s="18"/>
      <c r="W109" s="16"/>
    </row>
    <row r="110" spans="2:23" ht="18" x14ac:dyDescent="0.35">
      <c r="B110" s="95"/>
      <c r="C110" s="96"/>
      <c r="D110" s="97"/>
      <c r="E110" s="113"/>
      <c r="F110" s="90"/>
      <c r="G110" s="91"/>
      <c r="H110" s="92"/>
      <c r="I110" s="105"/>
      <c r="J110" s="83"/>
      <c r="K110" s="83"/>
      <c r="L110" s="12"/>
      <c r="M110" s="28"/>
      <c r="N110" s="14"/>
      <c r="O110" s="11"/>
      <c r="P110" s="11"/>
      <c r="Q110" s="16"/>
      <c r="R110" s="2"/>
      <c r="S110" s="12"/>
      <c r="T110" s="17"/>
      <c r="U110" s="2"/>
      <c r="V110" s="18"/>
      <c r="W110" s="16"/>
    </row>
    <row r="111" spans="2:23" ht="18" x14ac:dyDescent="0.35">
      <c r="B111" s="95"/>
      <c r="C111" s="96"/>
      <c r="D111" s="97"/>
      <c r="E111" s="113"/>
      <c r="F111" s="90"/>
      <c r="G111" s="91"/>
      <c r="H111" s="92"/>
      <c r="I111" s="105"/>
      <c r="J111" s="83"/>
      <c r="K111" s="83"/>
      <c r="L111" s="12"/>
      <c r="M111" s="28"/>
      <c r="N111" s="14"/>
      <c r="O111" s="11"/>
      <c r="P111" s="11"/>
      <c r="Q111" s="16"/>
      <c r="R111" s="2"/>
      <c r="S111" s="12"/>
      <c r="T111" s="17"/>
      <c r="U111" s="2"/>
      <c r="V111" s="18"/>
      <c r="W111" s="16"/>
    </row>
    <row r="112" spans="2:23" ht="18" x14ac:dyDescent="0.35">
      <c r="B112" s="95"/>
      <c r="C112" s="96"/>
      <c r="D112" s="97"/>
      <c r="E112" s="113"/>
      <c r="F112" s="90"/>
      <c r="G112" s="91"/>
      <c r="H112" s="92"/>
      <c r="I112" s="105"/>
      <c r="J112" s="83"/>
      <c r="K112" s="83"/>
      <c r="L112" s="12"/>
      <c r="M112" s="28"/>
      <c r="N112" s="14"/>
      <c r="O112" s="11"/>
      <c r="P112" s="11"/>
      <c r="Q112" s="16"/>
      <c r="R112" s="2"/>
      <c r="S112" s="12"/>
      <c r="T112" s="17"/>
      <c r="U112" s="2"/>
      <c r="V112" s="18"/>
      <c r="W112" s="16"/>
    </row>
    <row r="113" spans="2:23" ht="18" x14ac:dyDescent="0.35">
      <c r="B113" s="95"/>
      <c r="C113" s="96"/>
      <c r="D113" s="97"/>
      <c r="E113" s="113"/>
      <c r="F113" s="90"/>
      <c r="G113" s="91"/>
      <c r="H113" s="92"/>
      <c r="I113" s="105"/>
      <c r="J113" s="83"/>
      <c r="K113" s="83"/>
      <c r="L113" s="12"/>
      <c r="M113" s="28"/>
      <c r="N113" s="14"/>
      <c r="O113" s="11"/>
      <c r="P113" s="11"/>
      <c r="Q113" s="16"/>
      <c r="R113" s="2"/>
      <c r="S113" s="12"/>
      <c r="T113" s="17"/>
      <c r="U113" s="2"/>
      <c r="V113" s="18"/>
      <c r="W113" s="16"/>
    </row>
    <row r="114" spans="2:23" ht="18" x14ac:dyDescent="0.35">
      <c r="B114" s="95"/>
      <c r="C114" s="96"/>
      <c r="D114" s="97"/>
      <c r="E114" s="113"/>
      <c r="F114" s="90"/>
      <c r="G114" s="91"/>
      <c r="H114" s="92"/>
      <c r="I114" s="105"/>
      <c r="J114" s="83"/>
      <c r="K114" s="83"/>
      <c r="L114" s="12"/>
      <c r="M114" s="28"/>
      <c r="N114" s="14"/>
      <c r="O114" s="11"/>
      <c r="P114" s="11"/>
      <c r="Q114" s="16"/>
      <c r="R114" s="2"/>
      <c r="S114" s="12"/>
      <c r="T114" s="17"/>
      <c r="U114" s="2"/>
      <c r="V114" s="18"/>
      <c r="W114" s="16"/>
    </row>
    <row r="115" spans="2:23" ht="18" x14ac:dyDescent="0.35">
      <c r="B115" s="95"/>
      <c r="C115" s="96"/>
      <c r="D115" s="97"/>
      <c r="E115" s="113"/>
      <c r="F115" s="90"/>
      <c r="G115" s="91"/>
      <c r="H115" s="92"/>
      <c r="I115" s="105"/>
      <c r="J115" s="83"/>
      <c r="K115" s="83"/>
      <c r="L115" s="12"/>
      <c r="M115" s="28"/>
      <c r="N115" s="14"/>
      <c r="O115" s="11"/>
      <c r="P115" s="11"/>
      <c r="Q115" s="16"/>
      <c r="R115" s="2"/>
      <c r="S115" s="12"/>
      <c r="T115" s="17"/>
      <c r="U115" s="2"/>
      <c r="V115" s="18"/>
      <c r="W115" s="16"/>
    </row>
    <row r="116" spans="2:23" ht="18" x14ac:dyDescent="0.35">
      <c r="B116" s="95"/>
      <c r="C116" s="96"/>
      <c r="D116" s="97"/>
      <c r="E116" s="113"/>
      <c r="F116" s="90"/>
      <c r="G116" s="91"/>
      <c r="H116" s="92"/>
      <c r="I116" s="105"/>
      <c r="J116" s="83"/>
      <c r="K116" s="83"/>
      <c r="L116" s="12"/>
      <c r="M116" s="28"/>
      <c r="N116" s="14"/>
      <c r="O116" s="11"/>
      <c r="P116" s="11"/>
      <c r="Q116" s="16"/>
      <c r="R116" s="2"/>
      <c r="S116" s="12"/>
      <c r="T116" s="17"/>
      <c r="U116" s="2"/>
      <c r="V116" s="18"/>
      <c r="W116" s="16"/>
    </row>
    <row r="117" spans="2:23" ht="18" x14ac:dyDescent="0.35">
      <c r="B117" s="95"/>
      <c r="C117" s="96"/>
      <c r="D117" s="97"/>
      <c r="E117" s="113"/>
      <c r="F117" s="90"/>
      <c r="G117" s="91"/>
      <c r="H117" s="92"/>
      <c r="I117" s="105"/>
      <c r="J117" s="83"/>
      <c r="K117" s="83"/>
      <c r="L117" s="12"/>
      <c r="M117" s="28"/>
      <c r="N117" s="14"/>
      <c r="O117" s="11"/>
      <c r="P117" s="11"/>
      <c r="Q117" s="16"/>
      <c r="R117" s="2"/>
      <c r="S117" s="12"/>
      <c r="T117" s="17"/>
      <c r="U117" s="2"/>
      <c r="V117" s="18"/>
      <c r="W117" s="16"/>
    </row>
    <row r="118" spans="2:23" ht="18" x14ac:dyDescent="0.35">
      <c r="B118" s="95"/>
      <c r="C118" s="96"/>
      <c r="D118" s="97"/>
      <c r="E118" s="113"/>
      <c r="F118" s="90"/>
      <c r="G118" s="91"/>
      <c r="H118" s="92"/>
      <c r="I118" s="105"/>
      <c r="J118" s="83"/>
      <c r="K118" s="83"/>
      <c r="L118" s="12"/>
      <c r="M118" s="28"/>
      <c r="N118" s="14"/>
      <c r="O118" s="11"/>
      <c r="P118" s="11"/>
      <c r="Q118" s="16"/>
      <c r="R118" s="2"/>
      <c r="S118" s="12"/>
      <c r="T118" s="17"/>
      <c r="U118" s="2"/>
      <c r="V118" s="18"/>
      <c r="W118" s="16"/>
    </row>
    <row r="119" spans="2:23" ht="18" x14ac:dyDescent="0.35">
      <c r="B119" s="95"/>
      <c r="C119" s="96"/>
      <c r="D119" s="97"/>
      <c r="E119" s="113"/>
      <c r="F119" s="90"/>
      <c r="G119" s="91"/>
      <c r="H119" s="92"/>
      <c r="I119" s="105"/>
      <c r="J119" s="83"/>
      <c r="K119" s="83"/>
      <c r="L119" s="12"/>
      <c r="M119" s="28"/>
      <c r="N119" s="14"/>
      <c r="O119" s="11"/>
      <c r="P119" s="11"/>
      <c r="Q119" s="16"/>
      <c r="R119" s="2"/>
      <c r="S119" s="12"/>
      <c r="T119" s="17"/>
      <c r="U119" s="2"/>
      <c r="V119" s="18"/>
      <c r="W119" s="16"/>
    </row>
    <row r="120" spans="2:23" ht="18" x14ac:dyDescent="0.35">
      <c r="B120" s="95"/>
      <c r="C120" s="96"/>
      <c r="D120" s="97"/>
      <c r="E120" s="113"/>
      <c r="F120" s="90"/>
      <c r="G120" s="91"/>
      <c r="H120" s="92"/>
      <c r="I120" s="105"/>
      <c r="J120" s="83"/>
      <c r="K120" s="83"/>
      <c r="L120" s="12"/>
      <c r="M120" s="28"/>
      <c r="N120" s="14"/>
      <c r="O120" s="11"/>
      <c r="P120" s="11"/>
      <c r="Q120" s="16"/>
      <c r="R120" s="2"/>
      <c r="S120" s="12"/>
      <c r="T120" s="17"/>
      <c r="U120" s="2"/>
      <c r="V120" s="18"/>
      <c r="W120" s="16"/>
    </row>
    <row r="121" spans="2:23" ht="18" x14ac:dyDescent="0.35">
      <c r="B121" s="95"/>
      <c r="C121" s="96"/>
      <c r="D121" s="97"/>
      <c r="E121" s="113"/>
      <c r="F121" s="90"/>
      <c r="G121" s="91"/>
      <c r="H121" s="92"/>
      <c r="I121" s="105"/>
      <c r="J121" s="83"/>
      <c r="K121" s="83"/>
      <c r="L121" s="12"/>
      <c r="M121" s="28"/>
      <c r="N121" s="14"/>
      <c r="O121" s="11"/>
      <c r="P121" s="11"/>
      <c r="Q121" s="16"/>
      <c r="R121" s="2"/>
      <c r="S121" s="12"/>
      <c r="T121" s="17"/>
      <c r="U121" s="2"/>
      <c r="V121" s="18"/>
      <c r="W121" s="16"/>
    </row>
    <row r="122" spans="2:23" ht="18" x14ac:dyDescent="0.35">
      <c r="B122" s="95"/>
      <c r="C122" s="96"/>
      <c r="D122" s="97"/>
      <c r="E122" s="113"/>
      <c r="F122" s="99"/>
      <c r="G122" s="100"/>
      <c r="H122" s="101"/>
      <c r="I122" s="105"/>
      <c r="J122" s="83"/>
      <c r="K122" s="83"/>
      <c r="L122" s="12"/>
      <c r="M122" s="28"/>
      <c r="N122" s="14"/>
      <c r="O122" s="11"/>
      <c r="P122" s="11"/>
      <c r="Q122" s="16"/>
      <c r="R122" s="2"/>
      <c r="S122" s="12"/>
      <c r="T122" s="17"/>
      <c r="U122" s="2"/>
      <c r="V122" s="18"/>
      <c r="W122" s="16"/>
    </row>
    <row r="123" spans="2:23" ht="18" x14ac:dyDescent="0.35">
      <c r="B123" s="95"/>
      <c r="C123" s="96"/>
      <c r="D123" s="97"/>
      <c r="E123" s="113"/>
      <c r="F123" s="99"/>
      <c r="G123" s="100"/>
      <c r="H123" s="101"/>
      <c r="I123" s="105"/>
      <c r="J123" s="83"/>
      <c r="K123" s="83"/>
      <c r="L123" s="12"/>
      <c r="M123" s="28"/>
      <c r="N123" s="14"/>
      <c r="O123" s="11"/>
      <c r="P123" s="11"/>
      <c r="Q123" s="16"/>
      <c r="R123" s="2"/>
      <c r="S123" s="12"/>
      <c r="T123" s="17"/>
      <c r="U123" s="2"/>
      <c r="V123" s="18"/>
      <c r="W123" s="16"/>
    </row>
    <row r="124" spans="2:23" ht="18" x14ac:dyDescent="0.35">
      <c r="B124" s="95"/>
      <c r="C124" s="96"/>
      <c r="D124" s="97"/>
      <c r="E124" s="113"/>
      <c r="F124" s="99"/>
      <c r="G124" s="100"/>
      <c r="H124" s="101"/>
      <c r="I124" s="105"/>
      <c r="J124" s="83"/>
      <c r="K124" s="83"/>
      <c r="L124" s="12"/>
      <c r="M124" s="28"/>
      <c r="N124" s="14"/>
      <c r="O124" s="11"/>
      <c r="P124" s="11"/>
      <c r="Q124" s="16"/>
      <c r="R124" s="2"/>
      <c r="S124" s="12"/>
      <c r="T124" s="17"/>
      <c r="U124" s="2"/>
      <c r="V124" s="18"/>
      <c r="W124" s="16"/>
    </row>
    <row r="125" spans="2:23" ht="18" x14ac:dyDescent="0.35">
      <c r="B125" s="95"/>
      <c r="C125" s="96"/>
      <c r="D125" s="97"/>
      <c r="E125" s="113"/>
      <c r="F125" s="99"/>
      <c r="G125" s="100"/>
      <c r="H125" s="101"/>
      <c r="I125" s="105"/>
      <c r="J125" s="83"/>
      <c r="K125" s="83"/>
      <c r="L125" s="12"/>
      <c r="M125" s="28"/>
      <c r="N125" s="14"/>
      <c r="O125" s="11"/>
      <c r="P125" s="11"/>
      <c r="Q125" s="16"/>
      <c r="R125" s="2"/>
      <c r="S125" s="12"/>
      <c r="T125" s="17"/>
      <c r="U125" s="2"/>
      <c r="V125" s="18"/>
      <c r="W125" s="16"/>
    </row>
    <row r="126" spans="2:23" ht="18" x14ac:dyDescent="0.35">
      <c r="B126" s="95"/>
      <c r="C126" s="96"/>
      <c r="D126" s="97"/>
      <c r="E126" s="113"/>
      <c r="F126" s="99"/>
      <c r="G126" s="100"/>
      <c r="H126" s="101"/>
      <c r="I126" s="105"/>
      <c r="J126" s="83"/>
      <c r="K126" s="83"/>
      <c r="L126" s="12"/>
      <c r="M126" s="28"/>
      <c r="N126" s="14"/>
      <c r="O126" s="11"/>
      <c r="P126" s="11"/>
      <c r="Q126" s="16"/>
      <c r="R126" s="2"/>
      <c r="S126" s="12"/>
      <c r="T126" s="17"/>
      <c r="U126" s="2"/>
      <c r="V126" s="18"/>
      <c r="W126" s="16"/>
    </row>
    <row r="127" spans="2:23" ht="18" x14ac:dyDescent="0.35">
      <c r="B127" s="95"/>
      <c r="C127" s="96"/>
      <c r="D127" s="97"/>
      <c r="E127" s="113"/>
      <c r="F127" s="99"/>
      <c r="G127" s="100"/>
      <c r="H127" s="101"/>
      <c r="I127" s="105"/>
      <c r="J127" s="83"/>
      <c r="K127" s="83"/>
      <c r="L127" s="12"/>
      <c r="M127" s="28"/>
      <c r="N127" s="14"/>
      <c r="O127" s="11"/>
      <c r="P127" s="11"/>
      <c r="Q127" s="16"/>
      <c r="R127" s="2"/>
      <c r="S127" s="12"/>
      <c r="T127" s="17"/>
      <c r="U127" s="2"/>
      <c r="V127" s="18"/>
      <c r="W127" s="16"/>
    </row>
    <row r="128" spans="2:23" ht="18" x14ac:dyDescent="0.35">
      <c r="B128" s="95"/>
      <c r="C128" s="96"/>
      <c r="D128" s="97"/>
      <c r="E128" s="113"/>
      <c r="F128" s="99"/>
      <c r="G128" s="100"/>
      <c r="H128" s="101"/>
      <c r="I128" s="105"/>
      <c r="J128" s="83"/>
      <c r="K128" s="83"/>
      <c r="L128" s="12"/>
      <c r="M128" s="28"/>
      <c r="N128" s="14"/>
      <c r="O128" s="11"/>
      <c r="P128" s="11"/>
      <c r="Q128" s="16"/>
      <c r="R128" s="2"/>
      <c r="S128" s="12"/>
      <c r="T128" s="17"/>
      <c r="U128" s="2"/>
      <c r="V128" s="18"/>
      <c r="W128" s="16"/>
    </row>
    <row r="129" spans="1:23" ht="18.600000000000001" thickBot="1" x14ac:dyDescent="0.4">
      <c r="B129" s="114"/>
      <c r="C129" s="115"/>
      <c r="D129" s="116"/>
      <c r="E129" s="113"/>
      <c r="F129" s="117"/>
      <c r="G129" s="118"/>
      <c r="H129" s="119"/>
      <c r="I129" s="105"/>
      <c r="J129" s="83"/>
      <c r="K129" s="83"/>
      <c r="L129" s="30"/>
      <c r="M129" s="31"/>
      <c r="N129" s="32"/>
      <c r="O129" s="29"/>
      <c r="P129" s="29"/>
      <c r="Q129" s="33"/>
      <c r="R129" s="2"/>
      <c r="S129" s="30"/>
      <c r="T129" s="34"/>
      <c r="U129" s="2"/>
      <c r="V129" s="35"/>
      <c r="W129" s="33"/>
    </row>
    <row r="130" spans="1:23" ht="18.600000000000001" thickBot="1" x14ac:dyDescent="0.4">
      <c r="A130" s="120" t="s">
        <v>15</v>
      </c>
      <c r="B130" s="121">
        <f>SUM(B9:B129)</f>
        <v>1199.2</v>
      </c>
      <c r="C130" s="122"/>
      <c r="D130" s="121"/>
      <c r="E130" s="123">
        <f>SUM(E9:E129)</f>
        <v>2376.3399999999997</v>
      </c>
      <c r="F130" s="124">
        <f>SUM(F9:F129)</f>
        <v>573.40000000000009</v>
      </c>
      <c r="G130" s="82"/>
      <c r="H130" s="125"/>
      <c r="I130" s="125">
        <f>SUM(I9:I129)</f>
        <v>9309.3000000000011</v>
      </c>
      <c r="J130" s="83"/>
      <c r="K130" s="83"/>
      <c r="L130" s="126"/>
      <c r="M130" s="126">
        <f>SUM(M9:M129)</f>
        <v>1122</v>
      </c>
      <c r="N130" s="127">
        <f>SUM(N9:N129)</f>
        <v>8112</v>
      </c>
      <c r="O130" s="82"/>
      <c r="P130" s="82">
        <f>SUM(P9:P129)</f>
        <v>0</v>
      </c>
      <c r="Q130" s="128">
        <f>SUM(Q9:Q129)</f>
        <v>0</v>
      </c>
      <c r="R130" s="83"/>
      <c r="S130" s="84"/>
      <c r="T130" s="129">
        <f>SUM(T9:T129)</f>
        <v>400</v>
      </c>
      <c r="U130" s="83"/>
      <c r="V130" s="82"/>
      <c r="W130" s="130">
        <f>SUM(W9:W129)</f>
        <v>4350</v>
      </c>
    </row>
  </sheetData>
  <sheetProtection algorithmName="SHA-512" hashValue="kUP+KQ40DNRSknlbtDNWbWRsWNrNpxLrb3N14lMrfDUwyo5ITcWOsKInu4+7e3vTVcXIWbNikuNlDktM3jtoGA==" saltValue="zW0OP2QR9kA8GSHYYWyNJA==" spinCount="100000" sheet="1" objects="1" scenarios="1"/>
  <mergeCells count="8">
    <mergeCell ref="V5:W5"/>
    <mergeCell ref="Y5:Z5"/>
    <mergeCell ref="E1:G1"/>
    <mergeCell ref="B2:C2"/>
    <mergeCell ref="B3:C3"/>
    <mergeCell ref="B5:I5"/>
    <mergeCell ref="L5:Q5"/>
    <mergeCell ref="S5:T5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F0F27C-0524-4965-AE3F-578690E40992}">
  <sheetPr codeName="Sheet48"/>
  <dimension ref="A1:Z130"/>
  <sheetViews>
    <sheetView topLeftCell="Q1" zoomScale="80" zoomScaleNormal="80" workbookViewId="0">
      <selection activeCell="V11" sqref="V11"/>
    </sheetView>
  </sheetViews>
  <sheetFormatPr defaultColWidth="9.109375" defaultRowHeight="14.4" x14ac:dyDescent="0.3"/>
  <cols>
    <col min="1" max="1" width="15.5546875" style="36" customWidth="1"/>
    <col min="2" max="2" width="15.88671875" style="36" customWidth="1"/>
    <col min="3" max="3" width="20" style="76" customWidth="1"/>
    <col min="4" max="4" width="20.33203125" style="36" customWidth="1"/>
    <col min="5" max="5" width="22.33203125" style="36" customWidth="1"/>
    <col min="6" max="6" width="14.6640625" style="36" customWidth="1"/>
    <col min="7" max="7" width="22" style="76" customWidth="1"/>
    <col min="8" max="8" width="18.88671875" style="36" customWidth="1"/>
    <col min="9" max="9" width="23" style="36" customWidth="1"/>
    <col min="10" max="11" width="9.109375" style="36"/>
    <col min="12" max="12" width="20.6640625" style="76" customWidth="1"/>
    <col min="13" max="13" width="15.44140625" style="76" customWidth="1"/>
    <col min="14" max="14" width="22.6640625" style="36" customWidth="1"/>
    <col min="15" max="15" width="20.5546875" style="76" customWidth="1"/>
    <col min="16" max="16" width="13.33203125" style="76" customWidth="1"/>
    <col min="17" max="17" width="21.5546875" style="76" customWidth="1"/>
    <col min="18" max="18" width="9.109375" style="36"/>
    <col min="19" max="19" width="22" style="76" customWidth="1"/>
    <col min="20" max="20" width="22.33203125" style="76" customWidth="1"/>
    <col min="21" max="21" width="9.109375" style="36"/>
    <col min="22" max="22" width="21.88671875" style="76" customWidth="1"/>
    <col min="23" max="23" width="23.109375" style="76" customWidth="1"/>
    <col min="24" max="24" width="9.109375" style="36"/>
    <col min="25" max="25" width="21.33203125" style="36" customWidth="1"/>
    <col min="26" max="26" width="21.88671875" style="36" customWidth="1"/>
    <col min="27" max="16384" width="9.109375" style="36"/>
  </cols>
  <sheetData>
    <row r="1" spans="2:26" ht="21" x14ac:dyDescent="0.4">
      <c r="E1" s="189">
        <v>44177</v>
      </c>
      <c r="F1" s="189"/>
      <c r="G1" s="189"/>
    </row>
    <row r="2" spans="2:26" ht="18" x14ac:dyDescent="0.35">
      <c r="B2" s="190" t="s">
        <v>0</v>
      </c>
      <c r="C2" s="190"/>
      <c r="D2" s="1">
        <v>13700</v>
      </c>
    </row>
    <row r="3" spans="2:26" ht="18" x14ac:dyDescent="0.35">
      <c r="B3" s="190" t="s">
        <v>1</v>
      </c>
      <c r="C3" s="190"/>
      <c r="D3" s="77">
        <f>(D2-E130-I130)</f>
        <v>6027.5199999999986</v>
      </c>
    </row>
    <row r="5" spans="2:26" ht="36.6" x14ac:dyDescent="0.7">
      <c r="B5" s="187" t="s">
        <v>2</v>
      </c>
      <c r="C5" s="187"/>
      <c r="D5" s="187"/>
      <c r="E5" s="187"/>
      <c r="F5" s="187"/>
      <c r="G5" s="187"/>
      <c r="H5" s="187"/>
      <c r="I5" s="187"/>
      <c r="L5" s="187" t="s">
        <v>3</v>
      </c>
      <c r="M5" s="187"/>
      <c r="N5" s="187"/>
      <c r="O5" s="187"/>
      <c r="P5" s="187"/>
      <c r="Q5" s="187"/>
      <c r="S5" s="191" t="s">
        <v>4</v>
      </c>
      <c r="T5" s="191"/>
      <c r="V5" s="187" t="s">
        <v>5</v>
      </c>
      <c r="W5" s="187"/>
      <c r="Y5" s="188" t="s">
        <v>105</v>
      </c>
      <c r="Z5" s="187"/>
    </row>
    <row r="7" spans="2:26" ht="15" thickBot="1" x14ac:dyDescent="0.35"/>
    <row r="8" spans="2:26" ht="18.600000000000001" thickBot="1" x14ac:dyDescent="0.4">
      <c r="B8" s="78" t="s">
        <v>6</v>
      </c>
      <c r="C8" s="79" t="s">
        <v>7</v>
      </c>
      <c r="D8" s="78" t="s">
        <v>8</v>
      </c>
      <c r="E8" s="80" t="s">
        <v>9</v>
      </c>
      <c r="F8" s="81" t="s">
        <v>6</v>
      </c>
      <c r="G8" s="81" t="s">
        <v>10</v>
      </c>
      <c r="H8" s="81" t="s">
        <v>8</v>
      </c>
      <c r="I8" s="82" t="s">
        <v>9</v>
      </c>
      <c r="J8" s="83"/>
      <c r="K8" s="83"/>
      <c r="L8" s="84" t="s">
        <v>11</v>
      </c>
      <c r="M8" s="84" t="s">
        <v>6</v>
      </c>
      <c r="N8" s="84" t="s">
        <v>9</v>
      </c>
      <c r="O8" s="82" t="s">
        <v>12</v>
      </c>
      <c r="P8" s="82" t="s">
        <v>6</v>
      </c>
      <c r="Q8" s="82" t="s">
        <v>9</v>
      </c>
      <c r="R8" s="83"/>
      <c r="S8" s="84" t="s">
        <v>13</v>
      </c>
      <c r="T8" s="85" t="s">
        <v>9</v>
      </c>
      <c r="U8" s="83"/>
      <c r="V8" s="82" t="s">
        <v>14</v>
      </c>
      <c r="W8" s="82" t="s">
        <v>9</v>
      </c>
      <c r="Y8" s="146" t="s">
        <v>106</v>
      </c>
      <c r="Z8" s="147" t="s">
        <v>107</v>
      </c>
    </row>
    <row r="9" spans="2:26" ht="18" x14ac:dyDescent="0.35">
      <c r="B9" s="86">
        <v>5.5</v>
      </c>
      <c r="C9" s="87" t="s">
        <v>77</v>
      </c>
      <c r="D9" s="88">
        <v>2.1</v>
      </c>
      <c r="E9" s="89">
        <v>11.55</v>
      </c>
      <c r="F9" s="90">
        <v>0.2</v>
      </c>
      <c r="G9" s="91" t="s">
        <v>18</v>
      </c>
      <c r="H9" s="92">
        <v>10</v>
      </c>
      <c r="I9" s="93">
        <v>2</v>
      </c>
      <c r="J9" s="83"/>
      <c r="K9" s="83"/>
      <c r="L9" s="3"/>
      <c r="M9" s="4"/>
      <c r="N9" s="5"/>
      <c r="O9" s="6"/>
      <c r="P9" s="7"/>
      <c r="Q9" s="8"/>
      <c r="R9" s="2"/>
      <c r="S9" s="3" t="s">
        <v>133</v>
      </c>
      <c r="T9" s="9">
        <v>360</v>
      </c>
      <c r="U9" s="2"/>
      <c r="V9" s="10" t="s">
        <v>121</v>
      </c>
      <c r="W9" s="8">
        <v>230</v>
      </c>
      <c r="Y9" s="148" t="s">
        <v>88</v>
      </c>
      <c r="Z9" s="151">
        <f>SUMIF($C$9:$C$129, Y9, $B$9:$B$129)</f>
        <v>216.5</v>
      </c>
    </row>
    <row r="10" spans="2:26" ht="18" x14ac:dyDescent="0.35">
      <c r="B10" s="95">
        <v>8.5</v>
      </c>
      <c r="C10" s="96" t="s">
        <v>76</v>
      </c>
      <c r="D10" s="97">
        <v>2.2999999999999998</v>
      </c>
      <c r="E10" s="98">
        <v>19.549999999999997</v>
      </c>
      <c r="F10" s="90">
        <v>14.5</v>
      </c>
      <c r="G10" s="91" t="s">
        <v>19</v>
      </c>
      <c r="H10" s="92">
        <v>2</v>
      </c>
      <c r="I10" s="93">
        <v>29</v>
      </c>
      <c r="J10" s="83"/>
      <c r="K10" s="83"/>
      <c r="L10" s="12"/>
      <c r="M10" s="13"/>
      <c r="N10" s="14"/>
      <c r="O10" s="11"/>
      <c r="P10" s="15"/>
      <c r="Q10" s="16"/>
      <c r="R10" s="2"/>
      <c r="S10" s="12" t="s">
        <v>120</v>
      </c>
      <c r="T10" s="17">
        <v>400</v>
      </c>
      <c r="U10" s="2"/>
      <c r="V10" s="18" t="s">
        <v>122</v>
      </c>
      <c r="W10" s="8">
        <v>200</v>
      </c>
      <c r="Y10" s="149" t="s">
        <v>76</v>
      </c>
      <c r="Z10" s="151">
        <f t="shared" ref="Z10:Z11" si="0">SUMIF($C$9:$C$129, Y10, $B$9:$B$129)</f>
        <v>410.6</v>
      </c>
    </row>
    <row r="11" spans="2:26" ht="18" x14ac:dyDescent="0.35">
      <c r="B11" s="95">
        <v>21.5</v>
      </c>
      <c r="C11" s="96" t="s">
        <v>77</v>
      </c>
      <c r="D11" s="97">
        <v>2.1</v>
      </c>
      <c r="E11" s="98">
        <v>45.15</v>
      </c>
      <c r="F11" s="90">
        <v>1</v>
      </c>
      <c r="G11" s="91" t="s">
        <v>94</v>
      </c>
      <c r="H11" s="92">
        <v>10</v>
      </c>
      <c r="I11" s="93">
        <v>10</v>
      </c>
      <c r="J11" s="83"/>
      <c r="K11" s="83"/>
      <c r="L11" s="12"/>
      <c r="M11" s="13"/>
      <c r="N11" s="14"/>
      <c r="O11" s="11"/>
      <c r="P11" s="15"/>
      <c r="Q11" s="16"/>
      <c r="R11" s="2"/>
      <c r="S11" s="12"/>
      <c r="T11" s="17"/>
      <c r="U11" s="2"/>
      <c r="V11" s="18"/>
      <c r="W11" s="8"/>
      <c r="Y11" s="149" t="s">
        <v>77</v>
      </c>
      <c r="Z11" s="151">
        <f t="shared" si="0"/>
        <v>191.5</v>
      </c>
    </row>
    <row r="12" spans="2:26" ht="18" x14ac:dyDescent="0.35">
      <c r="B12" s="95">
        <v>3.5</v>
      </c>
      <c r="C12" s="96" t="s">
        <v>76</v>
      </c>
      <c r="D12" s="97">
        <v>2.2999999999999998</v>
      </c>
      <c r="E12" s="98">
        <v>8.0499999999999989</v>
      </c>
      <c r="F12" s="90">
        <v>0.5</v>
      </c>
      <c r="G12" s="91" t="s">
        <v>18</v>
      </c>
      <c r="H12" s="92">
        <v>10</v>
      </c>
      <c r="I12" s="93">
        <v>5</v>
      </c>
      <c r="J12" s="83"/>
      <c r="K12" s="83"/>
      <c r="L12" s="12"/>
      <c r="M12" s="13"/>
      <c r="N12" s="14"/>
      <c r="O12" s="11"/>
      <c r="P12" s="15"/>
      <c r="Q12" s="16"/>
      <c r="R12" s="2"/>
      <c r="S12" s="12"/>
      <c r="T12" s="17"/>
      <c r="U12" s="2"/>
      <c r="V12" s="18"/>
      <c r="W12" s="8"/>
      <c r="Y12" s="149" t="s">
        <v>89</v>
      </c>
      <c r="Z12" s="152">
        <f>SUMIF($G$9:$G$129, Y12, $F$9:$F$129)</f>
        <v>0</v>
      </c>
    </row>
    <row r="13" spans="2:26" ht="18" x14ac:dyDescent="0.35">
      <c r="B13" s="95">
        <v>10</v>
      </c>
      <c r="C13" s="96" t="s">
        <v>76</v>
      </c>
      <c r="D13" s="97">
        <v>2.2999999999999998</v>
      </c>
      <c r="E13" s="98">
        <v>23</v>
      </c>
      <c r="F13" s="90">
        <v>4</v>
      </c>
      <c r="G13" s="91" t="s">
        <v>94</v>
      </c>
      <c r="H13" s="92">
        <v>10</v>
      </c>
      <c r="I13" s="93">
        <v>40</v>
      </c>
      <c r="J13" s="83"/>
      <c r="K13" s="83"/>
      <c r="L13" s="12"/>
      <c r="M13" s="13"/>
      <c r="N13" s="14"/>
      <c r="O13" s="11"/>
      <c r="P13" s="15"/>
      <c r="Q13" s="16"/>
      <c r="R13" s="2"/>
      <c r="S13" s="12"/>
      <c r="T13" s="17"/>
      <c r="U13" s="2"/>
      <c r="V13" s="18"/>
      <c r="W13" s="8"/>
      <c r="Y13" s="149" t="s">
        <v>20</v>
      </c>
      <c r="Z13" s="152">
        <f t="shared" ref="Z13:Z76" si="1">SUMIF($G$9:$G$129, Y13, $F$9:$F$129)</f>
        <v>0</v>
      </c>
    </row>
    <row r="14" spans="2:26" ht="18" x14ac:dyDescent="0.35">
      <c r="B14" s="95">
        <v>9</v>
      </c>
      <c r="C14" s="96" t="s">
        <v>77</v>
      </c>
      <c r="D14" s="97">
        <v>2.1</v>
      </c>
      <c r="E14" s="98">
        <v>18.900000000000002</v>
      </c>
      <c r="F14" s="90">
        <v>8.5</v>
      </c>
      <c r="G14" s="91" t="s">
        <v>18</v>
      </c>
      <c r="H14" s="92">
        <v>10</v>
      </c>
      <c r="I14" s="93">
        <v>85</v>
      </c>
      <c r="J14" s="83"/>
      <c r="K14" s="83"/>
      <c r="L14" s="12"/>
      <c r="M14" s="13"/>
      <c r="N14" s="14"/>
      <c r="O14" s="11"/>
      <c r="P14" s="15"/>
      <c r="Q14" s="16"/>
      <c r="R14" s="2"/>
      <c r="S14" s="12"/>
      <c r="T14" s="17"/>
      <c r="U14" s="2"/>
      <c r="V14" s="18"/>
      <c r="W14" s="8"/>
      <c r="Y14" s="149" t="s">
        <v>19</v>
      </c>
      <c r="Z14" s="152">
        <f t="shared" si="1"/>
        <v>14.5</v>
      </c>
    </row>
    <row r="15" spans="2:26" ht="18" x14ac:dyDescent="0.35">
      <c r="B15" s="95">
        <v>3.5</v>
      </c>
      <c r="C15" s="96" t="s">
        <v>76</v>
      </c>
      <c r="D15" s="97">
        <v>2.2999999999999998</v>
      </c>
      <c r="E15" s="98">
        <v>8.0499999999999989</v>
      </c>
      <c r="F15" s="90">
        <v>1</v>
      </c>
      <c r="G15" s="91" t="s">
        <v>92</v>
      </c>
      <c r="H15" s="92">
        <v>68</v>
      </c>
      <c r="I15" s="93">
        <v>68</v>
      </c>
      <c r="J15" s="83"/>
      <c r="K15" s="83"/>
      <c r="L15" s="12"/>
      <c r="M15" s="13"/>
      <c r="N15" s="14"/>
      <c r="O15" s="11"/>
      <c r="P15" s="15"/>
      <c r="Q15" s="16"/>
      <c r="R15" s="2"/>
      <c r="S15" s="12"/>
      <c r="T15" s="17"/>
      <c r="U15" s="2"/>
      <c r="V15" s="18"/>
      <c r="W15" s="8"/>
      <c r="Y15" s="149" t="s">
        <v>18</v>
      </c>
      <c r="Z15" s="152">
        <f t="shared" si="1"/>
        <v>66.2</v>
      </c>
    </row>
    <row r="16" spans="2:26" ht="18" x14ac:dyDescent="0.35">
      <c r="B16" s="95">
        <v>2</v>
      </c>
      <c r="C16" s="96" t="s">
        <v>76</v>
      </c>
      <c r="D16" s="97">
        <v>2.2999999999999998</v>
      </c>
      <c r="E16" s="98">
        <v>4.5999999999999996</v>
      </c>
      <c r="F16" s="90">
        <v>1</v>
      </c>
      <c r="G16" s="91" t="s">
        <v>23</v>
      </c>
      <c r="H16" s="92">
        <v>50</v>
      </c>
      <c r="I16" s="93">
        <v>50</v>
      </c>
      <c r="J16" s="83"/>
      <c r="K16" s="83"/>
      <c r="L16" s="12"/>
      <c r="M16" s="13"/>
      <c r="N16" s="14"/>
      <c r="O16" s="11"/>
      <c r="P16" s="15"/>
      <c r="Q16" s="16"/>
      <c r="R16" s="2"/>
      <c r="S16" s="12"/>
      <c r="T16" s="17"/>
      <c r="U16" s="2"/>
      <c r="V16" s="18"/>
      <c r="W16" s="8"/>
      <c r="Y16" s="149" t="s">
        <v>22</v>
      </c>
      <c r="Z16" s="152">
        <f t="shared" si="1"/>
        <v>1.5</v>
      </c>
    </row>
    <row r="17" spans="2:26" ht="18" x14ac:dyDescent="0.35">
      <c r="B17" s="95">
        <v>36</v>
      </c>
      <c r="C17" s="96" t="s">
        <v>77</v>
      </c>
      <c r="D17" s="97">
        <v>2.1</v>
      </c>
      <c r="E17" s="98">
        <v>75.600000000000009</v>
      </c>
      <c r="F17" s="90">
        <v>9.5</v>
      </c>
      <c r="G17" s="91" t="s">
        <v>90</v>
      </c>
      <c r="H17" s="92">
        <v>83</v>
      </c>
      <c r="I17" s="93">
        <v>788.5</v>
      </c>
      <c r="J17" s="83"/>
      <c r="K17" s="83"/>
      <c r="L17" s="12"/>
      <c r="M17" s="13"/>
      <c r="N17" s="14"/>
      <c r="O17" s="11"/>
      <c r="P17" s="15"/>
      <c r="Q17" s="16"/>
      <c r="R17" s="2"/>
      <c r="S17" s="12"/>
      <c r="T17" s="17"/>
      <c r="U17" s="2"/>
      <c r="V17" s="18"/>
      <c r="W17" s="8"/>
      <c r="Y17" s="149" t="s">
        <v>67</v>
      </c>
      <c r="Z17" s="152">
        <f t="shared" si="1"/>
        <v>2</v>
      </c>
    </row>
    <row r="18" spans="2:26" ht="18" x14ac:dyDescent="0.35">
      <c r="B18" s="95">
        <v>32.5</v>
      </c>
      <c r="C18" s="96" t="s">
        <v>88</v>
      </c>
      <c r="D18" s="97">
        <v>0.9</v>
      </c>
      <c r="E18" s="98">
        <v>29.25</v>
      </c>
      <c r="F18" s="90">
        <v>0.5</v>
      </c>
      <c r="G18" s="91" t="s">
        <v>23</v>
      </c>
      <c r="H18" s="92">
        <v>50</v>
      </c>
      <c r="I18" s="93">
        <v>25</v>
      </c>
      <c r="J18" s="83"/>
      <c r="K18" s="83"/>
      <c r="L18" s="12"/>
      <c r="M18" s="13"/>
      <c r="N18" s="14"/>
      <c r="O18" s="11"/>
      <c r="P18" s="15"/>
      <c r="Q18" s="16"/>
      <c r="R18" s="2"/>
      <c r="S18" s="12"/>
      <c r="T18" s="17"/>
      <c r="U18" s="2"/>
      <c r="V18" s="18"/>
      <c r="W18" s="8"/>
      <c r="Y18" s="149" t="s">
        <v>90</v>
      </c>
      <c r="Z18" s="152">
        <f t="shared" si="1"/>
        <v>38</v>
      </c>
    </row>
    <row r="19" spans="2:26" ht="18" x14ac:dyDescent="0.35">
      <c r="B19" s="95">
        <v>18</v>
      </c>
      <c r="C19" s="96" t="s">
        <v>77</v>
      </c>
      <c r="D19" s="97">
        <v>2.1</v>
      </c>
      <c r="E19" s="98">
        <v>37.800000000000004</v>
      </c>
      <c r="F19" s="90">
        <v>1.5</v>
      </c>
      <c r="G19" s="91" t="s">
        <v>90</v>
      </c>
      <c r="H19" s="92">
        <v>83</v>
      </c>
      <c r="I19" s="93">
        <v>124.5</v>
      </c>
      <c r="J19" s="83"/>
      <c r="K19" s="83"/>
      <c r="L19" s="12"/>
      <c r="M19" s="13"/>
      <c r="N19" s="14"/>
      <c r="O19" s="11"/>
      <c r="P19" s="15"/>
      <c r="Q19" s="16"/>
      <c r="R19" s="2"/>
      <c r="S19" s="12"/>
      <c r="T19" s="17"/>
      <c r="U19" s="2"/>
      <c r="V19" s="18"/>
      <c r="W19" s="8"/>
      <c r="Y19" s="149" t="s">
        <v>91</v>
      </c>
      <c r="Z19" s="152">
        <f t="shared" si="1"/>
        <v>0</v>
      </c>
    </row>
    <row r="20" spans="2:26" ht="18" x14ac:dyDescent="0.35">
      <c r="B20" s="95">
        <v>15.5</v>
      </c>
      <c r="C20" s="96" t="s">
        <v>76</v>
      </c>
      <c r="D20" s="97">
        <v>2.2999999999999998</v>
      </c>
      <c r="E20" s="98">
        <v>35.65</v>
      </c>
      <c r="F20" s="90">
        <v>0.2</v>
      </c>
      <c r="G20" s="91" t="s">
        <v>23</v>
      </c>
      <c r="H20" s="92">
        <v>50</v>
      </c>
      <c r="I20" s="93">
        <v>10</v>
      </c>
      <c r="J20" s="83"/>
      <c r="K20" s="83"/>
      <c r="L20" s="12"/>
      <c r="M20" s="13"/>
      <c r="N20" s="14"/>
      <c r="O20" s="11"/>
      <c r="P20" s="15"/>
      <c r="Q20" s="16"/>
      <c r="R20" s="2"/>
      <c r="S20" s="12"/>
      <c r="T20" s="17"/>
      <c r="U20" s="2"/>
      <c r="V20" s="18"/>
      <c r="W20" s="8"/>
      <c r="Y20" s="149" t="s">
        <v>92</v>
      </c>
      <c r="Z20" s="152">
        <f t="shared" si="1"/>
        <v>2.2000000000000002</v>
      </c>
    </row>
    <row r="21" spans="2:26" ht="18" x14ac:dyDescent="0.35">
      <c r="B21" s="95">
        <v>4.5</v>
      </c>
      <c r="C21" s="96" t="s">
        <v>77</v>
      </c>
      <c r="D21" s="97">
        <v>2.1</v>
      </c>
      <c r="E21" s="98">
        <v>9.4500000000000011</v>
      </c>
      <c r="F21" s="90">
        <v>0.4</v>
      </c>
      <c r="G21" s="91" t="s">
        <v>92</v>
      </c>
      <c r="H21" s="92">
        <v>68</v>
      </c>
      <c r="I21" s="93">
        <v>27.200000000000003</v>
      </c>
      <c r="J21" s="83"/>
      <c r="K21" s="83"/>
      <c r="L21" s="12"/>
      <c r="M21" s="13"/>
      <c r="N21" s="14"/>
      <c r="O21" s="11"/>
      <c r="P21" s="15"/>
      <c r="Q21" s="16"/>
      <c r="R21" s="2"/>
      <c r="S21" s="12"/>
      <c r="T21" s="17"/>
      <c r="U21" s="2"/>
      <c r="V21" s="18"/>
      <c r="W21" s="8"/>
      <c r="Y21" s="149" t="s">
        <v>68</v>
      </c>
      <c r="Z21" s="152">
        <f t="shared" si="1"/>
        <v>0</v>
      </c>
    </row>
    <row r="22" spans="2:26" ht="18" x14ac:dyDescent="0.35">
      <c r="B22" s="95">
        <v>22.5</v>
      </c>
      <c r="C22" s="96" t="s">
        <v>88</v>
      </c>
      <c r="D22" s="97">
        <v>0.9</v>
      </c>
      <c r="E22" s="98">
        <v>20.25</v>
      </c>
      <c r="F22" s="90">
        <v>1</v>
      </c>
      <c r="G22" s="91" t="s">
        <v>18</v>
      </c>
      <c r="H22" s="92">
        <v>10</v>
      </c>
      <c r="I22" s="93">
        <v>10</v>
      </c>
      <c r="J22" s="83"/>
      <c r="K22" s="83"/>
      <c r="L22" s="12"/>
      <c r="M22" s="13"/>
      <c r="N22" s="14"/>
      <c r="O22" s="11"/>
      <c r="P22" s="15"/>
      <c r="Q22" s="16"/>
      <c r="R22" s="2"/>
      <c r="S22" s="12"/>
      <c r="T22" s="17"/>
      <c r="U22" s="2"/>
      <c r="V22" s="18"/>
      <c r="W22" s="8"/>
      <c r="Y22" s="149" t="s">
        <v>93</v>
      </c>
      <c r="Z22" s="152">
        <f t="shared" si="1"/>
        <v>0</v>
      </c>
    </row>
    <row r="23" spans="2:26" ht="18" x14ac:dyDescent="0.35">
      <c r="B23" s="95">
        <v>2</v>
      </c>
      <c r="C23" s="96" t="s">
        <v>77</v>
      </c>
      <c r="D23" s="97">
        <v>2.1</v>
      </c>
      <c r="E23" s="98">
        <v>4.2</v>
      </c>
      <c r="F23" s="90">
        <v>1.5</v>
      </c>
      <c r="G23" s="91" t="s">
        <v>22</v>
      </c>
      <c r="H23" s="92">
        <v>88</v>
      </c>
      <c r="I23" s="93">
        <v>132</v>
      </c>
      <c r="J23" s="83"/>
      <c r="K23" s="83"/>
      <c r="L23" s="12"/>
      <c r="M23" s="13"/>
      <c r="N23" s="14"/>
      <c r="O23" s="11"/>
      <c r="P23" s="15"/>
      <c r="Q23" s="16"/>
      <c r="R23" s="2"/>
      <c r="S23" s="12"/>
      <c r="T23" s="17"/>
      <c r="U23" s="2"/>
      <c r="V23" s="18"/>
      <c r="W23" s="8"/>
      <c r="Y23" s="149" t="s">
        <v>23</v>
      </c>
      <c r="Z23" s="152">
        <f t="shared" si="1"/>
        <v>20.399999999999999</v>
      </c>
    </row>
    <row r="24" spans="2:26" ht="18" x14ac:dyDescent="0.35">
      <c r="B24" s="95">
        <v>24</v>
      </c>
      <c r="C24" s="96" t="s">
        <v>88</v>
      </c>
      <c r="D24" s="97">
        <v>0.9</v>
      </c>
      <c r="E24" s="98">
        <v>21.6</v>
      </c>
      <c r="F24" s="90">
        <v>6</v>
      </c>
      <c r="G24" s="91" t="s">
        <v>18</v>
      </c>
      <c r="H24" s="92">
        <v>10</v>
      </c>
      <c r="I24" s="93">
        <v>60</v>
      </c>
      <c r="J24" s="83"/>
      <c r="K24" s="83"/>
      <c r="L24" s="12"/>
      <c r="M24" s="13"/>
      <c r="N24" s="14"/>
      <c r="O24" s="11"/>
      <c r="P24" s="15"/>
      <c r="Q24" s="16"/>
      <c r="R24" s="2"/>
      <c r="S24" s="12"/>
      <c r="T24" s="17"/>
      <c r="U24" s="2"/>
      <c r="V24" s="18"/>
      <c r="W24" s="8"/>
      <c r="Y24" s="149" t="s">
        <v>24</v>
      </c>
      <c r="Z24" s="152">
        <f t="shared" si="1"/>
        <v>0</v>
      </c>
    </row>
    <row r="25" spans="2:26" ht="18" x14ac:dyDescent="0.35">
      <c r="B25" s="95">
        <v>46.5</v>
      </c>
      <c r="C25" s="96" t="s">
        <v>88</v>
      </c>
      <c r="D25" s="97">
        <v>0.9</v>
      </c>
      <c r="E25" s="98">
        <v>41.85</v>
      </c>
      <c r="F25" s="90">
        <v>0.2</v>
      </c>
      <c r="G25" s="91" t="s">
        <v>23</v>
      </c>
      <c r="H25" s="92">
        <v>50</v>
      </c>
      <c r="I25" s="93">
        <v>10</v>
      </c>
      <c r="J25" s="83"/>
      <c r="K25" s="83"/>
      <c r="L25" s="12"/>
      <c r="M25" s="13"/>
      <c r="N25" s="14"/>
      <c r="O25" s="11"/>
      <c r="P25" s="15"/>
      <c r="Q25" s="16"/>
      <c r="R25" s="2"/>
      <c r="S25" s="12"/>
      <c r="T25" s="17"/>
      <c r="U25" s="2"/>
      <c r="V25" s="18"/>
      <c r="W25" s="8"/>
      <c r="Y25" s="149" t="s">
        <v>25</v>
      </c>
      <c r="Z25" s="152">
        <f t="shared" si="1"/>
        <v>0</v>
      </c>
    </row>
    <row r="26" spans="2:26" ht="18" x14ac:dyDescent="0.35">
      <c r="B26" s="95">
        <v>18.5</v>
      </c>
      <c r="C26" s="96" t="s">
        <v>76</v>
      </c>
      <c r="D26" s="97">
        <v>2.2999999999999998</v>
      </c>
      <c r="E26" s="98">
        <v>42.55</v>
      </c>
      <c r="F26" s="90">
        <v>2</v>
      </c>
      <c r="G26" s="91" t="s">
        <v>94</v>
      </c>
      <c r="H26" s="92">
        <v>10</v>
      </c>
      <c r="I26" s="93">
        <v>20</v>
      </c>
      <c r="J26" s="83"/>
      <c r="K26" s="83"/>
      <c r="L26" s="12"/>
      <c r="M26" s="13"/>
      <c r="N26" s="14"/>
      <c r="O26" s="11"/>
      <c r="P26" s="15"/>
      <c r="Q26" s="16"/>
      <c r="R26" s="2"/>
      <c r="S26" s="12"/>
      <c r="T26" s="17"/>
      <c r="U26" s="2"/>
      <c r="V26" s="18"/>
      <c r="W26" s="8"/>
      <c r="Y26" s="149" t="s">
        <v>98</v>
      </c>
      <c r="Z26" s="152">
        <f t="shared" si="1"/>
        <v>3.5</v>
      </c>
    </row>
    <row r="27" spans="2:26" ht="18" x14ac:dyDescent="0.35">
      <c r="B27" s="95">
        <v>91</v>
      </c>
      <c r="C27" s="96" t="s">
        <v>88</v>
      </c>
      <c r="D27" s="97">
        <v>0.9</v>
      </c>
      <c r="E27" s="98">
        <v>81.900000000000006</v>
      </c>
      <c r="F27" s="90">
        <v>12.5</v>
      </c>
      <c r="G27" s="91" t="s">
        <v>23</v>
      </c>
      <c r="H27" s="92">
        <v>50</v>
      </c>
      <c r="I27" s="93">
        <v>625</v>
      </c>
      <c r="J27" s="83"/>
      <c r="K27" s="83"/>
      <c r="L27" s="12"/>
      <c r="M27" s="13"/>
      <c r="N27" s="14"/>
      <c r="O27" s="11"/>
      <c r="P27" s="15"/>
      <c r="Q27" s="16"/>
      <c r="R27" s="2"/>
      <c r="S27" s="12"/>
      <c r="T27" s="17"/>
      <c r="U27" s="2"/>
      <c r="V27" s="18"/>
      <c r="W27" s="8"/>
      <c r="Y27" s="149" t="s">
        <v>94</v>
      </c>
      <c r="Z27" s="152">
        <f t="shared" si="1"/>
        <v>59.2</v>
      </c>
    </row>
    <row r="28" spans="2:26" ht="18" x14ac:dyDescent="0.35">
      <c r="B28" s="95">
        <v>1.5</v>
      </c>
      <c r="C28" s="96" t="s">
        <v>77</v>
      </c>
      <c r="D28" s="97">
        <v>2.1</v>
      </c>
      <c r="E28" s="98">
        <v>3.1500000000000004</v>
      </c>
      <c r="F28" s="90">
        <v>1.5</v>
      </c>
      <c r="G28" s="91" t="s">
        <v>45</v>
      </c>
      <c r="H28" s="92">
        <v>5</v>
      </c>
      <c r="I28" s="93">
        <v>7.5</v>
      </c>
      <c r="J28" s="83"/>
      <c r="K28" s="83"/>
      <c r="L28" s="12"/>
      <c r="M28" s="13"/>
      <c r="N28" s="14"/>
      <c r="O28" s="11"/>
      <c r="P28" s="15"/>
      <c r="Q28" s="16"/>
      <c r="R28" s="2"/>
      <c r="S28" s="12"/>
      <c r="T28" s="17"/>
      <c r="U28" s="2"/>
      <c r="V28" s="18"/>
      <c r="W28" s="8"/>
      <c r="Y28" s="149" t="s">
        <v>42</v>
      </c>
      <c r="Z28" s="152">
        <f t="shared" si="1"/>
        <v>0</v>
      </c>
    </row>
    <row r="29" spans="2:26" ht="18" x14ac:dyDescent="0.35">
      <c r="B29" s="95">
        <v>222.5</v>
      </c>
      <c r="C29" s="96" t="s">
        <v>76</v>
      </c>
      <c r="D29" s="97">
        <v>2.2999999999999998</v>
      </c>
      <c r="E29" s="98">
        <v>511.74999999999994</v>
      </c>
      <c r="F29" s="90">
        <v>3.5</v>
      </c>
      <c r="G29" s="91" t="s">
        <v>98</v>
      </c>
      <c r="H29" s="92">
        <v>5</v>
      </c>
      <c r="I29" s="93">
        <v>17.5</v>
      </c>
      <c r="J29" s="83"/>
      <c r="K29" s="83"/>
      <c r="L29" s="12"/>
      <c r="M29" s="13"/>
      <c r="N29" s="14"/>
      <c r="O29" s="11"/>
      <c r="P29" s="15"/>
      <c r="Q29" s="16"/>
      <c r="R29" s="2"/>
      <c r="S29" s="12"/>
      <c r="T29" s="17"/>
      <c r="U29" s="2"/>
      <c r="V29" s="18"/>
      <c r="W29" s="8"/>
      <c r="Y29" s="149" t="s">
        <v>39</v>
      </c>
      <c r="Z29" s="152">
        <f t="shared" si="1"/>
        <v>0</v>
      </c>
    </row>
    <row r="30" spans="2:26" ht="18" x14ac:dyDescent="0.35">
      <c r="B30" s="95">
        <v>61.5</v>
      </c>
      <c r="C30" s="96" t="s">
        <v>76</v>
      </c>
      <c r="D30" s="97">
        <v>2.2999999999999998</v>
      </c>
      <c r="E30" s="98">
        <v>141.44999999999999</v>
      </c>
      <c r="F30" s="90">
        <v>0.5</v>
      </c>
      <c r="G30" s="91" t="s">
        <v>23</v>
      </c>
      <c r="H30" s="92">
        <v>50</v>
      </c>
      <c r="I30" s="93">
        <v>25</v>
      </c>
      <c r="J30" s="83"/>
      <c r="K30" s="83"/>
      <c r="L30" s="12"/>
      <c r="M30" s="13"/>
      <c r="N30" s="14"/>
      <c r="O30" s="11"/>
      <c r="P30" s="15"/>
      <c r="Q30" s="16"/>
      <c r="R30" s="2"/>
      <c r="S30" s="12"/>
      <c r="T30" s="17"/>
      <c r="U30" s="2"/>
      <c r="V30" s="18"/>
      <c r="W30" s="8"/>
      <c r="Y30" s="149" t="s">
        <v>99</v>
      </c>
      <c r="Z30" s="152">
        <f t="shared" si="1"/>
        <v>0</v>
      </c>
    </row>
    <row r="31" spans="2:26" ht="18" x14ac:dyDescent="0.35">
      <c r="B31" s="95">
        <v>2</v>
      </c>
      <c r="C31" s="96" t="s">
        <v>77</v>
      </c>
      <c r="D31" s="97">
        <v>2.1</v>
      </c>
      <c r="E31" s="98">
        <v>4.2</v>
      </c>
      <c r="F31" s="90">
        <v>7</v>
      </c>
      <c r="G31" s="91" t="s">
        <v>90</v>
      </c>
      <c r="H31" s="92">
        <v>83</v>
      </c>
      <c r="I31" s="93">
        <v>581</v>
      </c>
      <c r="J31" s="83"/>
      <c r="K31" s="83"/>
      <c r="L31" s="12"/>
      <c r="M31" s="13"/>
      <c r="N31" s="14"/>
      <c r="O31" s="11"/>
      <c r="P31" s="15"/>
      <c r="Q31" s="16"/>
      <c r="R31" s="2"/>
      <c r="S31" s="12"/>
      <c r="T31" s="17"/>
      <c r="U31" s="2"/>
      <c r="V31" s="18"/>
      <c r="W31" s="8"/>
      <c r="Y31" s="149" t="s">
        <v>95</v>
      </c>
      <c r="Z31" s="152">
        <f t="shared" si="1"/>
        <v>0</v>
      </c>
    </row>
    <row r="32" spans="2:26" ht="18" x14ac:dyDescent="0.35">
      <c r="B32" s="95">
        <v>2</v>
      </c>
      <c r="C32" s="96" t="s">
        <v>77</v>
      </c>
      <c r="D32" s="97">
        <v>2.1</v>
      </c>
      <c r="E32" s="98">
        <v>4.2</v>
      </c>
      <c r="F32" s="90">
        <v>1</v>
      </c>
      <c r="G32" s="91" t="s">
        <v>84</v>
      </c>
      <c r="H32" s="92">
        <v>5</v>
      </c>
      <c r="I32" s="93">
        <v>5</v>
      </c>
      <c r="J32" s="83"/>
      <c r="K32" s="83"/>
      <c r="L32" s="12"/>
      <c r="M32" s="13"/>
      <c r="N32" s="14"/>
      <c r="O32" s="11"/>
      <c r="P32" s="15"/>
      <c r="Q32" s="16"/>
      <c r="R32" s="2"/>
      <c r="S32" s="12"/>
      <c r="T32" s="17"/>
      <c r="U32" s="2"/>
      <c r="V32" s="18"/>
      <c r="W32" s="8"/>
      <c r="Y32" s="149" t="s">
        <v>97</v>
      </c>
      <c r="Z32" s="152">
        <f t="shared" si="1"/>
        <v>0</v>
      </c>
    </row>
    <row r="33" spans="2:26" ht="18" x14ac:dyDescent="0.35">
      <c r="B33" s="95">
        <v>10.6</v>
      </c>
      <c r="C33" s="96" t="s">
        <v>76</v>
      </c>
      <c r="D33" s="97">
        <v>2.2999999999999998</v>
      </c>
      <c r="E33" s="98">
        <v>24.38</v>
      </c>
      <c r="F33" s="90">
        <v>1</v>
      </c>
      <c r="G33" s="91" t="s">
        <v>90</v>
      </c>
      <c r="H33" s="92">
        <v>83</v>
      </c>
      <c r="I33" s="93">
        <v>83</v>
      </c>
      <c r="J33" s="83"/>
      <c r="K33" s="83"/>
      <c r="L33" s="12"/>
      <c r="M33" s="13"/>
      <c r="N33" s="14"/>
      <c r="O33" s="11"/>
      <c r="P33" s="15"/>
      <c r="Q33" s="16"/>
      <c r="R33" s="2"/>
      <c r="S33" s="12"/>
      <c r="T33" s="17"/>
      <c r="U33" s="2"/>
      <c r="V33" s="18"/>
      <c r="W33" s="8"/>
      <c r="Y33" s="149" t="s">
        <v>43</v>
      </c>
      <c r="Z33" s="152">
        <f t="shared" si="1"/>
        <v>0</v>
      </c>
    </row>
    <row r="34" spans="2:26" ht="18" x14ac:dyDescent="0.35">
      <c r="B34" s="95">
        <v>30.5</v>
      </c>
      <c r="C34" s="96" t="s">
        <v>76</v>
      </c>
      <c r="D34" s="97">
        <v>2.2999999999999998</v>
      </c>
      <c r="E34" s="98">
        <v>70.149999999999991</v>
      </c>
      <c r="F34" s="90">
        <v>4.5</v>
      </c>
      <c r="G34" s="91" t="s">
        <v>18</v>
      </c>
      <c r="H34" s="92">
        <v>10</v>
      </c>
      <c r="I34" s="93">
        <v>45</v>
      </c>
      <c r="J34" s="83"/>
      <c r="K34" s="83"/>
      <c r="L34" s="12"/>
      <c r="M34" s="13"/>
      <c r="N34" s="14"/>
      <c r="O34" s="11"/>
      <c r="P34" s="15"/>
      <c r="Q34" s="16"/>
      <c r="R34" s="2"/>
      <c r="S34" s="12"/>
      <c r="T34" s="17"/>
      <c r="U34" s="2"/>
      <c r="V34" s="18"/>
      <c r="W34" s="8"/>
      <c r="Y34" s="149" t="s">
        <v>32</v>
      </c>
      <c r="Z34" s="152">
        <f t="shared" si="1"/>
        <v>0</v>
      </c>
    </row>
    <row r="35" spans="2:26" ht="18" x14ac:dyDescent="0.35">
      <c r="B35" s="95">
        <v>16</v>
      </c>
      <c r="C35" s="96" t="s">
        <v>76</v>
      </c>
      <c r="D35" s="97">
        <v>2.2999999999999998</v>
      </c>
      <c r="E35" s="98">
        <v>36.799999999999997</v>
      </c>
      <c r="F35" s="90">
        <v>3</v>
      </c>
      <c r="G35" s="91" t="s">
        <v>18</v>
      </c>
      <c r="H35" s="92">
        <v>10</v>
      </c>
      <c r="I35" s="93">
        <v>30</v>
      </c>
      <c r="J35" s="83"/>
      <c r="K35" s="83"/>
      <c r="L35" s="12"/>
      <c r="M35" s="13"/>
      <c r="N35" s="14"/>
      <c r="O35" s="11"/>
      <c r="P35" s="15"/>
      <c r="Q35" s="16"/>
      <c r="R35" s="2"/>
      <c r="S35" s="12"/>
      <c r="T35" s="17"/>
      <c r="U35" s="2"/>
      <c r="V35" s="18"/>
      <c r="W35" s="8"/>
      <c r="Y35" s="149" t="s">
        <v>33</v>
      </c>
      <c r="Z35" s="152">
        <f t="shared" si="1"/>
        <v>0</v>
      </c>
    </row>
    <row r="36" spans="2:26" ht="18" x14ac:dyDescent="0.35">
      <c r="B36" s="95">
        <v>32</v>
      </c>
      <c r="C36" s="96" t="s">
        <v>77</v>
      </c>
      <c r="D36" s="97">
        <v>2.1</v>
      </c>
      <c r="E36" s="98">
        <v>67.2</v>
      </c>
      <c r="F36" s="90">
        <v>1</v>
      </c>
      <c r="G36" s="91" t="s">
        <v>94</v>
      </c>
      <c r="H36" s="92">
        <v>10</v>
      </c>
      <c r="I36" s="93">
        <v>10</v>
      </c>
      <c r="J36" s="83"/>
      <c r="K36" s="83"/>
      <c r="L36" s="12"/>
      <c r="M36" s="13"/>
      <c r="N36" s="14"/>
      <c r="O36" s="11"/>
      <c r="P36" s="15"/>
      <c r="Q36" s="16"/>
      <c r="R36" s="2"/>
      <c r="S36" s="12"/>
      <c r="T36" s="17"/>
      <c r="U36" s="2"/>
      <c r="V36" s="18"/>
      <c r="W36" s="8"/>
      <c r="Y36" s="149" t="s">
        <v>30</v>
      </c>
      <c r="Z36" s="152">
        <f t="shared" si="1"/>
        <v>0</v>
      </c>
    </row>
    <row r="37" spans="2:26" ht="18" x14ac:dyDescent="0.35">
      <c r="B37" s="95">
        <v>7.5</v>
      </c>
      <c r="C37" s="96" t="s">
        <v>77</v>
      </c>
      <c r="D37" s="97">
        <v>2.1</v>
      </c>
      <c r="E37" s="98">
        <v>15.75</v>
      </c>
      <c r="F37" s="90">
        <v>30</v>
      </c>
      <c r="G37" s="91" t="s">
        <v>94</v>
      </c>
      <c r="H37" s="92">
        <v>10</v>
      </c>
      <c r="I37" s="93">
        <v>300</v>
      </c>
      <c r="J37" s="83"/>
      <c r="K37" s="83"/>
      <c r="L37" s="12"/>
      <c r="M37" s="13"/>
      <c r="N37" s="14"/>
      <c r="O37" s="11"/>
      <c r="P37" s="15"/>
      <c r="Q37" s="16"/>
      <c r="R37" s="2"/>
      <c r="S37" s="12"/>
      <c r="T37" s="17"/>
      <c r="U37" s="2"/>
      <c r="V37" s="18"/>
      <c r="W37" s="8"/>
      <c r="Y37" s="149" t="s">
        <v>31</v>
      </c>
      <c r="Z37" s="152">
        <f t="shared" si="1"/>
        <v>0</v>
      </c>
    </row>
    <row r="38" spans="2:26" ht="18" x14ac:dyDescent="0.35">
      <c r="B38" s="95">
        <v>7</v>
      </c>
      <c r="C38" s="96" t="s">
        <v>76</v>
      </c>
      <c r="D38" s="97">
        <v>2.2999999999999998</v>
      </c>
      <c r="E38" s="98">
        <v>16.099999999999998</v>
      </c>
      <c r="F38" s="90">
        <v>2</v>
      </c>
      <c r="G38" s="91" t="s">
        <v>102</v>
      </c>
      <c r="H38" s="92">
        <v>5</v>
      </c>
      <c r="I38" s="93">
        <v>10</v>
      </c>
      <c r="J38" s="83"/>
      <c r="K38" s="83"/>
      <c r="L38" s="12"/>
      <c r="M38" s="13"/>
      <c r="N38" s="14"/>
      <c r="O38" s="11"/>
      <c r="P38" s="15"/>
      <c r="Q38" s="16"/>
      <c r="R38" s="2"/>
      <c r="S38" s="12"/>
      <c r="T38" s="17"/>
      <c r="U38" s="2"/>
      <c r="V38" s="18"/>
      <c r="W38" s="8"/>
      <c r="Y38" s="149" t="s">
        <v>84</v>
      </c>
      <c r="Z38" s="152">
        <f t="shared" si="1"/>
        <v>5.6</v>
      </c>
    </row>
    <row r="39" spans="2:26" ht="18" x14ac:dyDescent="0.35">
      <c r="B39" s="95">
        <v>1</v>
      </c>
      <c r="C39" s="96" t="s">
        <v>76</v>
      </c>
      <c r="D39" s="97">
        <v>2.2999999999999998</v>
      </c>
      <c r="E39" s="98">
        <v>2.2999999999999998</v>
      </c>
      <c r="F39" s="90">
        <v>8.5</v>
      </c>
      <c r="G39" s="91" t="s">
        <v>90</v>
      </c>
      <c r="H39" s="92">
        <v>83</v>
      </c>
      <c r="I39" s="93">
        <v>705.5</v>
      </c>
      <c r="J39" s="83"/>
      <c r="K39" s="83"/>
      <c r="L39" s="12"/>
      <c r="M39" s="13"/>
      <c r="N39" s="14"/>
      <c r="O39" s="11"/>
      <c r="P39" s="15"/>
      <c r="Q39" s="16"/>
      <c r="R39" s="2"/>
      <c r="S39" s="12"/>
      <c r="T39" s="17"/>
      <c r="U39" s="2"/>
      <c r="V39" s="18"/>
      <c r="W39" s="8"/>
      <c r="Y39" s="149" t="s">
        <v>85</v>
      </c>
      <c r="Z39" s="152">
        <f t="shared" si="1"/>
        <v>5.4</v>
      </c>
    </row>
    <row r="40" spans="2:26" ht="18" x14ac:dyDescent="0.35">
      <c r="B40" s="95">
        <v>45.5</v>
      </c>
      <c r="C40" s="96" t="s">
        <v>77</v>
      </c>
      <c r="D40" s="97">
        <v>2.1</v>
      </c>
      <c r="E40" s="98">
        <v>95.55</v>
      </c>
      <c r="F40" s="90">
        <v>4.5</v>
      </c>
      <c r="G40" s="91" t="s">
        <v>23</v>
      </c>
      <c r="H40" s="92">
        <v>50</v>
      </c>
      <c r="I40" s="93">
        <v>225</v>
      </c>
      <c r="J40" s="83"/>
      <c r="K40" s="83"/>
      <c r="L40" s="12"/>
      <c r="M40" s="13"/>
      <c r="N40" s="14"/>
      <c r="O40" s="11"/>
      <c r="P40" s="15"/>
      <c r="Q40" s="16"/>
      <c r="R40" s="2"/>
      <c r="S40" s="12"/>
      <c r="T40" s="17"/>
      <c r="U40" s="2"/>
      <c r="V40" s="18"/>
      <c r="W40" s="8"/>
      <c r="Y40" s="149" t="s">
        <v>86</v>
      </c>
      <c r="Z40" s="152">
        <f t="shared" si="1"/>
        <v>0</v>
      </c>
    </row>
    <row r="41" spans="2:26" ht="18" x14ac:dyDescent="0.35">
      <c r="B41" s="95">
        <v>4.5</v>
      </c>
      <c r="C41" s="96" t="s">
        <v>77</v>
      </c>
      <c r="D41" s="97">
        <v>2.1</v>
      </c>
      <c r="E41" s="98">
        <v>9.4500000000000011</v>
      </c>
      <c r="F41" s="90">
        <v>0.5</v>
      </c>
      <c r="G41" s="91" t="s">
        <v>90</v>
      </c>
      <c r="H41" s="92">
        <v>83</v>
      </c>
      <c r="I41" s="93">
        <v>41.5</v>
      </c>
      <c r="J41" s="83"/>
      <c r="K41" s="83"/>
      <c r="L41" s="12"/>
      <c r="M41" s="13"/>
      <c r="N41" s="14"/>
      <c r="O41" s="11"/>
      <c r="P41" s="15"/>
      <c r="Q41" s="16"/>
      <c r="R41" s="2"/>
      <c r="S41" s="12"/>
      <c r="T41" s="17"/>
      <c r="U41" s="2"/>
      <c r="V41" s="18"/>
      <c r="W41" s="8"/>
      <c r="Y41" s="149" t="s">
        <v>87</v>
      </c>
      <c r="Z41" s="152">
        <f t="shared" si="1"/>
        <v>0</v>
      </c>
    </row>
    <row r="42" spans="2:26" ht="18" x14ac:dyDescent="0.35">
      <c r="B42" s="95"/>
      <c r="C42" s="96"/>
      <c r="D42" s="97"/>
      <c r="E42" s="98"/>
      <c r="F42" s="90">
        <v>4</v>
      </c>
      <c r="G42" s="91" t="s">
        <v>84</v>
      </c>
      <c r="H42" s="92">
        <v>5</v>
      </c>
      <c r="I42" s="93">
        <v>20</v>
      </c>
      <c r="J42" s="83"/>
      <c r="K42" s="83"/>
      <c r="L42" s="12"/>
      <c r="M42" s="13"/>
      <c r="N42" s="14"/>
      <c r="O42" s="11"/>
      <c r="P42" s="15"/>
      <c r="Q42" s="16"/>
      <c r="R42" s="2"/>
      <c r="S42" s="12"/>
      <c r="T42" s="17"/>
      <c r="U42" s="2"/>
      <c r="V42" s="18"/>
      <c r="W42" s="8"/>
      <c r="Y42" s="149" t="s">
        <v>46</v>
      </c>
      <c r="Z42" s="152">
        <f t="shared" si="1"/>
        <v>0</v>
      </c>
    </row>
    <row r="43" spans="2:26" ht="18" x14ac:dyDescent="0.35">
      <c r="B43" s="95"/>
      <c r="C43" s="96"/>
      <c r="D43" s="97"/>
      <c r="E43" s="98"/>
      <c r="F43" s="90">
        <v>0.4</v>
      </c>
      <c r="G43" s="91" t="s">
        <v>85</v>
      </c>
      <c r="H43" s="92">
        <v>10</v>
      </c>
      <c r="I43" s="93">
        <v>4</v>
      </c>
      <c r="J43" s="83"/>
      <c r="K43" s="83"/>
      <c r="L43" s="12"/>
      <c r="M43" s="13"/>
      <c r="N43" s="14"/>
      <c r="O43" s="11"/>
      <c r="P43" s="15"/>
      <c r="Q43" s="16"/>
      <c r="R43" s="2"/>
      <c r="S43" s="12"/>
      <c r="T43" s="17"/>
      <c r="U43" s="2"/>
      <c r="V43" s="18"/>
      <c r="W43" s="8"/>
      <c r="Y43" s="149" t="s">
        <v>47</v>
      </c>
      <c r="Z43" s="152">
        <f t="shared" si="1"/>
        <v>0</v>
      </c>
    </row>
    <row r="44" spans="2:26" ht="18" x14ac:dyDescent="0.35">
      <c r="B44" s="95"/>
      <c r="C44" s="96"/>
      <c r="D44" s="97"/>
      <c r="E44" s="98"/>
      <c r="F44" s="90">
        <v>0.6</v>
      </c>
      <c r="G44" s="91" t="s">
        <v>84</v>
      </c>
      <c r="H44" s="92">
        <v>5</v>
      </c>
      <c r="I44" s="93">
        <v>3</v>
      </c>
      <c r="J44" s="83"/>
      <c r="K44" s="83"/>
      <c r="L44" s="12"/>
      <c r="M44" s="13"/>
      <c r="N44" s="14"/>
      <c r="O44" s="11"/>
      <c r="P44" s="15"/>
      <c r="Q44" s="16"/>
      <c r="R44" s="2"/>
      <c r="S44" s="12"/>
      <c r="T44" s="17"/>
      <c r="U44" s="2"/>
      <c r="V44" s="18"/>
      <c r="W44" s="8"/>
      <c r="Y44" s="149" t="s">
        <v>48</v>
      </c>
      <c r="Z44" s="152">
        <f t="shared" si="1"/>
        <v>6</v>
      </c>
    </row>
    <row r="45" spans="2:26" ht="18" x14ac:dyDescent="0.35">
      <c r="B45" s="95"/>
      <c r="C45" s="96"/>
      <c r="D45" s="97"/>
      <c r="E45" s="98"/>
      <c r="F45" s="90">
        <v>2</v>
      </c>
      <c r="G45" s="91" t="s">
        <v>67</v>
      </c>
      <c r="H45" s="92">
        <v>86</v>
      </c>
      <c r="I45" s="93">
        <v>172</v>
      </c>
      <c r="J45" s="83"/>
      <c r="K45" s="83"/>
      <c r="L45" s="12"/>
      <c r="M45" s="13"/>
      <c r="N45" s="14"/>
      <c r="O45" s="11"/>
      <c r="P45" s="15"/>
      <c r="Q45" s="16"/>
      <c r="R45" s="2"/>
      <c r="S45" s="12"/>
      <c r="T45" s="17"/>
      <c r="U45" s="2"/>
      <c r="V45" s="18"/>
      <c r="W45" s="8"/>
      <c r="Y45" s="149" t="s">
        <v>83</v>
      </c>
      <c r="Z45" s="152">
        <f t="shared" si="1"/>
        <v>0</v>
      </c>
    </row>
    <row r="46" spans="2:26" ht="18" x14ac:dyDescent="0.35">
      <c r="B46" s="95"/>
      <c r="C46" s="96"/>
      <c r="D46" s="97"/>
      <c r="E46" s="98"/>
      <c r="F46" s="90">
        <v>6</v>
      </c>
      <c r="G46" s="91" t="s">
        <v>48</v>
      </c>
      <c r="H46" s="92">
        <v>6</v>
      </c>
      <c r="I46" s="93">
        <v>36</v>
      </c>
      <c r="J46" s="83"/>
      <c r="K46" s="83"/>
      <c r="L46" s="12"/>
      <c r="M46" s="13"/>
      <c r="N46" s="14"/>
      <c r="O46" s="11"/>
      <c r="P46" s="15"/>
      <c r="Q46" s="16"/>
      <c r="R46" s="2"/>
      <c r="S46" s="12"/>
      <c r="T46" s="17"/>
      <c r="U46" s="2"/>
      <c r="V46" s="18"/>
      <c r="W46" s="8"/>
      <c r="Y46" s="149" t="s">
        <v>96</v>
      </c>
      <c r="Z46" s="152">
        <f t="shared" si="1"/>
        <v>0</v>
      </c>
    </row>
    <row r="47" spans="2:26" ht="18" x14ac:dyDescent="0.35">
      <c r="B47" s="95"/>
      <c r="C47" s="96"/>
      <c r="D47" s="97"/>
      <c r="E47" s="98"/>
      <c r="F47" s="90">
        <v>14</v>
      </c>
      <c r="G47" s="91" t="s">
        <v>94</v>
      </c>
      <c r="H47" s="92">
        <v>10</v>
      </c>
      <c r="I47" s="93">
        <v>140</v>
      </c>
      <c r="J47" s="83"/>
      <c r="K47" s="83"/>
      <c r="L47" s="12"/>
      <c r="M47" s="13"/>
      <c r="N47" s="14"/>
      <c r="O47" s="11"/>
      <c r="P47" s="15"/>
      <c r="Q47" s="16"/>
      <c r="R47" s="2"/>
      <c r="S47" s="12"/>
      <c r="T47" s="17"/>
      <c r="U47" s="2"/>
      <c r="V47" s="18"/>
      <c r="W47" s="8"/>
      <c r="Y47" s="149" t="s">
        <v>73</v>
      </c>
      <c r="Z47" s="152">
        <f t="shared" si="1"/>
        <v>0</v>
      </c>
    </row>
    <row r="48" spans="2:26" ht="18" x14ac:dyDescent="0.35">
      <c r="B48" s="95"/>
      <c r="C48" s="96"/>
      <c r="D48" s="97"/>
      <c r="E48" s="98"/>
      <c r="F48" s="90">
        <v>5</v>
      </c>
      <c r="G48" s="91" t="s">
        <v>90</v>
      </c>
      <c r="H48" s="92">
        <v>83</v>
      </c>
      <c r="I48" s="93">
        <v>415</v>
      </c>
      <c r="J48" s="83"/>
      <c r="K48" s="83"/>
      <c r="L48" s="12"/>
      <c r="M48" s="13"/>
      <c r="N48" s="14"/>
      <c r="O48" s="11"/>
      <c r="P48" s="15"/>
      <c r="Q48" s="16"/>
      <c r="R48" s="2"/>
      <c r="S48" s="12"/>
      <c r="T48" s="17"/>
      <c r="U48" s="2"/>
      <c r="V48" s="18"/>
      <c r="W48" s="8"/>
      <c r="Y48" s="149" t="s">
        <v>74</v>
      </c>
      <c r="Z48" s="152">
        <f t="shared" si="1"/>
        <v>13.5</v>
      </c>
    </row>
    <row r="49" spans="2:26" ht="18" x14ac:dyDescent="0.35">
      <c r="B49" s="95"/>
      <c r="C49" s="96"/>
      <c r="D49" s="97"/>
      <c r="E49" s="98"/>
      <c r="F49" s="90">
        <v>1</v>
      </c>
      <c r="G49" s="91" t="s">
        <v>23</v>
      </c>
      <c r="H49" s="92">
        <v>50</v>
      </c>
      <c r="I49" s="93">
        <v>50</v>
      </c>
      <c r="J49" s="83"/>
      <c r="K49" s="83"/>
      <c r="L49" s="12"/>
      <c r="M49" s="13"/>
      <c r="N49" s="14"/>
      <c r="O49" s="11"/>
      <c r="P49" s="15"/>
      <c r="Q49" s="16"/>
      <c r="R49" s="2"/>
      <c r="S49" s="12"/>
      <c r="T49" s="17"/>
      <c r="U49" s="2"/>
      <c r="V49" s="18"/>
      <c r="W49" s="8"/>
      <c r="Y49" s="149" t="s">
        <v>70</v>
      </c>
      <c r="Z49" s="152">
        <f t="shared" si="1"/>
        <v>0</v>
      </c>
    </row>
    <row r="50" spans="2:26" ht="18" x14ac:dyDescent="0.35">
      <c r="B50" s="95"/>
      <c r="C50" s="96"/>
      <c r="D50" s="97"/>
      <c r="E50" s="98"/>
      <c r="F50" s="90">
        <v>22</v>
      </c>
      <c r="G50" s="91" t="s">
        <v>18</v>
      </c>
      <c r="H50" s="92">
        <v>10</v>
      </c>
      <c r="I50" s="93">
        <v>220</v>
      </c>
      <c r="J50" s="83"/>
      <c r="K50" s="83"/>
      <c r="L50" s="12"/>
      <c r="M50" s="13"/>
      <c r="N50" s="14"/>
      <c r="O50" s="11"/>
      <c r="P50" s="15"/>
      <c r="Q50" s="16"/>
      <c r="R50" s="2"/>
      <c r="S50" s="12"/>
      <c r="T50" s="17"/>
      <c r="U50" s="2"/>
      <c r="V50" s="18"/>
      <c r="W50" s="8"/>
      <c r="Y50" s="149" t="s">
        <v>64</v>
      </c>
      <c r="Z50" s="152">
        <f t="shared" si="1"/>
        <v>0</v>
      </c>
    </row>
    <row r="51" spans="2:26" ht="18" x14ac:dyDescent="0.35">
      <c r="B51" s="95"/>
      <c r="C51" s="96"/>
      <c r="D51" s="97"/>
      <c r="E51" s="98"/>
      <c r="F51" s="90">
        <v>5</v>
      </c>
      <c r="G51" s="91" t="s">
        <v>85</v>
      </c>
      <c r="H51" s="92">
        <v>10</v>
      </c>
      <c r="I51" s="93">
        <v>50</v>
      </c>
      <c r="J51" s="83"/>
      <c r="K51" s="83"/>
      <c r="L51" s="12"/>
      <c r="M51" s="13"/>
      <c r="N51" s="14"/>
      <c r="O51" s="11"/>
      <c r="P51" s="15"/>
      <c r="Q51" s="16"/>
      <c r="R51" s="2"/>
      <c r="S51" s="12"/>
      <c r="T51" s="17"/>
      <c r="U51" s="2"/>
      <c r="V51" s="18"/>
      <c r="W51" s="8"/>
      <c r="Y51" s="149" t="s">
        <v>65</v>
      </c>
      <c r="Z51" s="152">
        <f t="shared" si="1"/>
        <v>0</v>
      </c>
    </row>
    <row r="52" spans="2:26" ht="18" x14ac:dyDescent="0.35">
      <c r="B52" s="95"/>
      <c r="C52" s="96"/>
      <c r="D52" s="97"/>
      <c r="E52" s="98"/>
      <c r="F52" s="90">
        <v>0.6</v>
      </c>
      <c r="G52" s="91" t="s">
        <v>92</v>
      </c>
      <c r="H52" s="92">
        <v>68</v>
      </c>
      <c r="I52" s="93">
        <v>40.799999999999997</v>
      </c>
      <c r="J52" s="83"/>
      <c r="K52" s="83"/>
      <c r="L52" s="12"/>
      <c r="M52" s="13"/>
      <c r="N52" s="14"/>
      <c r="O52" s="11"/>
      <c r="P52" s="15"/>
      <c r="Q52" s="16"/>
      <c r="R52" s="2"/>
      <c r="S52" s="12"/>
      <c r="T52" s="17"/>
      <c r="U52" s="2"/>
      <c r="V52" s="18"/>
      <c r="W52" s="8"/>
      <c r="Y52" s="149" t="s">
        <v>66</v>
      </c>
      <c r="Z52" s="152">
        <f t="shared" si="1"/>
        <v>0</v>
      </c>
    </row>
    <row r="53" spans="2:26" ht="18" x14ac:dyDescent="0.35">
      <c r="B53" s="95"/>
      <c r="C53" s="96"/>
      <c r="D53" s="97"/>
      <c r="E53" s="98"/>
      <c r="F53" s="90">
        <v>3.2</v>
      </c>
      <c r="G53" s="91" t="s">
        <v>94</v>
      </c>
      <c r="H53" s="92">
        <v>10</v>
      </c>
      <c r="I53" s="93">
        <v>32</v>
      </c>
      <c r="J53" s="83"/>
      <c r="K53" s="83"/>
      <c r="L53" s="12"/>
      <c r="M53" s="13"/>
      <c r="N53" s="14"/>
      <c r="O53" s="11"/>
      <c r="P53" s="15"/>
      <c r="Q53" s="16"/>
      <c r="R53" s="2"/>
      <c r="S53" s="12"/>
      <c r="T53" s="17"/>
      <c r="U53" s="2"/>
      <c r="V53" s="18"/>
      <c r="W53" s="8"/>
      <c r="Y53" s="149" t="s">
        <v>100</v>
      </c>
      <c r="Z53" s="152">
        <f t="shared" si="1"/>
        <v>0</v>
      </c>
    </row>
    <row r="54" spans="2:26" ht="18" x14ac:dyDescent="0.35">
      <c r="B54" s="95"/>
      <c r="C54" s="96"/>
      <c r="D54" s="97"/>
      <c r="E54" s="98"/>
      <c r="F54" s="90">
        <v>4</v>
      </c>
      <c r="G54" s="91" t="s">
        <v>18</v>
      </c>
      <c r="H54" s="92">
        <v>10</v>
      </c>
      <c r="I54" s="93">
        <v>40</v>
      </c>
      <c r="J54" s="83"/>
      <c r="K54" s="83"/>
      <c r="L54" s="12"/>
      <c r="M54" s="13"/>
      <c r="N54" s="14"/>
      <c r="O54" s="11"/>
      <c r="P54" s="15"/>
      <c r="Q54" s="16"/>
      <c r="R54" s="2"/>
      <c r="S54" s="12"/>
      <c r="T54" s="17"/>
      <c r="U54" s="2"/>
      <c r="V54" s="18"/>
      <c r="W54" s="8"/>
      <c r="Y54" s="149" t="s">
        <v>101</v>
      </c>
      <c r="Z54" s="152">
        <f t="shared" si="1"/>
        <v>0</v>
      </c>
    </row>
    <row r="55" spans="2:26" ht="18" x14ac:dyDescent="0.35">
      <c r="B55" s="95"/>
      <c r="C55" s="96"/>
      <c r="D55" s="97"/>
      <c r="E55" s="98"/>
      <c r="F55" s="90">
        <v>1.5</v>
      </c>
      <c r="G55" s="91" t="s">
        <v>90</v>
      </c>
      <c r="H55" s="92">
        <v>83</v>
      </c>
      <c r="I55" s="93">
        <v>124.5</v>
      </c>
      <c r="J55" s="83"/>
      <c r="K55" s="83"/>
      <c r="L55" s="12"/>
      <c r="M55" s="13"/>
      <c r="N55" s="14"/>
      <c r="O55" s="11"/>
      <c r="P55" s="15"/>
      <c r="Q55" s="16"/>
      <c r="R55" s="2"/>
      <c r="S55" s="12"/>
      <c r="T55" s="17"/>
      <c r="U55" s="2"/>
      <c r="V55" s="18"/>
      <c r="W55" s="8"/>
      <c r="Y55" s="149" t="s">
        <v>102</v>
      </c>
      <c r="Z55" s="152">
        <f t="shared" si="1"/>
        <v>2</v>
      </c>
    </row>
    <row r="56" spans="2:26" ht="18" x14ac:dyDescent="0.35">
      <c r="B56" s="95"/>
      <c r="C56" s="96"/>
      <c r="D56" s="97"/>
      <c r="E56" s="98"/>
      <c r="F56" s="90">
        <v>11</v>
      </c>
      <c r="G56" s="91" t="s">
        <v>18</v>
      </c>
      <c r="H56" s="92">
        <v>10</v>
      </c>
      <c r="I56" s="93">
        <v>110</v>
      </c>
      <c r="J56" s="83"/>
      <c r="K56" s="83"/>
      <c r="L56" s="12"/>
      <c r="M56" s="13"/>
      <c r="N56" s="14"/>
      <c r="O56" s="11"/>
      <c r="P56" s="15"/>
      <c r="Q56" s="16"/>
      <c r="R56" s="2"/>
      <c r="S56" s="12"/>
      <c r="T56" s="17"/>
      <c r="U56" s="2"/>
      <c r="V56" s="18"/>
      <c r="W56" s="8"/>
      <c r="Y56" s="149" t="s">
        <v>26</v>
      </c>
      <c r="Z56" s="152">
        <f t="shared" si="1"/>
        <v>0</v>
      </c>
    </row>
    <row r="57" spans="2:26" ht="18" x14ac:dyDescent="0.35">
      <c r="B57" s="95"/>
      <c r="C57" s="96"/>
      <c r="D57" s="97"/>
      <c r="E57" s="98"/>
      <c r="F57" s="90">
        <v>13.5</v>
      </c>
      <c r="G57" s="91" t="s">
        <v>74</v>
      </c>
      <c r="H57" s="92">
        <v>5</v>
      </c>
      <c r="I57" s="93">
        <v>67.5</v>
      </c>
      <c r="J57" s="83"/>
      <c r="K57" s="83"/>
      <c r="L57" s="12"/>
      <c r="M57" s="13"/>
      <c r="N57" s="14"/>
      <c r="O57" s="11"/>
      <c r="P57" s="15"/>
      <c r="Q57" s="16"/>
      <c r="R57" s="2"/>
      <c r="S57" s="12"/>
      <c r="T57" s="17"/>
      <c r="U57" s="2"/>
      <c r="V57" s="18"/>
      <c r="W57" s="8"/>
      <c r="Y57" s="149" t="s">
        <v>27</v>
      </c>
      <c r="Z57" s="152">
        <f t="shared" si="1"/>
        <v>0</v>
      </c>
    </row>
    <row r="58" spans="2:26" ht="18" x14ac:dyDescent="0.35">
      <c r="B58" s="95"/>
      <c r="C58" s="96"/>
      <c r="D58" s="97"/>
      <c r="E58" s="98"/>
      <c r="F58" s="90">
        <v>2</v>
      </c>
      <c r="G58" s="91" t="s">
        <v>90</v>
      </c>
      <c r="H58" s="92">
        <v>83</v>
      </c>
      <c r="I58" s="93">
        <v>166</v>
      </c>
      <c r="J58" s="83"/>
      <c r="K58" s="83"/>
      <c r="L58" s="12"/>
      <c r="M58" s="13"/>
      <c r="N58" s="14"/>
      <c r="O58" s="11"/>
      <c r="P58" s="15"/>
      <c r="Q58" s="16"/>
      <c r="R58" s="2"/>
      <c r="S58" s="12"/>
      <c r="T58" s="17"/>
      <c r="U58" s="2"/>
      <c r="V58" s="18"/>
      <c r="W58" s="8"/>
      <c r="Y58" s="149" t="s">
        <v>28</v>
      </c>
      <c r="Z58" s="152">
        <f t="shared" si="1"/>
        <v>0</v>
      </c>
    </row>
    <row r="59" spans="2:26" ht="18" x14ac:dyDescent="0.35">
      <c r="B59" s="95"/>
      <c r="C59" s="96"/>
      <c r="D59" s="97"/>
      <c r="E59" s="98"/>
      <c r="F59" s="90">
        <v>3</v>
      </c>
      <c r="G59" s="91" t="s">
        <v>18</v>
      </c>
      <c r="H59" s="92">
        <v>10</v>
      </c>
      <c r="I59" s="93">
        <v>30</v>
      </c>
      <c r="J59" s="83"/>
      <c r="K59" s="83"/>
      <c r="L59" s="12"/>
      <c r="M59" s="13"/>
      <c r="N59" s="14"/>
      <c r="O59" s="11"/>
      <c r="P59" s="15"/>
      <c r="Q59" s="16"/>
      <c r="R59" s="2"/>
      <c r="S59" s="12"/>
      <c r="T59" s="17"/>
      <c r="U59" s="2"/>
      <c r="V59" s="18"/>
      <c r="W59" s="8"/>
      <c r="Y59" s="149" t="s">
        <v>29</v>
      </c>
      <c r="Z59" s="152">
        <f t="shared" si="1"/>
        <v>0</v>
      </c>
    </row>
    <row r="60" spans="2:26" ht="18" x14ac:dyDescent="0.35">
      <c r="B60" s="95"/>
      <c r="C60" s="96"/>
      <c r="D60" s="97"/>
      <c r="E60" s="98"/>
      <c r="F60" s="90">
        <v>1</v>
      </c>
      <c r="G60" s="91" t="s">
        <v>90</v>
      </c>
      <c r="H60" s="92">
        <v>83</v>
      </c>
      <c r="I60" s="93">
        <v>83</v>
      </c>
      <c r="J60" s="83"/>
      <c r="K60" s="83"/>
      <c r="L60" s="12"/>
      <c r="M60" s="13"/>
      <c r="N60" s="14"/>
      <c r="O60" s="11"/>
      <c r="P60" s="15"/>
      <c r="Q60" s="16"/>
      <c r="R60" s="2"/>
      <c r="S60" s="12"/>
      <c r="T60" s="17"/>
      <c r="U60" s="2"/>
      <c r="V60" s="18"/>
      <c r="W60" s="8"/>
      <c r="Y60" s="149" t="s">
        <v>34</v>
      </c>
      <c r="Z60" s="152">
        <f t="shared" si="1"/>
        <v>0</v>
      </c>
    </row>
    <row r="61" spans="2:26" ht="18" x14ac:dyDescent="0.35">
      <c r="B61" s="95"/>
      <c r="C61" s="96"/>
      <c r="D61" s="97"/>
      <c r="E61" s="98"/>
      <c r="F61" s="90">
        <v>2.5</v>
      </c>
      <c r="G61" s="91" t="s">
        <v>94</v>
      </c>
      <c r="H61" s="92">
        <v>10</v>
      </c>
      <c r="I61" s="93">
        <v>25</v>
      </c>
      <c r="J61" s="83"/>
      <c r="K61" s="83"/>
      <c r="L61" s="12"/>
      <c r="M61" s="13"/>
      <c r="N61" s="14"/>
      <c r="O61" s="11"/>
      <c r="P61" s="15"/>
      <c r="Q61" s="16"/>
      <c r="R61" s="2"/>
      <c r="S61" s="12"/>
      <c r="T61" s="17"/>
      <c r="U61" s="2"/>
      <c r="V61" s="18"/>
      <c r="W61" s="8"/>
      <c r="Y61" s="149" t="s">
        <v>35</v>
      </c>
      <c r="Z61" s="152">
        <f t="shared" si="1"/>
        <v>0</v>
      </c>
    </row>
    <row r="62" spans="2:26" ht="18" x14ac:dyDescent="0.35">
      <c r="B62" s="95"/>
      <c r="C62" s="96"/>
      <c r="D62" s="97"/>
      <c r="E62" s="98"/>
      <c r="F62" s="90">
        <v>0.5</v>
      </c>
      <c r="G62" s="91" t="s">
        <v>18</v>
      </c>
      <c r="H62" s="92">
        <v>10</v>
      </c>
      <c r="I62" s="93">
        <v>5</v>
      </c>
      <c r="J62" s="83"/>
      <c r="K62" s="83"/>
      <c r="L62" s="12"/>
      <c r="M62" s="13"/>
      <c r="N62" s="14"/>
      <c r="O62" s="11"/>
      <c r="P62" s="15"/>
      <c r="Q62" s="16"/>
      <c r="R62" s="2"/>
      <c r="S62" s="12"/>
      <c r="T62" s="17"/>
      <c r="U62" s="2"/>
      <c r="V62" s="18"/>
      <c r="W62" s="8"/>
      <c r="Y62" s="149" t="s">
        <v>36</v>
      </c>
      <c r="Z62" s="152">
        <f t="shared" si="1"/>
        <v>0</v>
      </c>
    </row>
    <row r="63" spans="2:26" ht="18" x14ac:dyDescent="0.35">
      <c r="B63" s="95"/>
      <c r="C63" s="96"/>
      <c r="D63" s="97"/>
      <c r="E63" s="98"/>
      <c r="F63" s="90">
        <v>0.2</v>
      </c>
      <c r="G63" s="91" t="s">
        <v>92</v>
      </c>
      <c r="H63" s="92">
        <v>68</v>
      </c>
      <c r="I63" s="93">
        <v>13.600000000000001</v>
      </c>
      <c r="J63" s="83"/>
      <c r="K63" s="83"/>
      <c r="L63" s="12"/>
      <c r="M63" s="13"/>
      <c r="N63" s="14"/>
      <c r="O63" s="11"/>
      <c r="P63" s="15"/>
      <c r="Q63" s="16"/>
      <c r="R63" s="2"/>
      <c r="S63" s="12"/>
      <c r="T63" s="17"/>
      <c r="U63" s="2"/>
      <c r="V63" s="18"/>
      <c r="W63" s="8"/>
      <c r="Y63" s="149" t="s">
        <v>37</v>
      </c>
      <c r="Z63" s="152">
        <f t="shared" si="1"/>
        <v>0</v>
      </c>
    </row>
    <row r="64" spans="2:26" ht="18" x14ac:dyDescent="0.35">
      <c r="B64" s="95"/>
      <c r="C64" s="96"/>
      <c r="D64" s="97"/>
      <c r="E64" s="98"/>
      <c r="F64" s="90">
        <v>1.5</v>
      </c>
      <c r="G64" s="91" t="s">
        <v>94</v>
      </c>
      <c r="H64" s="92">
        <v>10</v>
      </c>
      <c r="I64" s="93">
        <v>15</v>
      </c>
      <c r="J64" s="83"/>
      <c r="K64" s="83"/>
      <c r="L64" s="12"/>
      <c r="M64" s="13"/>
      <c r="N64" s="14"/>
      <c r="O64" s="11"/>
      <c r="P64" s="15"/>
      <c r="Q64" s="16"/>
      <c r="R64" s="2"/>
      <c r="S64" s="12"/>
      <c r="T64" s="17"/>
      <c r="U64" s="2"/>
      <c r="V64" s="18"/>
      <c r="W64" s="8"/>
      <c r="Y64" s="149" t="s">
        <v>38</v>
      </c>
      <c r="Z64" s="152">
        <f t="shared" si="1"/>
        <v>0</v>
      </c>
    </row>
    <row r="65" spans="2:26" ht="18" x14ac:dyDescent="0.35">
      <c r="B65" s="95"/>
      <c r="C65" s="96"/>
      <c r="D65" s="97"/>
      <c r="E65" s="98"/>
      <c r="F65" s="99">
        <v>0.5</v>
      </c>
      <c r="G65" s="100" t="s">
        <v>90</v>
      </c>
      <c r="H65" s="101">
        <v>83</v>
      </c>
      <c r="I65" s="102">
        <v>41.5</v>
      </c>
      <c r="J65" s="83"/>
      <c r="K65" s="83"/>
      <c r="L65" s="12"/>
      <c r="M65" s="13"/>
      <c r="N65" s="14"/>
      <c r="O65" s="11"/>
      <c r="P65" s="15"/>
      <c r="Q65" s="16"/>
      <c r="R65" s="2"/>
      <c r="S65" s="12"/>
      <c r="T65" s="17"/>
      <c r="U65" s="2"/>
      <c r="V65" s="18"/>
      <c r="W65" s="8"/>
      <c r="Y65" s="149" t="s">
        <v>40</v>
      </c>
      <c r="Z65" s="152">
        <f t="shared" si="1"/>
        <v>0</v>
      </c>
    </row>
    <row r="66" spans="2:26" ht="18" x14ac:dyDescent="0.35">
      <c r="B66" s="95"/>
      <c r="C66" s="96"/>
      <c r="D66" s="97"/>
      <c r="E66" s="98"/>
      <c r="F66" s="90">
        <v>2</v>
      </c>
      <c r="G66" s="91" t="s">
        <v>18</v>
      </c>
      <c r="H66" s="92">
        <v>10</v>
      </c>
      <c r="I66" s="93">
        <v>20</v>
      </c>
      <c r="J66" s="83"/>
      <c r="K66" s="83"/>
      <c r="L66" s="12"/>
      <c r="M66" s="13"/>
      <c r="N66" s="14"/>
      <c r="O66" s="11"/>
      <c r="P66" s="15"/>
      <c r="Q66" s="16"/>
      <c r="R66" s="2"/>
      <c r="S66" s="12"/>
      <c r="T66" s="17"/>
      <c r="U66" s="2"/>
      <c r="V66" s="18"/>
      <c r="W66" s="8"/>
      <c r="Y66" s="149" t="s">
        <v>41</v>
      </c>
      <c r="Z66" s="152">
        <f t="shared" si="1"/>
        <v>0</v>
      </c>
    </row>
    <row r="67" spans="2:26" ht="18" x14ac:dyDescent="0.35">
      <c r="B67" s="95"/>
      <c r="C67" s="96"/>
      <c r="D67" s="97"/>
      <c r="E67" s="98"/>
      <c r="F67" s="103"/>
      <c r="G67" s="94"/>
      <c r="H67" s="104"/>
      <c r="I67" s="105"/>
      <c r="J67" s="83"/>
      <c r="K67" s="83"/>
      <c r="L67" s="12"/>
      <c r="M67" s="13"/>
      <c r="N67" s="14"/>
      <c r="O67" s="11"/>
      <c r="P67" s="15"/>
      <c r="Q67" s="16"/>
      <c r="R67" s="2"/>
      <c r="S67" s="12"/>
      <c r="T67" s="17"/>
      <c r="U67" s="2"/>
      <c r="V67" s="18"/>
      <c r="W67" s="8"/>
      <c r="Y67" s="149" t="s">
        <v>69</v>
      </c>
      <c r="Z67" s="152">
        <f t="shared" si="1"/>
        <v>0</v>
      </c>
    </row>
    <row r="68" spans="2:26" ht="18" x14ac:dyDescent="0.35">
      <c r="B68" s="95"/>
      <c r="C68" s="96"/>
      <c r="D68" s="97"/>
      <c r="E68" s="98"/>
      <c r="F68" s="90"/>
      <c r="G68" s="91"/>
      <c r="H68" s="92"/>
      <c r="I68" s="105"/>
      <c r="J68" s="83"/>
      <c r="K68" s="83"/>
      <c r="L68" s="12"/>
      <c r="M68" s="13"/>
      <c r="N68" s="14"/>
      <c r="O68" s="11"/>
      <c r="P68" s="15"/>
      <c r="Q68" s="16"/>
      <c r="R68" s="2"/>
      <c r="S68" s="12"/>
      <c r="T68" s="17"/>
      <c r="U68" s="2"/>
      <c r="V68" s="18"/>
      <c r="W68" s="8"/>
      <c r="Y68" s="149" t="s">
        <v>108</v>
      </c>
      <c r="Z68" s="152">
        <f t="shared" si="1"/>
        <v>0</v>
      </c>
    </row>
    <row r="69" spans="2:26" ht="18" x14ac:dyDescent="0.35">
      <c r="B69" s="95"/>
      <c r="C69" s="96"/>
      <c r="D69" s="97"/>
      <c r="E69" s="98"/>
      <c r="F69" s="90"/>
      <c r="G69" s="91"/>
      <c r="H69" s="92"/>
      <c r="I69" s="105"/>
      <c r="J69" s="83"/>
      <c r="K69" s="83"/>
      <c r="L69" s="12"/>
      <c r="M69" s="13"/>
      <c r="N69" s="14"/>
      <c r="O69" s="11"/>
      <c r="P69" s="15"/>
      <c r="Q69" s="16"/>
      <c r="R69" s="2"/>
      <c r="S69" s="12"/>
      <c r="T69" s="17"/>
      <c r="U69" s="2"/>
      <c r="V69" s="18"/>
      <c r="W69" s="8"/>
      <c r="Y69" s="149" t="s">
        <v>44</v>
      </c>
      <c r="Z69" s="152">
        <f t="shared" si="1"/>
        <v>0</v>
      </c>
    </row>
    <row r="70" spans="2:26" ht="18" x14ac:dyDescent="0.35">
      <c r="B70" s="95"/>
      <c r="C70" s="96"/>
      <c r="D70" s="97"/>
      <c r="E70" s="98"/>
      <c r="F70" s="90"/>
      <c r="G70" s="91"/>
      <c r="H70" s="92"/>
      <c r="I70" s="105"/>
      <c r="J70" s="83"/>
      <c r="K70" s="83"/>
      <c r="L70" s="12"/>
      <c r="M70" s="13"/>
      <c r="N70" s="14"/>
      <c r="O70" s="11"/>
      <c r="P70" s="15"/>
      <c r="Q70" s="16"/>
      <c r="R70" s="2"/>
      <c r="S70" s="12"/>
      <c r="T70" s="17"/>
      <c r="U70" s="2"/>
      <c r="V70" s="18"/>
      <c r="W70" s="8"/>
      <c r="Y70" s="149" t="s">
        <v>45</v>
      </c>
      <c r="Z70" s="152">
        <f t="shared" si="1"/>
        <v>1.5</v>
      </c>
    </row>
    <row r="71" spans="2:26" ht="18" x14ac:dyDescent="0.35">
      <c r="B71" s="95"/>
      <c r="C71" s="96"/>
      <c r="D71" s="97"/>
      <c r="E71" s="98"/>
      <c r="F71" s="90"/>
      <c r="G71" s="91"/>
      <c r="H71" s="92"/>
      <c r="I71" s="105"/>
      <c r="J71" s="83"/>
      <c r="K71" s="83"/>
      <c r="L71" s="12"/>
      <c r="M71" s="13"/>
      <c r="N71" s="14"/>
      <c r="O71" s="11"/>
      <c r="P71" s="15"/>
      <c r="Q71" s="16"/>
      <c r="R71" s="2"/>
      <c r="S71" s="12"/>
      <c r="T71" s="17"/>
      <c r="U71" s="2"/>
      <c r="V71" s="18"/>
      <c r="W71" s="8"/>
      <c r="Y71" s="149" t="s">
        <v>49</v>
      </c>
      <c r="Z71" s="152">
        <f t="shared" si="1"/>
        <v>0</v>
      </c>
    </row>
    <row r="72" spans="2:26" ht="18" x14ac:dyDescent="0.35">
      <c r="B72" s="106"/>
      <c r="C72" s="107"/>
      <c r="D72" s="108"/>
      <c r="E72" s="109"/>
      <c r="F72" s="90"/>
      <c r="G72" s="91"/>
      <c r="H72" s="92"/>
      <c r="I72" s="105"/>
      <c r="J72" s="83"/>
      <c r="K72" s="83"/>
      <c r="L72" s="12"/>
      <c r="M72" s="13"/>
      <c r="N72" s="14"/>
      <c r="O72" s="11"/>
      <c r="P72" s="15"/>
      <c r="Q72" s="16"/>
      <c r="R72" s="2"/>
      <c r="S72" s="12"/>
      <c r="T72" s="17"/>
      <c r="U72" s="2"/>
      <c r="V72" s="18"/>
      <c r="W72" s="8"/>
      <c r="Y72" s="149" t="s">
        <v>50</v>
      </c>
      <c r="Z72" s="152">
        <f t="shared" si="1"/>
        <v>0</v>
      </c>
    </row>
    <row r="73" spans="2:26" ht="18" x14ac:dyDescent="0.35">
      <c r="B73" s="95"/>
      <c r="C73" s="96"/>
      <c r="D73" s="97"/>
      <c r="E73" s="98"/>
      <c r="F73" s="90"/>
      <c r="G73" s="91"/>
      <c r="H73" s="92"/>
      <c r="I73" s="105"/>
      <c r="J73" s="83"/>
      <c r="K73" s="83"/>
      <c r="L73" s="20"/>
      <c r="M73" s="21"/>
      <c r="N73" s="22"/>
      <c r="O73" s="19"/>
      <c r="P73" s="23"/>
      <c r="Q73" s="24"/>
      <c r="R73" s="2"/>
      <c r="S73" s="20"/>
      <c r="T73" s="25"/>
      <c r="U73" s="2"/>
      <c r="V73" s="26"/>
      <c r="W73" s="27"/>
      <c r="Y73" s="149" t="s">
        <v>51</v>
      </c>
      <c r="Z73" s="152">
        <f t="shared" si="1"/>
        <v>0</v>
      </c>
    </row>
    <row r="74" spans="2:26" ht="18" x14ac:dyDescent="0.35">
      <c r="B74" s="110"/>
      <c r="C74" s="111"/>
      <c r="D74" s="112"/>
      <c r="E74" s="113"/>
      <c r="F74" s="90"/>
      <c r="G74" s="91"/>
      <c r="H74" s="92"/>
      <c r="I74" s="105"/>
      <c r="J74" s="83"/>
      <c r="K74" s="83"/>
      <c r="L74" s="12"/>
      <c r="M74" s="28"/>
      <c r="N74" s="14"/>
      <c r="O74" s="11"/>
      <c r="P74" s="11"/>
      <c r="Q74" s="16"/>
      <c r="R74" s="2"/>
      <c r="S74" s="12"/>
      <c r="T74" s="17"/>
      <c r="U74" s="2"/>
      <c r="V74" s="18"/>
      <c r="W74" s="16"/>
      <c r="Y74" s="149" t="s">
        <v>52</v>
      </c>
      <c r="Z74" s="152">
        <f t="shared" si="1"/>
        <v>0</v>
      </c>
    </row>
    <row r="75" spans="2:26" ht="18" x14ac:dyDescent="0.35">
      <c r="B75" s="95"/>
      <c r="C75" s="96"/>
      <c r="D75" s="97"/>
      <c r="E75" s="113"/>
      <c r="F75" s="90"/>
      <c r="G75" s="91"/>
      <c r="H75" s="92"/>
      <c r="I75" s="105"/>
      <c r="J75" s="83"/>
      <c r="K75" s="83"/>
      <c r="L75" s="12"/>
      <c r="M75" s="28"/>
      <c r="N75" s="14"/>
      <c r="O75" s="11"/>
      <c r="P75" s="11"/>
      <c r="Q75" s="16"/>
      <c r="R75" s="2"/>
      <c r="S75" s="12"/>
      <c r="T75" s="17"/>
      <c r="U75" s="2"/>
      <c r="V75" s="18"/>
      <c r="W75" s="16"/>
      <c r="Y75" s="149" t="s">
        <v>72</v>
      </c>
      <c r="Z75" s="152">
        <f t="shared" si="1"/>
        <v>0</v>
      </c>
    </row>
    <row r="76" spans="2:26" ht="18" x14ac:dyDescent="0.35">
      <c r="B76" s="95"/>
      <c r="C76" s="96"/>
      <c r="D76" s="97"/>
      <c r="E76" s="113"/>
      <c r="F76" s="90"/>
      <c r="G76" s="91"/>
      <c r="H76" s="92"/>
      <c r="I76" s="105"/>
      <c r="J76" s="83"/>
      <c r="K76" s="83"/>
      <c r="L76" s="12"/>
      <c r="M76" s="28"/>
      <c r="N76" s="14"/>
      <c r="O76" s="11"/>
      <c r="P76" s="11"/>
      <c r="Q76" s="16"/>
      <c r="R76" s="2"/>
      <c r="S76" s="12"/>
      <c r="T76" s="17"/>
      <c r="U76" s="2"/>
      <c r="V76" s="18"/>
      <c r="W76" s="16"/>
      <c r="Y76" s="149" t="s">
        <v>71</v>
      </c>
      <c r="Z76" s="152">
        <f t="shared" si="1"/>
        <v>0</v>
      </c>
    </row>
    <row r="77" spans="2:26" ht="18" x14ac:dyDescent="0.35">
      <c r="B77" s="95"/>
      <c r="C77" s="96"/>
      <c r="D77" s="97"/>
      <c r="E77" s="113"/>
      <c r="F77" s="90"/>
      <c r="G77" s="91"/>
      <c r="H77" s="92"/>
      <c r="I77" s="105"/>
      <c r="J77" s="83"/>
      <c r="K77" s="83"/>
      <c r="L77" s="12"/>
      <c r="M77" s="28"/>
      <c r="N77" s="14"/>
      <c r="O77" s="11"/>
      <c r="P77" s="11"/>
      <c r="Q77" s="16"/>
      <c r="R77" s="2"/>
      <c r="S77" s="12"/>
      <c r="T77" s="17"/>
      <c r="U77" s="2"/>
      <c r="V77" s="18"/>
      <c r="W77" s="16"/>
      <c r="Y77" s="149" t="s">
        <v>53</v>
      </c>
      <c r="Z77" s="152">
        <f t="shared" ref="Z77:Z79" si="2">SUMIF($G$9:$G$129, Y77, $F$9:$F$129)</f>
        <v>0</v>
      </c>
    </row>
    <row r="78" spans="2:26" ht="18" x14ac:dyDescent="0.35">
      <c r="B78" s="95"/>
      <c r="C78" s="96"/>
      <c r="D78" s="97"/>
      <c r="E78" s="113"/>
      <c r="F78" s="90"/>
      <c r="G78" s="91"/>
      <c r="H78" s="92"/>
      <c r="I78" s="105"/>
      <c r="J78" s="83"/>
      <c r="K78" s="83"/>
      <c r="L78" s="12"/>
      <c r="M78" s="28"/>
      <c r="N78" s="14"/>
      <c r="O78" s="11"/>
      <c r="P78" s="11"/>
      <c r="Q78" s="16"/>
      <c r="R78" s="2"/>
      <c r="S78" s="12"/>
      <c r="T78" s="17"/>
      <c r="U78" s="2"/>
      <c r="V78" s="18"/>
      <c r="W78" s="16"/>
      <c r="Y78" s="149" t="s">
        <v>54</v>
      </c>
      <c r="Z78" s="152">
        <f t="shared" si="2"/>
        <v>0</v>
      </c>
    </row>
    <row r="79" spans="2:26" ht="18.600000000000001" thickBot="1" x14ac:dyDescent="0.4">
      <c r="B79" s="95"/>
      <c r="C79" s="96"/>
      <c r="D79" s="97"/>
      <c r="E79" s="113"/>
      <c r="F79" s="90"/>
      <c r="G79" s="91"/>
      <c r="H79" s="92"/>
      <c r="I79" s="105"/>
      <c r="J79" s="83"/>
      <c r="K79" s="83"/>
      <c r="L79" s="12"/>
      <c r="M79" s="28"/>
      <c r="N79" s="14"/>
      <c r="O79" s="11"/>
      <c r="P79" s="11"/>
      <c r="Q79" s="16"/>
      <c r="R79" s="2"/>
      <c r="S79" s="12"/>
      <c r="T79" s="17"/>
      <c r="U79" s="2"/>
      <c r="V79" s="18"/>
      <c r="W79" s="16"/>
      <c r="Y79" s="150" t="s">
        <v>55</v>
      </c>
      <c r="Z79" s="153">
        <f t="shared" si="2"/>
        <v>0</v>
      </c>
    </row>
    <row r="80" spans="2:26" ht="18" x14ac:dyDescent="0.35">
      <c r="B80" s="95"/>
      <c r="C80" s="96"/>
      <c r="D80" s="97"/>
      <c r="E80" s="113"/>
      <c r="F80" s="90"/>
      <c r="G80" s="91"/>
      <c r="H80" s="92"/>
      <c r="I80" s="105"/>
      <c r="J80" s="83"/>
      <c r="K80" s="83"/>
      <c r="L80" s="12"/>
      <c r="M80" s="28"/>
      <c r="N80" s="14"/>
      <c r="O80" s="11"/>
      <c r="P80" s="11"/>
      <c r="Q80" s="16"/>
      <c r="R80" s="2"/>
      <c r="S80" s="12"/>
      <c r="T80" s="17"/>
      <c r="U80" s="2"/>
      <c r="V80" s="18"/>
      <c r="W80" s="16"/>
    </row>
    <row r="81" spans="2:23" ht="18" x14ac:dyDescent="0.35">
      <c r="B81" s="95"/>
      <c r="C81" s="96"/>
      <c r="D81" s="97"/>
      <c r="E81" s="113"/>
      <c r="F81" s="90"/>
      <c r="G81" s="91"/>
      <c r="H81" s="92"/>
      <c r="I81" s="105"/>
      <c r="J81" s="83"/>
      <c r="K81" s="83"/>
      <c r="L81" s="12"/>
      <c r="M81" s="28"/>
      <c r="N81" s="14"/>
      <c r="O81" s="11"/>
      <c r="P81" s="11"/>
      <c r="Q81" s="16"/>
      <c r="R81" s="2"/>
      <c r="S81" s="12"/>
      <c r="T81" s="17"/>
      <c r="U81" s="2"/>
      <c r="V81" s="18"/>
      <c r="W81" s="16"/>
    </row>
    <row r="82" spans="2:23" ht="18" x14ac:dyDescent="0.35">
      <c r="B82" s="95"/>
      <c r="C82" s="96"/>
      <c r="D82" s="97"/>
      <c r="E82" s="113"/>
      <c r="F82" s="90"/>
      <c r="G82" s="91"/>
      <c r="H82" s="92"/>
      <c r="I82" s="105"/>
      <c r="J82" s="83"/>
      <c r="K82" s="83"/>
      <c r="L82" s="12"/>
      <c r="M82" s="28"/>
      <c r="N82" s="14"/>
      <c r="O82" s="11"/>
      <c r="P82" s="11"/>
      <c r="Q82" s="16"/>
      <c r="R82" s="2"/>
      <c r="S82" s="12"/>
      <c r="T82" s="17"/>
      <c r="U82" s="2"/>
      <c r="V82" s="18"/>
      <c r="W82" s="16"/>
    </row>
    <row r="83" spans="2:23" ht="18" x14ac:dyDescent="0.35">
      <c r="B83" s="95"/>
      <c r="C83" s="96"/>
      <c r="D83" s="97"/>
      <c r="E83" s="113"/>
      <c r="F83" s="90"/>
      <c r="G83" s="91"/>
      <c r="H83" s="92"/>
      <c r="I83" s="105"/>
      <c r="J83" s="83"/>
      <c r="K83" s="83"/>
      <c r="L83" s="12"/>
      <c r="M83" s="28"/>
      <c r="N83" s="14"/>
      <c r="O83" s="11"/>
      <c r="P83" s="11"/>
      <c r="Q83" s="16"/>
      <c r="R83" s="2"/>
      <c r="S83" s="12"/>
      <c r="T83" s="17"/>
      <c r="U83" s="2"/>
      <c r="V83" s="18"/>
      <c r="W83" s="16"/>
    </row>
    <row r="84" spans="2:23" ht="18" x14ac:dyDescent="0.35">
      <c r="B84" s="95"/>
      <c r="C84" s="96"/>
      <c r="D84" s="97"/>
      <c r="E84" s="113"/>
      <c r="F84" s="90"/>
      <c r="G84" s="91"/>
      <c r="H84" s="92"/>
      <c r="I84" s="105"/>
      <c r="J84" s="83"/>
      <c r="K84" s="83"/>
      <c r="L84" s="12"/>
      <c r="M84" s="28"/>
      <c r="N84" s="14"/>
      <c r="O84" s="11"/>
      <c r="P84" s="11"/>
      <c r="Q84" s="16"/>
      <c r="R84" s="2"/>
      <c r="S84" s="12"/>
      <c r="T84" s="17"/>
      <c r="U84" s="2"/>
      <c r="V84" s="18"/>
      <c r="W84" s="16"/>
    </row>
    <row r="85" spans="2:23" ht="18" x14ac:dyDescent="0.35">
      <c r="B85" s="95"/>
      <c r="C85" s="96"/>
      <c r="D85" s="97"/>
      <c r="E85" s="113"/>
      <c r="F85" s="90"/>
      <c r="G85" s="91"/>
      <c r="H85" s="92"/>
      <c r="I85" s="105"/>
      <c r="J85" s="83"/>
      <c r="K85" s="83"/>
      <c r="L85" s="12"/>
      <c r="M85" s="28"/>
      <c r="N85" s="14"/>
      <c r="O85" s="11"/>
      <c r="P85" s="11"/>
      <c r="Q85" s="16"/>
      <c r="R85" s="2"/>
      <c r="S85" s="12"/>
      <c r="T85" s="17"/>
      <c r="U85" s="2"/>
      <c r="V85" s="18"/>
      <c r="W85" s="16"/>
    </row>
    <row r="86" spans="2:23" ht="18" x14ac:dyDescent="0.35">
      <c r="B86" s="95"/>
      <c r="C86" s="96"/>
      <c r="D86" s="97"/>
      <c r="E86" s="113"/>
      <c r="F86" s="90"/>
      <c r="G86" s="91"/>
      <c r="H86" s="92"/>
      <c r="I86" s="105"/>
      <c r="J86" s="83"/>
      <c r="K86" s="83"/>
      <c r="L86" s="12"/>
      <c r="M86" s="28"/>
      <c r="N86" s="14"/>
      <c r="O86" s="11"/>
      <c r="P86" s="11"/>
      <c r="Q86" s="16"/>
      <c r="R86" s="2"/>
      <c r="S86" s="12"/>
      <c r="T86" s="17"/>
      <c r="U86" s="2"/>
      <c r="V86" s="18"/>
      <c r="W86" s="16"/>
    </row>
    <row r="87" spans="2:23" ht="18" x14ac:dyDescent="0.35">
      <c r="B87" s="95"/>
      <c r="C87" s="96"/>
      <c r="D87" s="97"/>
      <c r="E87" s="113"/>
      <c r="F87" s="90"/>
      <c r="G87" s="91"/>
      <c r="H87" s="92"/>
      <c r="I87" s="105"/>
      <c r="J87" s="83"/>
      <c r="K87" s="83"/>
      <c r="L87" s="12"/>
      <c r="M87" s="28"/>
      <c r="N87" s="14"/>
      <c r="O87" s="11"/>
      <c r="P87" s="11"/>
      <c r="Q87" s="16"/>
      <c r="R87" s="2"/>
      <c r="S87" s="12"/>
      <c r="T87" s="17"/>
      <c r="U87" s="2"/>
      <c r="V87" s="18"/>
      <c r="W87" s="16"/>
    </row>
    <row r="88" spans="2:23" ht="18" x14ac:dyDescent="0.35">
      <c r="B88" s="95"/>
      <c r="C88" s="96"/>
      <c r="D88" s="97"/>
      <c r="E88" s="113"/>
      <c r="F88" s="90"/>
      <c r="G88" s="91"/>
      <c r="H88" s="92"/>
      <c r="I88" s="105"/>
      <c r="J88" s="83"/>
      <c r="K88" s="83"/>
      <c r="L88" s="12"/>
      <c r="M88" s="28"/>
      <c r="N88" s="14"/>
      <c r="O88" s="11"/>
      <c r="P88" s="11"/>
      <c r="Q88" s="16"/>
      <c r="R88" s="2"/>
      <c r="S88" s="12"/>
      <c r="T88" s="17"/>
      <c r="U88" s="2"/>
      <c r="V88" s="18"/>
      <c r="W88" s="16"/>
    </row>
    <row r="89" spans="2:23" ht="18" x14ac:dyDescent="0.35">
      <c r="B89" s="95"/>
      <c r="C89" s="96"/>
      <c r="D89" s="97"/>
      <c r="E89" s="113"/>
      <c r="F89" s="90"/>
      <c r="G89" s="91"/>
      <c r="H89" s="92"/>
      <c r="I89" s="105"/>
      <c r="J89" s="83"/>
      <c r="K89" s="83"/>
      <c r="L89" s="12"/>
      <c r="M89" s="28"/>
      <c r="N89" s="14"/>
      <c r="O89" s="11"/>
      <c r="P89" s="11"/>
      <c r="Q89" s="16"/>
      <c r="R89" s="2"/>
      <c r="S89" s="12"/>
      <c r="T89" s="17"/>
      <c r="U89" s="2"/>
      <c r="V89" s="18"/>
      <c r="W89" s="16"/>
    </row>
    <row r="90" spans="2:23" ht="18" x14ac:dyDescent="0.35">
      <c r="B90" s="95"/>
      <c r="C90" s="96"/>
      <c r="D90" s="97"/>
      <c r="E90" s="113"/>
      <c r="F90" s="90"/>
      <c r="G90" s="91"/>
      <c r="H90" s="92"/>
      <c r="I90" s="105"/>
      <c r="J90" s="83"/>
      <c r="K90" s="83"/>
      <c r="L90" s="12"/>
      <c r="M90" s="28"/>
      <c r="N90" s="14"/>
      <c r="O90" s="11"/>
      <c r="P90" s="11"/>
      <c r="Q90" s="16"/>
      <c r="R90" s="2"/>
      <c r="S90" s="12"/>
      <c r="T90" s="17"/>
      <c r="U90" s="2"/>
      <c r="V90" s="18"/>
      <c r="W90" s="16"/>
    </row>
    <row r="91" spans="2:23" ht="18" x14ac:dyDescent="0.35">
      <c r="B91" s="95"/>
      <c r="C91" s="96"/>
      <c r="D91" s="97"/>
      <c r="E91" s="113"/>
      <c r="F91" s="90"/>
      <c r="G91" s="91"/>
      <c r="H91" s="92"/>
      <c r="I91" s="105"/>
      <c r="J91" s="83"/>
      <c r="K91" s="83"/>
      <c r="L91" s="12"/>
      <c r="M91" s="28"/>
      <c r="N91" s="14"/>
      <c r="O91" s="11"/>
      <c r="P91" s="11"/>
      <c r="Q91" s="16"/>
      <c r="R91" s="2"/>
      <c r="S91" s="12"/>
      <c r="T91" s="17"/>
      <c r="U91" s="2"/>
      <c r="V91" s="18"/>
      <c r="W91" s="16"/>
    </row>
    <row r="92" spans="2:23" ht="18" x14ac:dyDescent="0.35">
      <c r="B92" s="95"/>
      <c r="C92" s="96"/>
      <c r="D92" s="97"/>
      <c r="E92" s="113"/>
      <c r="F92" s="90"/>
      <c r="G92" s="91"/>
      <c r="H92" s="92"/>
      <c r="I92" s="105"/>
      <c r="J92" s="83"/>
      <c r="K92" s="83"/>
      <c r="L92" s="12"/>
      <c r="M92" s="28"/>
      <c r="N92" s="14"/>
      <c r="O92" s="11"/>
      <c r="P92" s="11"/>
      <c r="Q92" s="16"/>
      <c r="R92" s="2"/>
      <c r="S92" s="12"/>
      <c r="T92" s="17"/>
      <c r="U92" s="2"/>
      <c r="V92" s="18"/>
      <c r="W92" s="16"/>
    </row>
    <row r="93" spans="2:23" ht="18" x14ac:dyDescent="0.35">
      <c r="B93" s="95"/>
      <c r="C93" s="96"/>
      <c r="D93" s="97"/>
      <c r="E93" s="113"/>
      <c r="F93" s="90"/>
      <c r="G93" s="91"/>
      <c r="H93" s="92"/>
      <c r="I93" s="105"/>
      <c r="J93" s="83"/>
      <c r="K93" s="83"/>
      <c r="L93" s="12"/>
      <c r="M93" s="28"/>
      <c r="N93" s="14"/>
      <c r="O93" s="11"/>
      <c r="P93" s="11"/>
      <c r="Q93" s="16"/>
      <c r="R93" s="2"/>
      <c r="S93" s="12"/>
      <c r="T93" s="17"/>
      <c r="U93" s="2"/>
      <c r="V93" s="18"/>
      <c r="W93" s="16"/>
    </row>
    <row r="94" spans="2:23" ht="18" x14ac:dyDescent="0.35">
      <c r="B94" s="95"/>
      <c r="C94" s="96"/>
      <c r="D94" s="97"/>
      <c r="E94" s="113"/>
      <c r="F94" s="90"/>
      <c r="G94" s="91"/>
      <c r="H94" s="92"/>
      <c r="I94" s="105"/>
      <c r="J94" s="83"/>
      <c r="K94" s="83"/>
      <c r="L94" s="12"/>
      <c r="M94" s="28"/>
      <c r="N94" s="14"/>
      <c r="O94" s="11"/>
      <c r="P94" s="11"/>
      <c r="Q94" s="16"/>
      <c r="R94" s="2"/>
      <c r="S94" s="12"/>
      <c r="T94" s="17"/>
      <c r="U94" s="2"/>
      <c r="V94" s="18"/>
      <c r="W94" s="16"/>
    </row>
    <row r="95" spans="2:23" ht="18" x14ac:dyDescent="0.35">
      <c r="B95" s="95"/>
      <c r="C95" s="96"/>
      <c r="D95" s="97"/>
      <c r="E95" s="113"/>
      <c r="F95" s="90"/>
      <c r="G95" s="91"/>
      <c r="H95" s="92"/>
      <c r="I95" s="105"/>
      <c r="J95" s="83"/>
      <c r="K95" s="83"/>
      <c r="L95" s="12"/>
      <c r="M95" s="28"/>
      <c r="N95" s="14"/>
      <c r="O95" s="11"/>
      <c r="P95" s="11"/>
      <c r="Q95" s="16"/>
      <c r="R95" s="2"/>
      <c r="S95" s="12"/>
      <c r="T95" s="17"/>
      <c r="U95" s="2"/>
      <c r="V95" s="18"/>
      <c r="W95" s="16"/>
    </row>
    <row r="96" spans="2:23" ht="18" x14ac:dyDescent="0.35">
      <c r="B96" s="95"/>
      <c r="C96" s="96"/>
      <c r="D96" s="97"/>
      <c r="E96" s="113"/>
      <c r="F96" s="90"/>
      <c r="G96" s="91"/>
      <c r="H96" s="92"/>
      <c r="I96" s="105"/>
      <c r="J96" s="83"/>
      <c r="K96" s="83"/>
      <c r="L96" s="12"/>
      <c r="M96" s="28"/>
      <c r="N96" s="14"/>
      <c r="O96" s="11"/>
      <c r="P96" s="11"/>
      <c r="Q96" s="16"/>
      <c r="R96" s="2"/>
      <c r="S96" s="12"/>
      <c r="T96" s="17"/>
      <c r="U96" s="2"/>
      <c r="V96" s="18"/>
      <c r="W96" s="16"/>
    </row>
    <row r="97" spans="2:23" ht="18" x14ac:dyDescent="0.35">
      <c r="B97" s="95"/>
      <c r="C97" s="96"/>
      <c r="D97" s="97"/>
      <c r="E97" s="113"/>
      <c r="F97" s="90"/>
      <c r="G97" s="91"/>
      <c r="H97" s="92"/>
      <c r="I97" s="105"/>
      <c r="J97" s="83"/>
      <c r="K97" s="83"/>
      <c r="L97" s="12"/>
      <c r="M97" s="28"/>
      <c r="N97" s="14"/>
      <c r="O97" s="11"/>
      <c r="P97" s="11"/>
      <c r="Q97" s="16"/>
      <c r="R97" s="2"/>
      <c r="S97" s="12"/>
      <c r="T97" s="17"/>
      <c r="U97" s="2"/>
      <c r="V97" s="18"/>
      <c r="W97" s="16"/>
    </row>
    <row r="98" spans="2:23" ht="18" x14ac:dyDescent="0.35">
      <c r="B98" s="95"/>
      <c r="C98" s="96"/>
      <c r="D98" s="97"/>
      <c r="E98" s="113"/>
      <c r="F98" s="90"/>
      <c r="G98" s="91"/>
      <c r="H98" s="92"/>
      <c r="I98" s="105"/>
      <c r="J98" s="83"/>
      <c r="K98" s="83"/>
      <c r="L98" s="12"/>
      <c r="M98" s="28"/>
      <c r="N98" s="14"/>
      <c r="O98" s="11"/>
      <c r="P98" s="11"/>
      <c r="Q98" s="16"/>
      <c r="R98" s="2"/>
      <c r="S98" s="12"/>
      <c r="T98" s="17"/>
      <c r="U98" s="2"/>
      <c r="V98" s="18"/>
      <c r="W98" s="16"/>
    </row>
    <row r="99" spans="2:23" ht="18" x14ac:dyDescent="0.35">
      <c r="B99" s="95"/>
      <c r="C99" s="96"/>
      <c r="D99" s="97"/>
      <c r="E99" s="113"/>
      <c r="F99" s="90"/>
      <c r="G99" s="91"/>
      <c r="H99" s="92"/>
      <c r="I99" s="105"/>
      <c r="J99" s="83"/>
      <c r="K99" s="83"/>
      <c r="L99" s="12"/>
      <c r="M99" s="28"/>
      <c r="N99" s="14"/>
      <c r="O99" s="11"/>
      <c r="P99" s="11"/>
      <c r="Q99" s="16"/>
      <c r="R99" s="2"/>
      <c r="S99" s="12"/>
      <c r="T99" s="17"/>
      <c r="U99" s="2"/>
      <c r="V99" s="18"/>
      <c r="W99" s="16"/>
    </row>
    <row r="100" spans="2:23" ht="18" x14ac:dyDescent="0.35">
      <c r="B100" s="95"/>
      <c r="C100" s="96"/>
      <c r="D100" s="97"/>
      <c r="E100" s="113"/>
      <c r="F100" s="90"/>
      <c r="G100" s="91"/>
      <c r="H100" s="92"/>
      <c r="I100" s="105"/>
      <c r="J100" s="83"/>
      <c r="K100" s="83"/>
      <c r="L100" s="12"/>
      <c r="M100" s="28"/>
      <c r="N100" s="14"/>
      <c r="O100" s="11"/>
      <c r="P100" s="11"/>
      <c r="Q100" s="16"/>
      <c r="R100" s="2"/>
      <c r="S100" s="12"/>
      <c r="T100" s="17"/>
      <c r="U100" s="2"/>
      <c r="V100" s="18"/>
      <c r="W100" s="16"/>
    </row>
    <row r="101" spans="2:23" ht="18" x14ac:dyDescent="0.35">
      <c r="B101" s="95"/>
      <c r="C101" s="96"/>
      <c r="D101" s="97"/>
      <c r="E101" s="113"/>
      <c r="F101" s="90"/>
      <c r="G101" s="91"/>
      <c r="H101" s="92"/>
      <c r="I101" s="105"/>
      <c r="J101" s="83"/>
      <c r="K101" s="83"/>
      <c r="L101" s="12"/>
      <c r="M101" s="28"/>
      <c r="N101" s="14"/>
      <c r="O101" s="11"/>
      <c r="P101" s="11"/>
      <c r="Q101" s="16"/>
      <c r="R101" s="2"/>
      <c r="S101" s="12"/>
      <c r="T101" s="17"/>
      <c r="U101" s="2"/>
      <c r="V101" s="18"/>
      <c r="W101" s="16"/>
    </row>
    <row r="102" spans="2:23" ht="18" x14ac:dyDescent="0.35">
      <c r="B102" s="95"/>
      <c r="C102" s="96"/>
      <c r="D102" s="97"/>
      <c r="E102" s="113"/>
      <c r="F102" s="90"/>
      <c r="G102" s="91"/>
      <c r="H102" s="92"/>
      <c r="I102" s="105"/>
      <c r="J102" s="83"/>
      <c r="K102" s="83"/>
      <c r="L102" s="12"/>
      <c r="M102" s="28"/>
      <c r="N102" s="14"/>
      <c r="O102" s="11"/>
      <c r="P102" s="11"/>
      <c r="Q102" s="16"/>
      <c r="R102" s="2"/>
      <c r="S102" s="12"/>
      <c r="T102" s="17"/>
      <c r="U102" s="2"/>
      <c r="V102" s="18"/>
      <c r="W102" s="16"/>
    </row>
    <row r="103" spans="2:23" ht="18" x14ac:dyDescent="0.35">
      <c r="B103" s="95"/>
      <c r="C103" s="96"/>
      <c r="D103" s="97"/>
      <c r="E103" s="113"/>
      <c r="F103" s="90"/>
      <c r="G103" s="91"/>
      <c r="H103" s="92"/>
      <c r="I103" s="105"/>
      <c r="J103" s="83"/>
      <c r="K103" s="83"/>
      <c r="L103" s="12"/>
      <c r="M103" s="28"/>
      <c r="N103" s="14"/>
      <c r="O103" s="11"/>
      <c r="P103" s="11"/>
      <c r="Q103" s="16"/>
      <c r="R103" s="2"/>
      <c r="S103" s="12"/>
      <c r="T103" s="17"/>
      <c r="U103" s="2"/>
      <c r="V103" s="18"/>
      <c r="W103" s="16"/>
    </row>
    <row r="104" spans="2:23" ht="18" x14ac:dyDescent="0.35">
      <c r="B104" s="95"/>
      <c r="C104" s="96"/>
      <c r="D104" s="97"/>
      <c r="E104" s="113"/>
      <c r="F104" s="90"/>
      <c r="G104" s="91"/>
      <c r="H104" s="92"/>
      <c r="I104" s="105"/>
      <c r="J104" s="83"/>
      <c r="K104" s="83"/>
      <c r="L104" s="12"/>
      <c r="M104" s="28"/>
      <c r="N104" s="14"/>
      <c r="O104" s="11"/>
      <c r="P104" s="11"/>
      <c r="Q104" s="16"/>
      <c r="R104" s="2"/>
      <c r="S104" s="12"/>
      <c r="T104" s="17"/>
      <c r="U104" s="2"/>
      <c r="V104" s="18"/>
      <c r="W104" s="16"/>
    </row>
    <row r="105" spans="2:23" ht="18" x14ac:dyDescent="0.35">
      <c r="B105" s="95"/>
      <c r="C105" s="96"/>
      <c r="D105" s="97"/>
      <c r="E105" s="113"/>
      <c r="F105" s="90"/>
      <c r="G105" s="91"/>
      <c r="H105" s="92"/>
      <c r="I105" s="105"/>
      <c r="J105" s="83"/>
      <c r="K105" s="83"/>
      <c r="L105" s="12"/>
      <c r="M105" s="28"/>
      <c r="N105" s="14"/>
      <c r="O105" s="11"/>
      <c r="P105" s="11"/>
      <c r="Q105" s="16"/>
      <c r="R105" s="2"/>
      <c r="S105" s="12"/>
      <c r="T105" s="17"/>
      <c r="U105" s="2"/>
      <c r="V105" s="18"/>
      <c r="W105" s="16"/>
    </row>
    <row r="106" spans="2:23" ht="18" x14ac:dyDescent="0.35">
      <c r="B106" s="95"/>
      <c r="C106" s="96"/>
      <c r="D106" s="97"/>
      <c r="E106" s="113"/>
      <c r="F106" s="90"/>
      <c r="G106" s="91"/>
      <c r="H106" s="92"/>
      <c r="I106" s="105"/>
      <c r="J106" s="83"/>
      <c r="K106" s="83"/>
      <c r="L106" s="12"/>
      <c r="M106" s="28"/>
      <c r="N106" s="14"/>
      <c r="O106" s="11"/>
      <c r="P106" s="11"/>
      <c r="Q106" s="16"/>
      <c r="R106" s="2"/>
      <c r="S106" s="12"/>
      <c r="T106" s="17"/>
      <c r="U106" s="2"/>
      <c r="V106" s="18"/>
      <c r="W106" s="16"/>
    </row>
    <row r="107" spans="2:23" ht="18" x14ac:dyDescent="0.35">
      <c r="B107" s="95"/>
      <c r="C107" s="96"/>
      <c r="D107" s="97"/>
      <c r="E107" s="113"/>
      <c r="F107" s="90"/>
      <c r="G107" s="91"/>
      <c r="H107" s="92"/>
      <c r="I107" s="105"/>
      <c r="J107" s="83"/>
      <c r="K107" s="83"/>
      <c r="L107" s="12"/>
      <c r="M107" s="28"/>
      <c r="N107" s="14"/>
      <c r="O107" s="11"/>
      <c r="P107" s="11"/>
      <c r="Q107" s="16"/>
      <c r="R107" s="2"/>
      <c r="S107" s="12"/>
      <c r="T107" s="17"/>
      <c r="U107" s="2"/>
      <c r="V107" s="18"/>
      <c r="W107" s="16"/>
    </row>
    <row r="108" spans="2:23" ht="18" x14ac:dyDescent="0.35">
      <c r="B108" s="95"/>
      <c r="C108" s="96"/>
      <c r="D108" s="97"/>
      <c r="E108" s="113"/>
      <c r="F108" s="90"/>
      <c r="G108" s="91"/>
      <c r="H108" s="92"/>
      <c r="I108" s="105"/>
      <c r="J108" s="83"/>
      <c r="K108" s="83"/>
      <c r="L108" s="12"/>
      <c r="M108" s="28"/>
      <c r="N108" s="14"/>
      <c r="O108" s="11"/>
      <c r="P108" s="11"/>
      <c r="Q108" s="16"/>
      <c r="R108" s="2"/>
      <c r="S108" s="12"/>
      <c r="T108" s="17"/>
      <c r="U108" s="2"/>
      <c r="V108" s="18"/>
      <c r="W108" s="16"/>
    </row>
    <row r="109" spans="2:23" ht="18" x14ac:dyDescent="0.35">
      <c r="B109" s="95"/>
      <c r="C109" s="96"/>
      <c r="D109" s="97"/>
      <c r="E109" s="113"/>
      <c r="F109" s="90"/>
      <c r="G109" s="91"/>
      <c r="H109" s="92"/>
      <c r="I109" s="105"/>
      <c r="J109" s="83"/>
      <c r="K109" s="83"/>
      <c r="L109" s="12"/>
      <c r="M109" s="28"/>
      <c r="N109" s="14"/>
      <c r="O109" s="11"/>
      <c r="P109" s="11"/>
      <c r="Q109" s="16"/>
      <c r="R109" s="2"/>
      <c r="S109" s="12"/>
      <c r="T109" s="17"/>
      <c r="U109" s="2"/>
      <c r="V109" s="18"/>
      <c r="W109" s="16"/>
    </row>
    <row r="110" spans="2:23" ht="18" x14ac:dyDescent="0.35">
      <c r="B110" s="95"/>
      <c r="C110" s="96"/>
      <c r="D110" s="97"/>
      <c r="E110" s="113"/>
      <c r="F110" s="90"/>
      <c r="G110" s="91"/>
      <c r="H110" s="92"/>
      <c r="I110" s="105"/>
      <c r="J110" s="83"/>
      <c r="K110" s="83"/>
      <c r="L110" s="12"/>
      <c r="M110" s="28"/>
      <c r="N110" s="14"/>
      <c r="O110" s="11"/>
      <c r="P110" s="11"/>
      <c r="Q110" s="16"/>
      <c r="R110" s="2"/>
      <c r="S110" s="12"/>
      <c r="T110" s="17"/>
      <c r="U110" s="2"/>
      <c r="V110" s="18"/>
      <c r="W110" s="16"/>
    </row>
    <row r="111" spans="2:23" ht="18" x14ac:dyDescent="0.35">
      <c r="B111" s="95"/>
      <c r="C111" s="96"/>
      <c r="D111" s="97"/>
      <c r="E111" s="113"/>
      <c r="F111" s="90"/>
      <c r="G111" s="91"/>
      <c r="H111" s="92"/>
      <c r="I111" s="105"/>
      <c r="J111" s="83"/>
      <c r="K111" s="83"/>
      <c r="L111" s="12"/>
      <c r="M111" s="28"/>
      <c r="N111" s="14"/>
      <c r="O111" s="11"/>
      <c r="P111" s="11"/>
      <c r="Q111" s="16"/>
      <c r="R111" s="2"/>
      <c r="S111" s="12"/>
      <c r="T111" s="17"/>
      <c r="U111" s="2"/>
      <c r="V111" s="18"/>
      <c r="W111" s="16"/>
    </row>
    <row r="112" spans="2:23" ht="18" x14ac:dyDescent="0.35">
      <c r="B112" s="95"/>
      <c r="C112" s="96"/>
      <c r="D112" s="97"/>
      <c r="E112" s="113"/>
      <c r="F112" s="90"/>
      <c r="G112" s="91"/>
      <c r="H112" s="92"/>
      <c r="I112" s="105"/>
      <c r="J112" s="83"/>
      <c r="K112" s="83"/>
      <c r="L112" s="12"/>
      <c r="M112" s="28"/>
      <c r="N112" s="14"/>
      <c r="O112" s="11"/>
      <c r="P112" s="11"/>
      <c r="Q112" s="16"/>
      <c r="R112" s="2"/>
      <c r="S112" s="12"/>
      <c r="T112" s="17"/>
      <c r="U112" s="2"/>
      <c r="V112" s="18"/>
      <c r="W112" s="16"/>
    </row>
    <row r="113" spans="2:23" ht="18" x14ac:dyDescent="0.35">
      <c r="B113" s="95"/>
      <c r="C113" s="96"/>
      <c r="D113" s="97"/>
      <c r="E113" s="113"/>
      <c r="F113" s="90"/>
      <c r="G113" s="91"/>
      <c r="H113" s="92"/>
      <c r="I113" s="105"/>
      <c r="J113" s="83"/>
      <c r="K113" s="83"/>
      <c r="L113" s="12"/>
      <c r="M113" s="28"/>
      <c r="N113" s="14"/>
      <c r="O113" s="11"/>
      <c r="P113" s="11"/>
      <c r="Q113" s="16"/>
      <c r="R113" s="2"/>
      <c r="S113" s="12"/>
      <c r="T113" s="17"/>
      <c r="U113" s="2"/>
      <c r="V113" s="18"/>
      <c r="W113" s="16"/>
    </row>
    <row r="114" spans="2:23" ht="18" x14ac:dyDescent="0.35">
      <c r="B114" s="95"/>
      <c r="C114" s="96"/>
      <c r="D114" s="97"/>
      <c r="E114" s="113"/>
      <c r="F114" s="90"/>
      <c r="G114" s="91"/>
      <c r="H114" s="92"/>
      <c r="I114" s="105"/>
      <c r="J114" s="83"/>
      <c r="K114" s="83"/>
      <c r="L114" s="12"/>
      <c r="M114" s="28"/>
      <c r="N114" s="14"/>
      <c r="O114" s="11"/>
      <c r="P114" s="11"/>
      <c r="Q114" s="16"/>
      <c r="R114" s="2"/>
      <c r="S114" s="12"/>
      <c r="T114" s="17"/>
      <c r="U114" s="2"/>
      <c r="V114" s="18"/>
      <c r="W114" s="16"/>
    </row>
    <row r="115" spans="2:23" ht="18" x14ac:dyDescent="0.35">
      <c r="B115" s="95"/>
      <c r="C115" s="96"/>
      <c r="D115" s="97"/>
      <c r="E115" s="113"/>
      <c r="F115" s="90"/>
      <c r="G115" s="91"/>
      <c r="H115" s="92"/>
      <c r="I115" s="105"/>
      <c r="J115" s="83"/>
      <c r="K115" s="83"/>
      <c r="L115" s="12"/>
      <c r="M115" s="28"/>
      <c r="N115" s="14"/>
      <c r="O115" s="11"/>
      <c r="P115" s="11"/>
      <c r="Q115" s="16"/>
      <c r="R115" s="2"/>
      <c r="S115" s="12"/>
      <c r="T115" s="17"/>
      <c r="U115" s="2"/>
      <c r="V115" s="18"/>
      <c r="W115" s="16"/>
    </row>
    <row r="116" spans="2:23" ht="18" x14ac:dyDescent="0.35">
      <c r="B116" s="95"/>
      <c r="C116" s="96"/>
      <c r="D116" s="97"/>
      <c r="E116" s="113"/>
      <c r="F116" s="90"/>
      <c r="G116" s="91"/>
      <c r="H116" s="92"/>
      <c r="I116" s="105"/>
      <c r="J116" s="83"/>
      <c r="K116" s="83"/>
      <c r="L116" s="12"/>
      <c r="M116" s="28"/>
      <c r="N116" s="14"/>
      <c r="O116" s="11"/>
      <c r="P116" s="11"/>
      <c r="Q116" s="16"/>
      <c r="R116" s="2"/>
      <c r="S116" s="12"/>
      <c r="T116" s="17"/>
      <c r="U116" s="2"/>
      <c r="V116" s="18"/>
      <c r="W116" s="16"/>
    </row>
    <row r="117" spans="2:23" ht="18" x14ac:dyDescent="0.35">
      <c r="B117" s="95"/>
      <c r="C117" s="96"/>
      <c r="D117" s="97"/>
      <c r="E117" s="113"/>
      <c r="F117" s="90"/>
      <c r="G117" s="91"/>
      <c r="H117" s="92"/>
      <c r="I117" s="105"/>
      <c r="J117" s="83"/>
      <c r="K117" s="83"/>
      <c r="L117" s="12"/>
      <c r="M117" s="28"/>
      <c r="N117" s="14"/>
      <c r="O117" s="11"/>
      <c r="P117" s="11"/>
      <c r="Q117" s="16"/>
      <c r="R117" s="2"/>
      <c r="S117" s="12"/>
      <c r="T117" s="17"/>
      <c r="U117" s="2"/>
      <c r="V117" s="18"/>
      <c r="W117" s="16"/>
    </row>
    <row r="118" spans="2:23" ht="18" x14ac:dyDescent="0.35">
      <c r="B118" s="95"/>
      <c r="C118" s="96"/>
      <c r="D118" s="97"/>
      <c r="E118" s="113"/>
      <c r="F118" s="90"/>
      <c r="G118" s="91"/>
      <c r="H118" s="92"/>
      <c r="I118" s="105"/>
      <c r="J118" s="83"/>
      <c r="K118" s="83"/>
      <c r="L118" s="12"/>
      <c r="M118" s="28"/>
      <c r="N118" s="14"/>
      <c r="O118" s="11"/>
      <c r="P118" s="11"/>
      <c r="Q118" s="16"/>
      <c r="R118" s="2"/>
      <c r="S118" s="12"/>
      <c r="T118" s="17"/>
      <c r="U118" s="2"/>
      <c r="V118" s="18"/>
      <c r="W118" s="16"/>
    </row>
    <row r="119" spans="2:23" ht="18" x14ac:dyDescent="0.35">
      <c r="B119" s="95"/>
      <c r="C119" s="96"/>
      <c r="D119" s="97"/>
      <c r="E119" s="113"/>
      <c r="F119" s="90"/>
      <c r="G119" s="91"/>
      <c r="H119" s="92"/>
      <c r="I119" s="105"/>
      <c r="J119" s="83"/>
      <c r="K119" s="83"/>
      <c r="L119" s="12"/>
      <c r="M119" s="28"/>
      <c r="N119" s="14"/>
      <c r="O119" s="11"/>
      <c r="P119" s="11"/>
      <c r="Q119" s="16"/>
      <c r="R119" s="2"/>
      <c r="S119" s="12"/>
      <c r="T119" s="17"/>
      <c r="U119" s="2"/>
      <c r="V119" s="18"/>
      <c r="W119" s="16"/>
    </row>
    <row r="120" spans="2:23" ht="18" x14ac:dyDescent="0.35">
      <c r="B120" s="95"/>
      <c r="C120" s="96"/>
      <c r="D120" s="97"/>
      <c r="E120" s="113"/>
      <c r="F120" s="90"/>
      <c r="G120" s="91"/>
      <c r="H120" s="92"/>
      <c r="I120" s="105"/>
      <c r="J120" s="83"/>
      <c r="K120" s="83"/>
      <c r="L120" s="12"/>
      <c r="M120" s="28"/>
      <c r="N120" s="14"/>
      <c r="O120" s="11"/>
      <c r="P120" s="11"/>
      <c r="Q120" s="16"/>
      <c r="R120" s="2"/>
      <c r="S120" s="12"/>
      <c r="T120" s="17"/>
      <c r="U120" s="2"/>
      <c r="V120" s="18"/>
      <c r="W120" s="16"/>
    </row>
    <row r="121" spans="2:23" ht="18" x14ac:dyDescent="0.35">
      <c r="B121" s="95"/>
      <c r="C121" s="96"/>
      <c r="D121" s="97"/>
      <c r="E121" s="113"/>
      <c r="F121" s="90"/>
      <c r="G121" s="91"/>
      <c r="H121" s="92"/>
      <c r="I121" s="105"/>
      <c r="J121" s="83"/>
      <c r="K121" s="83"/>
      <c r="L121" s="12"/>
      <c r="M121" s="28"/>
      <c r="N121" s="14"/>
      <c r="O121" s="11"/>
      <c r="P121" s="11"/>
      <c r="Q121" s="16"/>
      <c r="R121" s="2"/>
      <c r="S121" s="12"/>
      <c r="T121" s="17"/>
      <c r="U121" s="2"/>
      <c r="V121" s="18"/>
      <c r="W121" s="16"/>
    </row>
    <row r="122" spans="2:23" ht="18" x14ac:dyDescent="0.35">
      <c r="B122" s="95"/>
      <c r="C122" s="96"/>
      <c r="D122" s="97"/>
      <c r="E122" s="113"/>
      <c r="F122" s="99"/>
      <c r="G122" s="100"/>
      <c r="H122" s="101"/>
      <c r="I122" s="105"/>
      <c r="J122" s="83"/>
      <c r="K122" s="83"/>
      <c r="L122" s="12"/>
      <c r="M122" s="28"/>
      <c r="N122" s="14"/>
      <c r="O122" s="11"/>
      <c r="P122" s="11"/>
      <c r="Q122" s="16"/>
      <c r="R122" s="2"/>
      <c r="S122" s="12"/>
      <c r="T122" s="17"/>
      <c r="U122" s="2"/>
      <c r="V122" s="18"/>
      <c r="W122" s="16"/>
    </row>
    <row r="123" spans="2:23" ht="18" x14ac:dyDescent="0.35">
      <c r="B123" s="95"/>
      <c r="C123" s="96"/>
      <c r="D123" s="97"/>
      <c r="E123" s="113"/>
      <c r="F123" s="99"/>
      <c r="G123" s="100"/>
      <c r="H123" s="101"/>
      <c r="I123" s="105"/>
      <c r="J123" s="83"/>
      <c r="K123" s="83"/>
      <c r="L123" s="12"/>
      <c r="M123" s="28"/>
      <c r="N123" s="14"/>
      <c r="O123" s="11"/>
      <c r="P123" s="11"/>
      <c r="Q123" s="16"/>
      <c r="R123" s="2"/>
      <c r="S123" s="12"/>
      <c r="T123" s="17"/>
      <c r="U123" s="2"/>
      <c r="V123" s="18"/>
      <c r="W123" s="16"/>
    </row>
    <row r="124" spans="2:23" ht="18" x14ac:dyDescent="0.35">
      <c r="B124" s="95"/>
      <c r="C124" s="96"/>
      <c r="D124" s="97"/>
      <c r="E124" s="113"/>
      <c r="F124" s="99"/>
      <c r="G124" s="100"/>
      <c r="H124" s="101"/>
      <c r="I124" s="105"/>
      <c r="J124" s="83"/>
      <c r="K124" s="83"/>
      <c r="L124" s="12"/>
      <c r="M124" s="28"/>
      <c r="N124" s="14"/>
      <c r="O124" s="11"/>
      <c r="P124" s="11"/>
      <c r="Q124" s="16"/>
      <c r="R124" s="2"/>
      <c r="S124" s="12"/>
      <c r="T124" s="17"/>
      <c r="U124" s="2"/>
      <c r="V124" s="18"/>
      <c r="W124" s="16"/>
    </row>
    <row r="125" spans="2:23" ht="18" x14ac:dyDescent="0.35">
      <c r="B125" s="95"/>
      <c r="C125" s="96"/>
      <c r="D125" s="97"/>
      <c r="E125" s="113"/>
      <c r="F125" s="99"/>
      <c r="G125" s="100"/>
      <c r="H125" s="101"/>
      <c r="I125" s="105"/>
      <c r="J125" s="83"/>
      <c r="K125" s="83"/>
      <c r="L125" s="12"/>
      <c r="M125" s="28"/>
      <c r="N125" s="14"/>
      <c r="O125" s="11"/>
      <c r="P125" s="11"/>
      <c r="Q125" s="16"/>
      <c r="R125" s="2"/>
      <c r="S125" s="12"/>
      <c r="T125" s="17"/>
      <c r="U125" s="2"/>
      <c r="V125" s="18"/>
      <c r="W125" s="16"/>
    </row>
    <row r="126" spans="2:23" ht="18" x14ac:dyDescent="0.35">
      <c r="B126" s="95"/>
      <c r="C126" s="96"/>
      <c r="D126" s="97"/>
      <c r="E126" s="113"/>
      <c r="F126" s="99"/>
      <c r="G126" s="100"/>
      <c r="H126" s="101"/>
      <c r="I126" s="105"/>
      <c r="J126" s="83"/>
      <c r="K126" s="83"/>
      <c r="L126" s="12"/>
      <c r="M126" s="28"/>
      <c r="N126" s="14"/>
      <c r="O126" s="11"/>
      <c r="P126" s="11"/>
      <c r="Q126" s="16"/>
      <c r="R126" s="2"/>
      <c r="S126" s="12"/>
      <c r="T126" s="17"/>
      <c r="U126" s="2"/>
      <c r="V126" s="18"/>
      <c r="W126" s="16"/>
    </row>
    <row r="127" spans="2:23" ht="18" x14ac:dyDescent="0.35">
      <c r="B127" s="95"/>
      <c r="C127" s="96"/>
      <c r="D127" s="97"/>
      <c r="E127" s="113"/>
      <c r="F127" s="99"/>
      <c r="G127" s="100"/>
      <c r="H127" s="101"/>
      <c r="I127" s="105"/>
      <c r="J127" s="83"/>
      <c r="K127" s="83"/>
      <c r="L127" s="12"/>
      <c r="M127" s="28"/>
      <c r="N127" s="14"/>
      <c r="O127" s="11"/>
      <c r="P127" s="11"/>
      <c r="Q127" s="16"/>
      <c r="R127" s="2"/>
      <c r="S127" s="12"/>
      <c r="T127" s="17"/>
      <c r="U127" s="2"/>
      <c r="V127" s="18"/>
      <c r="W127" s="16"/>
    </row>
    <row r="128" spans="2:23" ht="18" x14ac:dyDescent="0.35">
      <c r="B128" s="95"/>
      <c r="C128" s="96"/>
      <c r="D128" s="97"/>
      <c r="E128" s="113"/>
      <c r="F128" s="99"/>
      <c r="G128" s="100"/>
      <c r="H128" s="101"/>
      <c r="I128" s="105"/>
      <c r="J128" s="83"/>
      <c r="K128" s="83"/>
      <c r="L128" s="12"/>
      <c r="M128" s="28"/>
      <c r="N128" s="14"/>
      <c r="O128" s="11"/>
      <c r="P128" s="11"/>
      <c r="Q128" s="16"/>
      <c r="R128" s="2"/>
      <c r="S128" s="12"/>
      <c r="T128" s="17"/>
      <c r="U128" s="2"/>
      <c r="V128" s="18"/>
      <c r="W128" s="16"/>
    </row>
    <row r="129" spans="1:23" ht="18.600000000000001" thickBot="1" x14ac:dyDescent="0.4">
      <c r="B129" s="114"/>
      <c r="C129" s="115"/>
      <c r="D129" s="116"/>
      <c r="E129" s="113"/>
      <c r="F129" s="117"/>
      <c r="G129" s="118"/>
      <c r="H129" s="119"/>
      <c r="I129" s="105"/>
      <c r="J129" s="83"/>
      <c r="K129" s="83"/>
      <c r="L129" s="30"/>
      <c r="M129" s="31"/>
      <c r="N129" s="32"/>
      <c r="O129" s="29"/>
      <c r="P129" s="29"/>
      <c r="Q129" s="33"/>
      <c r="R129" s="2"/>
      <c r="S129" s="30"/>
      <c r="T129" s="34"/>
      <c r="U129" s="2"/>
      <c r="V129" s="35"/>
      <c r="W129" s="33"/>
    </row>
    <row r="130" spans="1:23" ht="18.600000000000001" thickBot="1" x14ac:dyDescent="0.4">
      <c r="A130" s="120" t="s">
        <v>15</v>
      </c>
      <c r="B130" s="121">
        <f>SUM(B9:B129)</f>
        <v>818.6</v>
      </c>
      <c r="C130" s="122"/>
      <c r="D130" s="121"/>
      <c r="E130" s="123">
        <f>SUM(E9:E129)</f>
        <v>1541.38</v>
      </c>
      <c r="F130" s="124">
        <f>SUM(F9:F129)</f>
        <v>241.49999999999997</v>
      </c>
      <c r="G130" s="82"/>
      <c r="H130" s="125"/>
      <c r="I130" s="125">
        <f>SUM(I9:I129)</f>
        <v>6131.1</v>
      </c>
      <c r="J130" s="83"/>
      <c r="K130" s="83"/>
      <c r="L130" s="126"/>
      <c r="M130" s="126">
        <f>SUM(M9:M129)</f>
        <v>0</v>
      </c>
      <c r="N130" s="127">
        <f>SUM(N9:N129)</f>
        <v>0</v>
      </c>
      <c r="O130" s="82"/>
      <c r="P130" s="82">
        <f>SUM(P9:P129)</f>
        <v>0</v>
      </c>
      <c r="Q130" s="128">
        <f>SUM(Q9:Q129)</f>
        <v>0</v>
      </c>
      <c r="R130" s="83"/>
      <c r="S130" s="84"/>
      <c r="T130" s="129">
        <f>SUM(T9:T129)</f>
        <v>760</v>
      </c>
      <c r="U130" s="83"/>
      <c r="V130" s="82"/>
      <c r="W130" s="130">
        <f>SUM(W9:W129)</f>
        <v>430</v>
      </c>
    </row>
  </sheetData>
  <sheetProtection algorithmName="SHA-512" hashValue="LCEuplsTONcLBhLxpam0G3UUPDPuVc5oYvl6xG2RMYmjFZ1vM2kDYcF0xrigLonuEoqLIQWs1PtYcAhC+9QxIA==" saltValue="m5+PjYVMW0fryOOGvq/Wnw==" spinCount="100000" sheet="1" objects="1" scenarios="1"/>
  <mergeCells count="8">
    <mergeCell ref="V5:W5"/>
    <mergeCell ref="Y5:Z5"/>
    <mergeCell ref="E1:G1"/>
    <mergeCell ref="B2:C2"/>
    <mergeCell ref="B3:C3"/>
    <mergeCell ref="B5:I5"/>
    <mergeCell ref="L5:Q5"/>
    <mergeCell ref="S5:T5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7F04A2-1964-4673-81EE-0EB9C691C96D}">
  <sheetPr codeName="Sheet47"/>
  <dimension ref="A1:Z130"/>
  <sheetViews>
    <sheetView tabSelected="1" zoomScale="80" zoomScaleNormal="80" workbookViewId="0">
      <selection activeCell="N3" sqref="N3"/>
    </sheetView>
  </sheetViews>
  <sheetFormatPr defaultColWidth="9.109375" defaultRowHeight="14.4" x14ac:dyDescent="0.3"/>
  <cols>
    <col min="1" max="1" width="15.5546875" style="36" customWidth="1"/>
    <col min="2" max="2" width="15.88671875" style="36" customWidth="1"/>
    <col min="3" max="3" width="20" style="76" customWidth="1"/>
    <col min="4" max="4" width="20.33203125" style="36" customWidth="1"/>
    <col min="5" max="5" width="22.33203125" style="36" customWidth="1"/>
    <col min="6" max="6" width="14.6640625" style="36" customWidth="1"/>
    <col min="7" max="7" width="22" style="76" customWidth="1"/>
    <col min="8" max="8" width="18.88671875" style="36" customWidth="1"/>
    <col min="9" max="9" width="23" style="36" customWidth="1"/>
    <col min="10" max="11" width="9.109375" style="36"/>
    <col min="12" max="12" width="20.6640625" style="76" customWidth="1"/>
    <col min="13" max="13" width="15.44140625" style="76" customWidth="1"/>
    <col min="14" max="14" width="22.6640625" style="36" customWidth="1"/>
    <col min="15" max="15" width="20.5546875" style="76" customWidth="1"/>
    <col min="16" max="16" width="13.33203125" style="76" customWidth="1"/>
    <col min="17" max="17" width="21.5546875" style="76" customWidth="1"/>
    <col min="18" max="18" width="9.109375" style="36"/>
    <col min="19" max="19" width="22" style="76" customWidth="1"/>
    <col min="20" max="20" width="22.33203125" style="76" customWidth="1"/>
    <col min="21" max="21" width="9.109375" style="36"/>
    <col min="22" max="22" width="21.88671875" style="76" customWidth="1"/>
    <col min="23" max="23" width="23.109375" style="76" customWidth="1"/>
    <col min="24" max="24" width="9.109375" style="36"/>
    <col min="25" max="25" width="21.33203125" style="36" customWidth="1"/>
    <col min="26" max="26" width="21.88671875" style="36" customWidth="1"/>
    <col min="27" max="16384" width="9.109375" style="36"/>
  </cols>
  <sheetData>
    <row r="1" spans="2:26" ht="21" x14ac:dyDescent="0.4">
      <c r="E1" s="189">
        <v>44179</v>
      </c>
      <c r="F1" s="189"/>
      <c r="G1" s="189"/>
    </row>
    <row r="2" spans="2:26" ht="18" x14ac:dyDescent="0.35">
      <c r="B2" s="190" t="s">
        <v>0</v>
      </c>
      <c r="C2" s="190"/>
      <c r="D2" s="1">
        <v>8900</v>
      </c>
    </row>
    <row r="3" spans="2:26" ht="18" x14ac:dyDescent="0.35">
      <c r="B3" s="190" t="s">
        <v>1</v>
      </c>
      <c r="C3" s="190"/>
      <c r="D3" s="77">
        <f>(D2-E130-I130)</f>
        <v>3439.0499999999993</v>
      </c>
    </row>
    <row r="5" spans="2:26" ht="36.6" x14ac:dyDescent="0.7">
      <c r="B5" s="187" t="s">
        <v>2</v>
      </c>
      <c r="C5" s="187"/>
      <c r="D5" s="187"/>
      <c r="E5" s="187"/>
      <c r="F5" s="187"/>
      <c r="G5" s="187"/>
      <c r="H5" s="187"/>
      <c r="I5" s="187"/>
      <c r="L5" s="187" t="s">
        <v>3</v>
      </c>
      <c r="M5" s="187"/>
      <c r="N5" s="187"/>
      <c r="O5" s="187"/>
      <c r="P5" s="187"/>
      <c r="Q5" s="187"/>
      <c r="S5" s="191" t="s">
        <v>4</v>
      </c>
      <c r="T5" s="191"/>
      <c r="V5" s="187" t="s">
        <v>5</v>
      </c>
      <c r="W5" s="187"/>
      <c r="Y5" s="188" t="s">
        <v>105</v>
      </c>
      <c r="Z5" s="187"/>
    </row>
    <row r="7" spans="2:26" ht="15" thickBot="1" x14ac:dyDescent="0.35"/>
    <row r="8" spans="2:26" ht="18.600000000000001" thickBot="1" x14ac:dyDescent="0.4">
      <c r="B8" s="78" t="s">
        <v>6</v>
      </c>
      <c r="C8" s="79" t="s">
        <v>7</v>
      </c>
      <c r="D8" s="78" t="s">
        <v>8</v>
      </c>
      <c r="E8" s="80" t="s">
        <v>9</v>
      </c>
      <c r="F8" s="81" t="s">
        <v>6</v>
      </c>
      <c r="G8" s="81" t="s">
        <v>10</v>
      </c>
      <c r="H8" s="81" t="s">
        <v>8</v>
      </c>
      <c r="I8" s="82" t="s">
        <v>9</v>
      </c>
      <c r="J8" s="83"/>
      <c r="K8" s="83"/>
      <c r="L8" s="84" t="s">
        <v>11</v>
      </c>
      <c r="M8" s="84" t="s">
        <v>6</v>
      </c>
      <c r="N8" s="84" t="s">
        <v>9</v>
      </c>
      <c r="O8" s="82" t="s">
        <v>12</v>
      </c>
      <c r="P8" s="82" t="s">
        <v>6</v>
      </c>
      <c r="Q8" s="82" t="s">
        <v>9</v>
      </c>
      <c r="R8" s="83"/>
      <c r="S8" s="84" t="s">
        <v>13</v>
      </c>
      <c r="T8" s="85" t="s">
        <v>9</v>
      </c>
      <c r="U8" s="83"/>
      <c r="V8" s="82" t="s">
        <v>14</v>
      </c>
      <c r="W8" s="82" t="s">
        <v>9</v>
      </c>
      <c r="Y8" s="146" t="s">
        <v>106</v>
      </c>
      <c r="Z8" s="147" t="s">
        <v>107</v>
      </c>
    </row>
    <row r="9" spans="2:26" ht="18" x14ac:dyDescent="0.35">
      <c r="B9" s="86">
        <v>3.5</v>
      </c>
      <c r="C9" s="87" t="s">
        <v>76</v>
      </c>
      <c r="D9" s="88">
        <v>2.2999999999999998</v>
      </c>
      <c r="E9" s="89">
        <v>8.0499999999999989</v>
      </c>
      <c r="F9" s="90">
        <v>0.4</v>
      </c>
      <c r="G9" s="91" t="s">
        <v>23</v>
      </c>
      <c r="H9" s="92">
        <v>50</v>
      </c>
      <c r="I9" s="93">
        <v>20</v>
      </c>
      <c r="J9" s="83"/>
      <c r="K9" s="83"/>
      <c r="L9" s="3" t="s">
        <v>124</v>
      </c>
      <c r="M9" s="4">
        <v>406</v>
      </c>
      <c r="N9" s="5">
        <v>20339</v>
      </c>
      <c r="O9" s="6"/>
      <c r="P9" s="7"/>
      <c r="Q9" s="8"/>
      <c r="R9" s="2"/>
      <c r="S9" s="3"/>
      <c r="T9" s="9"/>
      <c r="U9" s="2"/>
      <c r="V9" s="10"/>
      <c r="W9" s="8"/>
      <c r="Y9" s="148" t="s">
        <v>88</v>
      </c>
      <c r="Z9" s="151">
        <f>SUMIF($C$9:$C$129, Y9, $B$9:$B$129)</f>
        <v>133</v>
      </c>
    </row>
    <row r="10" spans="2:26" ht="18" x14ac:dyDescent="0.35">
      <c r="B10" s="95">
        <v>42.5</v>
      </c>
      <c r="C10" s="96" t="s">
        <v>88</v>
      </c>
      <c r="D10" s="97">
        <v>0.9</v>
      </c>
      <c r="E10" s="98">
        <v>38.25</v>
      </c>
      <c r="F10" s="90">
        <v>0.2</v>
      </c>
      <c r="G10" s="91" t="s">
        <v>90</v>
      </c>
      <c r="H10" s="92">
        <v>83</v>
      </c>
      <c r="I10" s="93">
        <v>16.600000000000001</v>
      </c>
      <c r="J10" s="83"/>
      <c r="K10" s="83"/>
      <c r="L10" s="12"/>
      <c r="M10" s="13"/>
      <c r="N10" s="14"/>
      <c r="O10" s="11"/>
      <c r="P10" s="15"/>
      <c r="Q10" s="16"/>
      <c r="R10" s="2"/>
      <c r="S10" s="12"/>
      <c r="T10" s="17"/>
      <c r="U10" s="2"/>
      <c r="V10" s="18"/>
      <c r="W10" s="8"/>
      <c r="Y10" s="149" t="s">
        <v>76</v>
      </c>
      <c r="Z10" s="151">
        <f t="shared" ref="Z10:Z11" si="0">SUMIF($C$9:$C$129, Y10, $B$9:$B$129)</f>
        <v>153</v>
      </c>
    </row>
    <row r="11" spans="2:26" ht="18" x14ac:dyDescent="0.35">
      <c r="B11" s="95">
        <v>64.5</v>
      </c>
      <c r="C11" s="96" t="s">
        <v>88</v>
      </c>
      <c r="D11" s="97">
        <v>0.9</v>
      </c>
      <c r="E11" s="98">
        <v>58.050000000000004</v>
      </c>
      <c r="F11" s="90">
        <v>0.2</v>
      </c>
      <c r="G11" s="91" t="s">
        <v>94</v>
      </c>
      <c r="H11" s="92">
        <v>10</v>
      </c>
      <c r="I11" s="93">
        <v>2</v>
      </c>
      <c r="J11" s="83"/>
      <c r="K11" s="83"/>
      <c r="L11" s="12"/>
      <c r="M11" s="13"/>
      <c r="N11" s="14"/>
      <c r="O11" s="11"/>
      <c r="P11" s="15"/>
      <c r="Q11" s="16"/>
      <c r="R11" s="2"/>
      <c r="S11" s="12"/>
      <c r="T11" s="17"/>
      <c r="U11" s="2"/>
      <c r="V11" s="18"/>
      <c r="W11" s="8"/>
      <c r="Y11" s="149" t="s">
        <v>77</v>
      </c>
      <c r="Z11" s="151">
        <f t="shared" si="0"/>
        <v>162.5</v>
      </c>
    </row>
    <row r="12" spans="2:26" ht="18" x14ac:dyDescent="0.35">
      <c r="B12" s="95">
        <v>6.5</v>
      </c>
      <c r="C12" s="96" t="s">
        <v>77</v>
      </c>
      <c r="D12" s="97">
        <v>2.1</v>
      </c>
      <c r="E12" s="98">
        <v>13.65</v>
      </c>
      <c r="F12" s="90">
        <v>1</v>
      </c>
      <c r="G12" s="91" t="s">
        <v>18</v>
      </c>
      <c r="H12" s="92">
        <v>9</v>
      </c>
      <c r="I12" s="93">
        <v>9</v>
      </c>
      <c r="J12" s="83"/>
      <c r="K12" s="83"/>
      <c r="L12" s="12"/>
      <c r="M12" s="13"/>
      <c r="N12" s="14"/>
      <c r="O12" s="11"/>
      <c r="P12" s="15"/>
      <c r="Q12" s="16"/>
      <c r="R12" s="2"/>
      <c r="S12" s="12"/>
      <c r="T12" s="17"/>
      <c r="U12" s="2"/>
      <c r="V12" s="18"/>
      <c r="W12" s="8"/>
      <c r="Y12" s="149" t="s">
        <v>89</v>
      </c>
      <c r="Z12" s="152">
        <f>SUMIF($G$9:$G$129, Y12, $F$9:$F$129)</f>
        <v>0</v>
      </c>
    </row>
    <row r="13" spans="2:26" ht="18" x14ac:dyDescent="0.35">
      <c r="B13" s="95">
        <v>1</v>
      </c>
      <c r="C13" s="96" t="s">
        <v>76</v>
      </c>
      <c r="D13" s="97">
        <v>2.2999999999999998</v>
      </c>
      <c r="E13" s="98">
        <v>2.2999999999999998</v>
      </c>
      <c r="F13" s="90">
        <v>1</v>
      </c>
      <c r="G13" s="91" t="s">
        <v>94</v>
      </c>
      <c r="H13" s="92">
        <v>9</v>
      </c>
      <c r="I13" s="93">
        <v>9</v>
      </c>
      <c r="J13" s="83"/>
      <c r="K13" s="83"/>
      <c r="L13" s="12"/>
      <c r="M13" s="13"/>
      <c r="N13" s="14"/>
      <c r="O13" s="11"/>
      <c r="P13" s="15"/>
      <c r="Q13" s="16"/>
      <c r="R13" s="2"/>
      <c r="S13" s="12"/>
      <c r="T13" s="17"/>
      <c r="U13" s="2"/>
      <c r="V13" s="18"/>
      <c r="W13" s="8"/>
      <c r="Y13" s="149" t="s">
        <v>20</v>
      </c>
      <c r="Z13" s="152">
        <f t="shared" ref="Z13:Z76" si="1">SUMIF($G$9:$G$129, Y13, $F$9:$F$129)</f>
        <v>16.5</v>
      </c>
    </row>
    <row r="14" spans="2:26" ht="18" x14ac:dyDescent="0.35">
      <c r="B14" s="95">
        <v>1.5</v>
      </c>
      <c r="C14" s="96" t="s">
        <v>76</v>
      </c>
      <c r="D14" s="97">
        <v>2.2999999999999998</v>
      </c>
      <c r="E14" s="98">
        <v>3.4499999999999997</v>
      </c>
      <c r="F14" s="90">
        <v>74.5</v>
      </c>
      <c r="G14" s="91" t="s">
        <v>42</v>
      </c>
      <c r="H14" s="92">
        <v>9</v>
      </c>
      <c r="I14" s="93">
        <v>670.5</v>
      </c>
      <c r="J14" s="83"/>
      <c r="K14" s="83"/>
      <c r="L14" s="12"/>
      <c r="M14" s="13"/>
      <c r="N14" s="14"/>
      <c r="O14" s="11"/>
      <c r="P14" s="15"/>
      <c r="Q14" s="16"/>
      <c r="R14" s="2"/>
      <c r="S14" s="12"/>
      <c r="T14" s="17"/>
      <c r="U14" s="2"/>
      <c r="V14" s="18"/>
      <c r="W14" s="8"/>
      <c r="Y14" s="149" t="s">
        <v>19</v>
      </c>
      <c r="Z14" s="152">
        <f t="shared" si="1"/>
        <v>130.5</v>
      </c>
    </row>
    <row r="15" spans="2:26" ht="18" x14ac:dyDescent="0.35">
      <c r="B15" s="95">
        <v>6.5</v>
      </c>
      <c r="C15" s="96" t="s">
        <v>77</v>
      </c>
      <c r="D15" s="97">
        <v>2.1</v>
      </c>
      <c r="E15" s="98">
        <v>13.65</v>
      </c>
      <c r="F15" s="90">
        <v>3.5</v>
      </c>
      <c r="G15" s="91" t="s">
        <v>96</v>
      </c>
      <c r="H15" s="92">
        <v>12</v>
      </c>
      <c r="I15" s="93">
        <v>42</v>
      </c>
      <c r="J15" s="83"/>
      <c r="K15" s="83"/>
      <c r="L15" s="12"/>
      <c r="M15" s="13"/>
      <c r="N15" s="14"/>
      <c r="O15" s="11"/>
      <c r="P15" s="15"/>
      <c r="Q15" s="16"/>
      <c r="R15" s="2"/>
      <c r="S15" s="12"/>
      <c r="T15" s="17"/>
      <c r="U15" s="2"/>
      <c r="V15" s="18"/>
      <c r="W15" s="8"/>
      <c r="Y15" s="149" t="s">
        <v>18</v>
      </c>
      <c r="Z15" s="152">
        <f t="shared" si="1"/>
        <v>25</v>
      </c>
    </row>
    <row r="16" spans="2:26" ht="18" x14ac:dyDescent="0.35">
      <c r="B16" s="95">
        <v>1</v>
      </c>
      <c r="C16" s="96" t="s">
        <v>76</v>
      </c>
      <c r="D16" s="97">
        <v>2.2999999999999998</v>
      </c>
      <c r="E16" s="98">
        <v>2.2999999999999998</v>
      </c>
      <c r="F16" s="90">
        <v>0.2</v>
      </c>
      <c r="G16" s="91" t="s">
        <v>94</v>
      </c>
      <c r="H16" s="92">
        <v>9</v>
      </c>
      <c r="I16" s="93">
        <v>1.8</v>
      </c>
      <c r="J16" s="83"/>
      <c r="K16" s="83"/>
      <c r="L16" s="12"/>
      <c r="M16" s="13"/>
      <c r="N16" s="14"/>
      <c r="O16" s="11"/>
      <c r="P16" s="15"/>
      <c r="Q16" s="16"/>
      <c r="R16" s="2"/>
      <c r="S16" s="12"/>
      <c r="T16" s="17"/>
      <c r="U16" s="2"/>
      <c r="V16" s="18"/>
      <c r="W16" s="8"/>
      <c r="Y16" s="149" t="s">
        <v>22</v>
      </c>
      <c r="Z16" s="152">
        <f t="shared" si="1"/>
        <v>0.2</v>
      </c>
    </row>
    <row r="17" spans="2:26" ht="18" x14ac:dyDescent="0.35">
      <c r="B17" s="95">
        <v>15</v>
      </c>
      <c r="C17" s="96" t="s">
        <v>77</v>
      </c>
      <c r="D17" s="97">
        <v>2.1</v>
      </c>
      <c r="E17" s="98">
        <v>31.5</v>
      </c>
      <c r="F17" s="90">
        <v>0.5</v>
      </c>
      <c r="G17" s="91" t="s">
        <v>18</v>
      </c>
      <c r="H17" s="92">
        <v>9</v>
      </c>
      <c r="I17" s="93">
        <v>4.5</v>
      </c>
      <c r="J17" s="83"/>
      <c r="K17" s="83"/>
      <c r="L17" s="12"/>
      <c r="M17" s="13"/>
      <c r="N17" s="14"/>
      <c r="O17" s="11"/>
      <c r="P17" s="15"/>
      <c r="Q17" s="16"/>
      <c r="R17" s="2"/>
      <c r="S17" s="12"/>
      <c r="T17" s="17"/>
      <c r="U17" s="2"/>
      <c r="V17" s="18"/>
      <c r="W17" s="8"/>
      <c r="Y17" s="149" t="s">
        <v>67</v>
      </c>
      <c r="Z17" s="152">
        <f t="shared" si="1"/>
        <v>7.5</v>
      </c>
    </row>
    <row r="18" spans="2:26" ht="18" x14ac:dyDescent="0.35">
      <c r="B18" s="95">
        <v>7</v>
      </c>
      <c r="C18" s="96" t="s">
        <v>76</v>
      </c>
      <c r="D18" s="97">
        <v>2.2999999999999998</v>
      </c>
      <c r="E18" s="98">
        <v>16.099999999999998</v>
      </c>
      <c r="F18" s="90">
        <v>85</v>
      </c>
      <c r="G18" s="91" t="s">
        <v>19</v>
      </c>
      <c r="H18" s="92">
        <v>2</v>
      </c>
      <c r="I18" s="93">
        <v>170</v>
      </c>
      <c r="J18" s="83"/>
      <c r="K18" s="83"/>
      <c r="L18" s="12"/>
      <c r="M18" s="13"/>
      <c r="N18" s="14"/>
      <c r="O18" s="11"/>
      <c r="P18" s="15"/>
      <c r="Q18" s="16"/>
      <c r="R18" s="2"/>
      <c r="S18" s="12"/>
      <c r="T18" s="17"/>
      <c r="U18" s="2"/>
      <c r="V18" s="18"/>
      <c r="W18" s="8"/>
      <c r="Y18" s="149" t="s">
        <v>90</v>
      </c>
      <c r="Z18" s="152">
        <f t="shared" si="1"/>
        <v>23.3</v>
      </c>
    </row>
    <row r="19" spans="2:26" ht="18" x14ac:dyDescent="0.35">
      <c r="B19" s="95">
        <v>11</v>
      </c>
      <c r="C19" s="96" t="s">
        <v>77</v>
      </c>
      <c r="D19" s="97">
        <v>2.1</v>
      </c>
      <c r="E19" s="98">
        <v>23.1</v>
      </c>
      <c r="F19" s="90">
        <v>11.5</v>
      </c>
      <c r="G19" s="91" t="s">
        <v>19</v>
      </c>
      <c r="H19" s="92">
        <v>2</v>
      </c>
      <c r="I19" s="93">
        <v>23</v>
      </c>
      <c r="J19" s="83"/>
      <c r="K19" s="83"/>
      <c r="L19" s="12"/>
      <c r="M19" s="13"/>
      <c r="N19" s="14"/>
      <c r="O19" s="11"/>
      <c r="P19" s="15"/>
      <c r="Q19" s="16"/>
      <c r="R19" s="2"/>
      <c r="S19" s="12"/>
      <c r="T19" s="17"/>
      <c r="U19" s="2"/>
      <c r="V19" s="18"/>
      <c r="W19" s="8"/>
      <c r="Y19" s="149" t="s">
        <v>91</v>
      </c>
      <c r="Z19" s="152">
        <f t="shared" si="1"/>
        <v>0.2</v>
      </c>
    </row>
    <row r="20" spans="2:26" ht="18" x14ac:dyDescent="0.35">
      <c r="B20" s="95">
        <v>9</v>
      </c>
      <c r="C20" s="96" t="s">
        <v>88</v>
      </c>
      <c r="D20" s="97">
        <v>0.9</v>
      </c>
      <c r="E20" s="98">
        <v>8.1</v>
      </c>
      <c r="F20" s="90">
        <v>7.5</v>
      </c>
      <c r="G20" s="91" t="s">
        <v>67</v>
      </c>
      <c r="H20" s="92">
        <v>82</v>
      </c>
      <c r="I20" s="93">
        <v>615</v>
      </c>
      <c r="J20" s="83"/>
      <c r="K20" s="83"/>
      <c r="L20" s="12"/>
      <c r="M20" s="13"/>
      <c r="N20" s="14"/>
      <c r="O20" s="11"/>
      <c r="P20" s="15"/>
      <c r="Q20" s="16"/>
      <c r="R20" s="2"/>
      <c r="S20" s="12"/>
      <c r="T20" s="17"/>
      <c r="U20" s="2"/>
      <c r="V20" s="18"/>
      <c r="W20" s="8"/>
      <c r="Y20" s="149" t="s">
        <v>92</v>
      </c>
      <c r="Z20" s="152">
        <f t="shared" si="1"/>
        <v>2.5</v>
      </c>
    </row>
    <row r="21" spans="2:26" ht="18" x14ac:dyDescent="0.35">
      <c r="B21" s="95">
        <v>8</v>
      </c>
      <c r="C21" s="96" t="s">
        <v>88</v>
      </c>
      <c r="D21" s="97">
        <v>0.9</v>
      </c>
      <c r="E21" s="98">
        <v>7.2</v>
      </c>
      <c r="F21" s="90">
        <v>2</v>
      </c>
      <c r="G21" s="91" t="s">
        <v>23</v>
      </c>
      <c r="H21" s="92">
        <v>50</v>
      </c>
      <c r="I21" s="93">
        <v>100</v>
      </c>
      <c r="J21" s="83"/>
      <c r="K21" s="83"/>
      <c r="L21" s="12"/>
      <c r="M21" s="13"/>
      <c r="N21" s="14"/>
      <c r="O21" s="11"/>
      <c r="P21" s="15"/>
      <c r="Q21" s="16"/>
      <c r="R21" s="2"/>
      <c r="S21" s="12"/>
      <c r="T21" s="17"/>
      <c r="U21" s="2"/>
      <c r="V21" s="18"/>
      <c r="W21" s="8"/>
      <c r="Y21" s="149" t="s">
        <v>68</v>
      </c>
      <c r="Z21" s="152">
        <f t="shared" si="1"/>
        <v>0</v>
      </c>
    </row>
    <row r="22" spans="2:26" ht="18" x14ac:dyDescent="0.35">
      <c r="B22" s="95">
        <v>2</v>
      </c>
      <c r="C22" s="96" t="s">
        <v>88</v>
      </c>
      <c r="D22" s="97">
        <v>0.9</v>
      </c>
      <c r="E22" s="98">
        <v>1.8</v>
      </c>
      <c r="F22" s="90">
        <v>1</v>
      </c>
      <c r="G22" s="91" t="s">
        <v>94</v>
      </c>
      <c r="H22" s="92">
        <v>9</v>
      </c>
      <c r="I22" s="93">
        <v>9</v>
      </c>
      <c r="J22" s="83"/>
      <c r="K22" s="83"/>
      <c r="L22" s="12"/>
      <c r="M22" s="13"/>
      <c r="N22" s="14"/>
      <c r="O22" s="11"/>
      <c r="P22" s="15"/>
      <c r="Q22" s="16"/>
      <c r="R22" s="2"/>
      <c r="S22" s="12"/>
      <c r="T22" s="17"/>
      <c r="U22" s="2"/>
      <c r="V22" s="18"/>
      <c r="W22" s="8"/>
      <c r="Y22" s="149" t="s">
        <v>93</v>
      </c>
      <c r="Z22" s="152">
        <f t="shared" si="1"/>
        <v>0</v>
      </c>
    </row>
    <row r="23" spans="2:26" ht="18" x14ac:dyDescent="0.35">
      <c r="B23" s="95">
        <v>6.5</v>
      </c>
      <c r="C23" s="96" t="s">
        <v>77</v>
      </c>
      <c r="D23" s="97">
        <v>2.1</v>
      </c>
      <c r="E23" s="98">
        <v>13.65</v>
      </c>
      <c r="F23" s="90">
        <v>1</v>
      </c>
      <c r="G23" s="91" t="s">
        <v>84</v>
      </c>
      <c r="H23" s="92">
        <v>5</v>
      </c>
      <c r="I23" s="93">
        <v>5</v>
      </c>
      <c r="J23" s="83"/>
      <c r="K23" s="83"/>
      <c r="L23" s="12"/>
      <c r="M23" s="13"/>
      <c r="N23" s="14"/>
      <c r="O23" s="11"/>
      <c r="P23" s="15"/>
      <c r="Q23" s="16"/>
      <c r="R23" s="2"/>
      <c r="S23" s="12"/>
      <c r="T23" s="17"/>
      <c r="U23" s="2"/>
      <c r="V23" s="18"/>
      <c r="W23" s="8"/>
      <c r="Y23" s="149" t="s">
        <v>23</v>
      </c>
      <c r="Z23" s="152">
        <f t="shared" si="1"/>
        <v>8.5</v>
      </c>
    </row>
    <row r="24" spans="2:26" ht="18" x14ac:dyDescent="0.35">
      <c r="B24" s="95">
        <v>8</v>
      </c>
      <c r="C24" s="96" t="s">
        <v>77</v>
      </c>
      <c r="D24" s="97">
        <v>2.1</v>
      </c>
      <c r="E24" s="98">
        <v>16.8</v>
      </c>
      <c r="F24" s="90">
        <v>0.2</v>
      </c>
      <c r="G24" s="91" t="s">
        <v>85</v>
      </c>
      <c r="H24" s="92">
        <v>10</v>
      </c>
      <c r="I24" s="93">
        <v>2</v>
      </c>
      <c r="J24" s="83"/>
      <c r="K24" s="83"/>
      <c r="L24" s="12"/>
      <c r="M24" s="13"/>
      <c r="N24" s="14"/>
      <c r="O24" s="11"/>
      <c r="P24" s="15"/>
      <c r="Q24" s="16"/>
      <c r="R24" s="2"/>
      <c r="S24" s="12"/>
      <c r="T24" s="17"/>
      <c r="U24" s="2"/>
      <c r="V24" s="18"/>
      <c r="W24" s="8"/>
      <c r="Y24" s="149" t="s">
        <v>24</v>
      </c>
      <c r="Z24" s="152">
        <f t="shared" si="1"/>
        <v>0</v>
      </c>
    </row>
    <row r="25" spans="2:26" ht="18" x14ac:dyDescent="0.35">
      <c r="B25" s="95">
        <v>4.5</v>
      </c>
      <c r="C25" s="96" t="s">
        <v>88</v>
      </c>
      <c r="D25" s="97">
        <v>0.9</v>
      </c>
      <c r="E25" s="98">
        <v>4.05</v>
      </c>
      <c r="F25" s="90">
        <v>0.5</v>
      </c>
      <c r="G25" s="91" t="s">
        <v>90</v>
      </c>
      <c r="H25" s="92">
        <v>80</v>
      </c>
      <c r="I25" s="93">
        <v>40</v>
      </c>
      <c r="J25" s="83"/>
      <c r="K25" s="83"/>
      <c r="L25" s="12"/>
      <c r="M25" s="13"/>
      <c r="N25" s="14"/>
      <c r="O25" s="11"/>
      <c r="P25" s="15"/>
      <c r="Q25" s="16"/>
      <c r="R25" s="2"/>
      <c r="S25" s="12"/>
      <c r="T25" s="17"/>
      <c r="U25" s="2"/>
      <c r="V25" s="18"/>
      <c r="W25" s="8"/>
      <c r="Y25" s="149" t="s">
        <v>25</v>
      </c>
      <c r="Z25" s="152">
        <f t="shared" si="1"/>
        <v>0</v>
      </c>
    </row>
    <row r="26" spans="2:26" ht="18" x14ac:dyDescent="0.35">
      <c r="B26" s="95">
        <v>12</v>
      </c>
      <c r="C26" s="96" t="s">
        <v>76</v>
      </c>
      <c r="D26" s="97">
        <v>2.2999999999999998</v>
      </c>
      <c r="E26" s="98">
        <v>27.599999999999998</v>
      </c>
      <c r="F26" s="90">
        <v>0.5</v>
      </c>
      <c r="G26" s="91" t="s">
        <v>23</v>
      </c>
      <c r="H26" s="92">
        <v>50</v>
      </c>
      <c r="I26" s="93">
        <v>25</v>
      </c>
      <c r="J26" s="83"/>
      <c r="K26" s="83"/>
      <c r="L26" s="12"/>
      <c r="M26" s="13"/>
      <c r="N26" s="14"/>
      <c r="O26" s="11"/>
      <c r="P26" s="15"/>
      <c r="Q26" s="16"/>
      <c r="R26" s="2"/>
      <c r="S26" s="12"/>
      <c r="T26" s="17"/>
      <c r="U26" s="2"/>
      <c r="V26" s="18"/>
      <c r="W26" s="8"/>
      <c r="Y26" s="149" t="s">
        <v>98</v>
      </c>
      <c r="Z26" s="152">
        <f t="shared" si="1"/>
        <v>0.6</v>
      </c>
    </row>
    <row r="27" spans="2:26" ht="18" x14ac:dyDescent="0.35">
      <c r="B27" s="95">
        <v>8</v>
      </c>
      <c r="C27" s="96" t="s">
        <v>77</v>
      </c>
      <c r="D27" s="97">
        <v>2.1</v>
      </c>
      <c r="E27" s="98">
        <v>16.8</v>
      </c>
      <c r="F27" s="90">
        <v>1</v>
      </c>
      <c r="G27" s="91" t="s">
        <v>18</v>
      </c>
      <c r="H27" s="92">
        <v>9</v>
      </c>
      <c r="I27" s="93">
        <v>9</v>
      </c>
      <c r="J27" s="83"/>
      <c r="K27" s="83"/>
      <c r="L27" s="12"/>
      <c r="M27" s="13"/>
      <c r="N27" s="14"/>
      <c r="O27" s="11"/>
      <c r="P27" s="15"/>
      <c r="Q27" s="16"/>
      <c r="R27" s="2"/>
      <c r="S27" s="12"/>
      <c r="T27" s="17"/>
      <c r="U27" s="2"/>
      <c r="V27" s="18"/>
      <c r="W27" s="8"/>
      <c r="Y27" s="149" t="s">
        <v>94</v>
      </c>
      <c r="Z27" s="152">
        <f t="shared" si="1"/>
        <v>16.2</v>
      </c>
    </row>
    <row r="28" spans="2:26" ht="18" x14ac:dyDescent="0.35">
      <c r="B28" s="95">
        <v>3</v>
      </c>
      <c r="C28" s="96" t="s">
        <v>76</v>
      </c>
      <c r="D28" s="97">
        <v>2.2999999999999998</v>
      </c>
      <c r="E28" s="98">
        <v>6.8999999999999995</v>
      </c>
      <c r="F28" s="90">
        <v>6</v>
      </c>
      <c r="G28" s="91" t="s">
        <v>19</v>
      </c>
      <c r="H28" s="92">
        <v>2</v>
      </c>
      <c r="I28" s="93">
        <v>12</v>
      </c>
      <c r="J28" s="83"/>
      <c r="K28" s="83"/>
      <c r="L28" s="12"/>
      <c r="M28" s="13"/>
      <c r="N28" s="14"/>
      <c r="O28" s="11"/>
      <c r="P28" s="15"/>
      <c r="Q28" s="16"/>
      <c r="R28" s="2"/>
      <c r="S28" s="12"/>
      <c r="T28" s="17"/>
      <c r="U28" s="2"/>
      <c r="V28" s="18"/>
      <c r="W28" s="8"/>
      <c r="Y28" s="149" t="s">
        <v>42</v>
      </c>
      <c r="Z28" s="152">
        <f t="shared" si="1"/>
        <v>74.5</v>
      </c>
    </row>
    <row r="29" spans="2:26" ht="18" x14ac:dyDescent="0.35">
      <c r="B29" s="95">
        <v>8</v>
      </c>
      <c r="C29" s="96" t="s">
        <v>77</v>
      </c>
      <c r="D29" s="97">
        <v>2.1</v>
      </c>
      <c r="E29" s="98">
        <v>16.8</v>
      </c>
      <c r="F29" s="90">
        <v>4.5</v>
      </c>
      <c r="G29" s="91" t="s">
        <v>18</v>
      </c>
      <c r="H29" s="92">
        <v>9</v>
      </c>
      <c r="I29" s="93">
        <v>40.5</v>
      </c>
      <c r="J29" s="83"/>
      <c r="K29" s="83"/>
      <c r="L29" s="12"/>
      <c r="M29" s="13"/>
      <c r="N29" s="14"/>
      <c r="O29" s="11"/>
      <c r="P29" s="15"/>
      <c r="Q29" s="16"/>
      <c r="R29" s="2"/>
      <c r="S29" s="12"/>
      <c r="T29" s="17"/>
      <c r="U29" s="2"/>
      <c r="V29" s="18"/>
      <c r="W29" s="8"/>
      <c r="Y29" s="149" t="s">
        <v>39</v>
      </c>
      <c r="Z29" s="152">
        <f t="shared" si="1"/>
        <v>0</v>
      </c>
    </row>
    <row r="30" spans="2:26" ht="18" x14ac:dyDescent="0.35">
      <c r="B30" s="95">
        <v>3</v>
      </c>
      <c r="C30" s="96" t="s">
        <v>76</v>
      </c>
      <c r="D30" s="97">
        <v>2.2999999999999998</v>
      </c>
      <c r="E30" s="98">
        <v>6.8999999999999995</v>
      </c>
      <c r="F30" s="90">
        <v>28</v>
      </c>
      <c r="G30" s="91" t="s">
        <v>19</v>
      </c>
      <c r="H30" s="92">
        <v>2</v>
      </c>
      <c r="I30" s="93">
        <v>56</v>
      </c>
      <c r="J30" s="83"/>
      <c r="K30" s="83"/>
      <c r="L30" s="12"/>
      <c r="M30" s="13"/>
      <c r="N30" s="14"/>
      <c r="O30" s="11"/>
      <c r="P30" s="15"/>
      <c r="Q30" s="16"/>
      <c r="R30" s="2"/>
      <c r="S30" s="12"/>
      <c r="T30" s="17"/>
      <c r="U30" s="2"/>
      <c r="V30" s="18"/>
      <c r="W30" s="8"/>
      <c r="Y30" s="149" t="s">
        <v>99</v>
      </c>
      <c r="Z30" s="152">
        <f t="shared" si="1"/>
        <v>0</v>
      </c>
    </row>
    <row r="31" spans="2:26" ht="18" x14ac:dyDescent="0.35">
      <c r="B31" s="95">
        <v>1.5</v>
      </c>
      <c r="C31" s="96" t="s">
        <v>77</v>
      </c>
      <c r="D31" s="97">
        <v>2.1</v>
      </c>
      <c r="E31" s="98">
        <v>3.1500000000000004</v>
      </c>
      <c r="F31" s="90">
        <v>14.5</v>
      </c>
      <c r="G31" s="91" t="s">
        <v>20</v>
      </c>
      <c r="H31" s="92">
        <v>1</v>
      </c>
      <c r="I31" s="93">
        <v>14.5</v>
      </c>
      <c r="J31" s="83"/>
      <c r="K31" s="83"/>
      <c r="L31" s="12"/>
      <c r="M31" s="13"/>
      <c r="N31" s="14"/>
      <c r="O31" s="11"/>
      <c r="P31" s="15"/>
      <c r="Q31" s="16"/>
      <c r="R31" s="2"/>
      <c r="S31" s="12"/>
      <c r="T31" s="17"/>
      <c r="U31" s="2"/>
      <c r="V31" s="18"/>
      <c r="W31" s="8"/>
      <c r="Y31" s="149" t="s">
        <v>95</v>
      </c>
      <c r="Z31" s="152">
        <f t="shared" si="1"/>
        <v>0</v>
      </c>
    </row>
    <row r="32" spans="2:26" ht="18" x14ac:dyDescent="0.35">
      <c r="B32" s="95">
        <v>1.5</v>
      </c>
      <c r="C32" s="96" t="s">
        <v>76</v>
      </c>
      <c r="D32" s="97">
        <v>2.2999999999999998</v>
      </c>
      <c r="E32" s="98">
        <v>3.4499999999999997</v>
      </c>
      <c r="F32" s="90">
        <v>0.6</v>
      </c>
      <c r="G32" s="91" t="s">
        <v>94</v>
      </c>
      <c r="H32" s="92">
        <v>9</v>
      </c>
      <c r="I32" s="93">
        <v>5.3999999999999995</v>
      </c>
      <c r="J32" s="83"/>
      <c r="K32" s="83"/>
      <c r="L32" s="12"/>
      <c r="M32" s="13"/>
      <c r="N32" s="14"/>
      <c r="O32" s="11"/>
      <c r="P32" s="15"/>
      <c r="Q32" s="16"/>
      <c r="R32" s="2"/>
      <c r="S32" s="12"/>
      <c r="T32" s="17"/>
      <c r="U32" s="2"/>
      <c r="V32" s="18"/>
      <c r="W32" s="8"/>
      <c r="Y32" s="149" t="s">
        <v>97</v>
      </c>
      <c r="Z32" s="152">
        <f t="shared" si="1"/>
        <v>0</v>
      </c>
    </row>
    <row r="33" spans="2:26" ht="18" x14ac:dyDescent="0.35">
      <c r="B33" s="95">
        <v>8.5</v>
      </c>
      <c r="C33" s="96" t="s">
        <v>77</v>
      </c>
      <c r="D33" s="97">
        <v>2.1</v>
      </c>
      <c r="E33" s="98">
        <v>17.850000000000001</v>
      </c>
      <c r="F33" s="90">
        <v>2</v>
      </c>
      <c r="G33" s="91" t="s">
        <v>18</v>
      </c>
      <c r="H33" s="92">
        <v>9</v>
      </c>
      <c r="I33" s="93">
        <v>18</v>
      </c>
      <c r="J33" s="83"/>
      <c r="K33" s="83"/>
      <c r="L33" s="12"/>
      <c r="M33" s="13"/>
      <c r="N33" s="14"/>
      <c r="O33" s="11"/>
      <c r="P33" s="15"/>
      <c r="Q33" s="16"/>
      <c r="R33" s="2"/>
      <c r="S33" s="12"/>
      <c r="T33" s="17"/>
      <c r="U33" s="2"/>
      <c r="V33" s="18"/>
      <c r="W33" s="8"/>
      <c r="Y33" s="149" t="s">
        <v>43</v>
      </c>
      <c r="Z33" s="152">
        <f t="shared" si="1"/>
        <v>0</v>
      </c>
    </row>
    <row r="34" spans="2:26" ht="18" x14ac:dyDescent="0.35">
      <c r="B34" s="95">
        <v>19</v>
      </c>
      <c r="C34" s="96" t="s">
        <v>76</v>
      </c>
      <c r="D34" s="97">
        <v>2.2999999999999998</v>
      </c>
      <c r="E34" s="98">
        <v>43.699999999999996</v>
      </c>
      <c r="F34" s="90">
        <v>0.2</v>
      </c>
      <c r="G34" s="91" t="s">
        <v>94</v>
      </c>
      <c r="H34" s="92">
        <v>9</v>
      </c>
      <c r="I34" s="93">
        <v>1.8</v>
      </c>
      <c r="J34" s="83"/>
      <c r="K34" s="83"/>
      <c r="L34" s="12"/>
      <c r="M34" s="13"/>
      <c r="N34" s="14"/>
      <c r="O34" s="11"/>
      <c r="P34" s="15"/>
      <c r="Q34" s="16"/>
      <c r="R34" s="2"/>
      <c r="S34" s="12"/>
      <c r="T34" s="17"/>
      <c r="U34" s="2"/>
      <c r="V34" s="18"/>
      <c r="W34" s="8"/>
      <c r="Y34" s="149" t="s">
        <v>32</v>
      </c>
      <c r="Z34" s="152">
        <f t="shared" si="1"/>
        <v>0</v>
      </c>
    </row>
    <row r="35" spans="2:26" ht="18" x14ac:dyDescent="0.35">
      <c r="B35" s="95">
        <v>3</v>
      </c>
      <c r="C35" s="96" t="s">
        <v>77</v>
      </c>
      <c r="D35" s="97">
        <v>2.1</v>
      </c>
      <c r="E35" s="98">
        <v>6.3000000000000007</v>
      </c>
      <c r="F35" s="90">
        <v>10.5</v>
      </c>
      <c r="G35" s="91" t="s">
        <v>90</v>
      </c>
      <c r="H35" s="92">
        <v>80</v>
      </c>
      <c r="I35" s="93">
        <v>840</v>
      </c>
      <c r="J35" s="83"/>
      <c r="K35" s="83"/>
      <c r="L35" s="12"/>
      <c r="M35" s="13"/>
      <c r="N35" s="14"/>
      <c r="O35" s="11"/>
      <c r="P35" s="15"/>
      <c r="Q35" s="16"/>
      <c r="R35" s="2"/>
      <c r="S35" s="12"/>
      <c r="T35" s="17"/>
      <c r="U35" s="2"/>
      <c r="V35" s="18"/>
      <c r="W35" s="8"/>
      <c r="Y35" s="149" t="s">
        <v>33</v>
      </c>
      <c r="Z35" s="152">
        <f t="shared" si="1"/>
        <v>0</v>
      </c>
    </row>
    <row r="36" spans="2:26" ht="18" x14ac:dyDescent="0.35">
      <c r="B36" s="95">
        <v>16</v>
      </c>
      <c r="C36" s="96" t="s">
        <v>77</v>
      </c>
      <c r="D36" s="97">
        <v>2.1</v>
      </c>
      <c r="E36" s="98">
        <v>33.6</v>
      </c>
      <c r="F36" s="90">
        <v>1</v>
      </c>
      <c r="G36" s="91" t="s">
        <v>90</v>
      </c>
      <c r="H36" s="92">
        <v>80</v>
      </c>
      <c r="I36" s="93">
        <v>80</v>
      </c>
      <c r="J36" s="83"/>
      <c r="K36" s="83"/>
      <c r="L36" s="12"/>
      <c r="M36" s="13"/>
      <c r="N36" s="14"/>
      <c r="O36" s="11"/>
      <c r="P36" s="15"/>
      <c r="Q36" s="16"/>
      <c r="R36" s="2"/>
      <c r="S36" s="12"/>
      <c r="T36" s="17"/>
      <c r="U36" s="2"/>
      <c r="V36" s="18"/>
      <c r="W36" s="8"/>
      <c r="Y36" s="149" t="s">
        <v>30</v>
      </c>
      <c r="Z36" s="152">
        <f t="shared" si="1"/>
        <v>0</v>
      </c>
    </row>
    <row r="37" spans="2:26" ht="18" x14ac:dyDescent="0.35">
      <c r="B37" s="95">
        <v>5</v>
      </c>
      <c r="C37" s="96" t="s">
        <v>76</v>
      </c>
      <c r="D37" s="97">
        <v>2.2999999999999998</v>
      </c>
      <c r="E37" s="98">
        <v>11.5</v>
      </c>
      <c r="F37" s="90">
        <v>0.5</v>
      </c>
      <c r="G37" s="91" t="s">
        <v>23</v>
      </c>
      <c r="H37" s="92">
        <v>50</v>
      </c>
      <c r="I37" s="93">
        <v>25</v>
      </c>
      <c r="J37" s="83"/>
      <c r="K37" s="83"/>
      <c r="L37" s="12"/>
      <c r="M37" s="13"/>
      <c r="N37" s="14"/>
      <c r="O37" s="11"/>
      <c r="P37" s="15"/>
      <c r="Q37" s="16"/>
      <c r="R37" s="2"/>
      <c r="S37" s="12"/>
      <c r="T37" s="17"/>
      <c r="U37" s="2"/>
      <c r="V37" s="18"/>
      <c r="W37" s="8"/>
      <c r="Y37" s="149" t="s">
        <v>31</v>
      </c>
      <c r="Z37" s="152">
        <f t="shared" si="1"/>
        <v>0</v>
      </c>
    </row>
    <row r="38" spans="2:26" ht="18" x14ac:dyDescent="0.35">
      <c r="B38" s="95">
        <v>24.5</v>
      </c>
      <c r="C38" s="96" t="s">
        <v>76</v>
      </c>
      <c r="D38" s="97">
        <v>2.2999999999999998</v>
      </c>
      <c r="E38" s="98">
        <v>56.349999999999994</v>
      </c>
      <c r="F38" s="90">
        <v>0.4</v>
      </c>
      <c r="G38" s="91" t="s">
        <v>94</v>
      </c>
      <c r="H38" s="92">
        <v>9</v>
      </c>
      <c r="I38" s="93">
        <v>3.6</v>
      </c>
      <c r="J38" s="83"/>
      <c r="K38" s="83"/>
      <c r="L38" s="12"/>
      <c r="M38" s="13"/>
      <c r="N38" s="14"/>
      <c r="O38" s="11"/>
      <c r="P38" s="15"/>
      <c r="Q38" s="16"/>
      <c r="R38" s="2"/>
      <c r="S38" s="12"/>
      <c r="T38" s="17"/>
      <c r="U38" s="2"/>
      <c r="V38" s="18"/>
      <c r="W38" s="8"/>
      <c r="Y38" s="149" t="s">
        <v>84</v>
      </c>
      <c r="Z38" s="152">
        <f t="shared" si="1"/>
        <v>1</v>
      </c>
    </row>
    <row r="39" spans="2:26" ht="18" x14ac:dyDescent="0.35">
      <c r="B39" s="95">
        <v>2.5</v>
      </c>
      <c r="C39" s="96" t="s">
        <v>76</v>
      </c>
      <c r="D39" s="97">
        <v>2.2999999999999998</v>
      </c>
      <c r="E39" s="98">
        <v>5.75</v>
      </c>
      <c r="F39" s="90">
        <v>1.5</v>
      </c>
      <c r="G39" s="91" t="s">
        <v>92</v>
      </c>
      <c r="H39" s="92">
        <v>68</v>
      </c>
      <c r="I39" s="93">
        <v>102</v>
      </c>
      <c r="J39" s="83"/>
      <c r="K39" s="83"/>
      <c r="L39" s="12"/>
      <c r="M39" s="13"/>
      <c r="N39" s="14"/>
      <c r="O39" s="11"/>
      <c r="P39" s="15"/>
      <c r="Q39" s="16"/>
      <c r="R39" s="2"/>
      <c r="S39" s="12"/>
      <c r="T39" s="17"/>
      <c r="U39" s="2"/>
      <c r="V39" s="18"/>
      <c r="W39" s="8"/>
      <c r="Y39" s="149" t="s">
        <v>85</v>
      </c>
      <c r="Z39" s="152">
        <f t="shared" si="1"/>
        <v>0.7</v>
      </c>
    </row>
    <row r="40" spans="2:26" ht="18" x14ac:dyDescent="0.35">
      <c r="B40" s="95">
        <v>14.5</v>
      </c>
      <c r="C40" s="96" t="s">
        <v>77</v>
      </c>
      <c r="D40" s="97">
        <v>2.1</v>
      </c>
      <c r="E40" s="98">
        <v>30.450000000000003</v>
      </c>
      <c r="F40" s="90">
        <v>1</v>
      </c>
      <c r="G40" s="91" t="s">
        <v>23</v>
      </c>
      <c r="H40" s="92">
        <v>50</v>
      </c>
      <c r="I40" s="93">
        <v>50</v>
      </c>
      <c r="J40" s="83"/>
      <c r="K40" s="83"/>
      <c r="L40" s="12"/>
      <c r="M40" s="13"/>
      <c r="N40" s="14"/>
      <c r="O40" s="11"/>
      <c r="P40" s="15"/>
      <c r="Q40" s="16"/>
      <c r="R40" s="2"/>
      <c r="S40" s="12"/>
      <c r="T40" s="17"/>
      <c r="U40" s="2"/>
      <c r="V40" s="18"/>
      <c r="W40" s="8"/>
      <c r="Y40" s="149" t="s">
        <v>86</v>
      </c>
      <c r="Z40" s="152">
        <f t="shared" si="1"/>
        <v>0</v>
      </c>
    </row>
    <row r="41" spans="2:26" ht="18" x14ac:dyDescent="0.35">
      <c r="B41" s="95">
        <v>10</v>
      </c>
      <c r="C41" s="96" t="s">
        <v>76</v>
      </c>
      <c r="D41" s="97">
        <v>2.2999999999999998</v>
      </c>
      <c r="E41" s="98">
        <v>23</v>
      </c>
      <c r="F41" s="90">
        <v>0.6</v>
      </c>
      <c r="G41" s="91" t="s">
        <v>98</v>
      </c>
      <c r="H41" s="92">
        <v>5</v>
      </c>
      <c r="I41" s="93">
        <v>3</v>
      </c>
      <c r="J41" s="83"/>
      <c r="K41" s="83"/>
      <c r="L41" s="12"/>
      <c r="M41" s="13"/>
      <c r="N41" s="14"/>
      <c r="O41" s="11"/>
      <c r="P41" s="15"/>
      <c r="Q41" s="16"/>
      <c r="R41" s="2"/>
      <c r="S41" s="12"/>
      <c r="T41" s="17"/>
      <c r="U41" s="2"/>
      <c r="V41" s="18"/>
      <c r="W41" s="8"/>
      <c r="Y41" s="149" t="s">
        <v>87</v>
      </c>
      <c r="Z41" s="152">
        <f t="shared" si="1"/>
        <v>0</v>
      </c>
    </row>
    <row r="42" spans="2:26" ht="18" x14ac:dyDescent="0.35">
      <c r="B42" s="95">
        <v>36</v>
      </c>
      <c r="C42" s="96" t="s">
        <v>77</v>
      </c>
      <c r="D42" s="97">
        <v>2.1</v>
      </c>
      <c r="E42" s="98">
        <v>75.600000000000009</v>
      </c>
      <c r="F42" s="90">
        <v>0.6</v>
      </c>
      <c r="G42" s="91" t="s">
        <v>94</v>
      </c>
      <c r="H42" s="92">
        <v>9</v>
      </c>
      <c r="I42" s="93">
        <v>5.3999999999999995</v>
      </c>
      <c r="J42" s="83"/>
      <c r="K42" s="83"/>
      <c r="L42" s="12"/>
      <c r="M42" s="13"/>
      <c r="N42" s="14"/>
      <c r="O42" s="11"/>
      <c r="P42" s="15"/>
      <c r="Q42" s="16"/>
      <c r="R42" s="2"/>
      <c r="S42" s="12"/>
      <c r="T42" s="17"/>
      <c r="U42" s="2"/>
      <c r="V42" s="18"/>
      <c r="W42" s="8"/>
      <c r="Y42" s="149" t="s">
        <v>46</v>
      </c>
      <c r="Z42" s="152">
        <f t="shared" si="1"/>
        <v>0</v>
      </c>
    </row>
    <row r="43" spans="2:26" ht="18" x14ac:dyDescent="0.35">
      <c r="B43" s="95">
        <v>3.5</v>
      </c>
      <c r="C43" s="96" t="s">
        <v>77</v>
      </c>
      <c r="D43" s="97">
        <v>2.1</v>
      </c>
      <c r="E43" s="98">
        <v>7.3500000000000005</v>
      </c>
      <c r="F43" s="90">
        <v>1</v>
      </c>
      <c r="G43" s="91" t="s">
        <v>90</v>
      </c>
      <c r="H43" s="92">
        <v>80</v>
      </c>
      <c r="I43" s="93">
        <v>80</v>
      </c>
      <c r="J43" s="83"/>
      <c r="K43" s="83"/>
      <c r="L43" s="12"/>
      <c r="M43" s="13"/>
      <c r="N43" s="14"/>
      <c r="O43" s="11"/>
      <c r="P43" s="15"/>
      <c r="Q43" s="16"/>
      <c r="R43" s="2"/>
      <c r="S43" s="12"/>
      <c r="T43" s="17"/>
      <c r="U43" s="2"/>
      <c r="V43" s="18"/>
      <c r="W43" s="8"/>
      <c r="Y43" s="149" t="s">
        <v>47</v>
      </c>
      <c r="Z43" s="152">
        <f t="shared" si="1"/>
        <v>0.4</v>
      </c>
    </row>
    <row r="44" spans="2:26" ht="18" x14ac:dyDescent="0.35">
      <c r="B44" s="95">
        <v>2.5</v>
      </c>
      <c r="C44" s="96" t="s">
        <v>88</v>
      </c>
      <c r="D44" s="97">
        <v>0.9</v>
      </c>
      <c r="E44" s="98">
        <v>2.25</v>
      </c>
      <c r="F44" s="90">
        <v>1</v>
      </c>
      <c r="G44" s="91" t="s">
        <v>18</v>
      </c>
      <c r="H44" s="92">
        <v>9</v>
      </c>
      <c r="I44" s="93">
        <v>9</v>
      </c>
      <c r="J44" s="83"/>
      <c r="K44" s="83"/>
      <c r="L44" s="12"/>
      <c r="M44" s="13"/>
      <c r="N44" s="14"/>
      <c r="O44" s="11"/>
      <c r="P44" s="15"/>
      <c r="Q44" s="16"/>
      <c r="R44" s="2"/>
      <c r="S44" s="12"/>
      <c r="T44" s="17"/>
      <c r="U44" s="2"/>
      <c r="V44" s="18"/>
      <c r="W44" s="8"/>
      <c r="Y44" s="149" t="s">
        <v>48</v>
      </c>
      <c r="Z44" s="152">
        <f t="shared" si="1"/>
        <v>6.5</v>
      </c>
    </row>
    <row r="45" spans="2:26" ht="18" x14ac:dyDescent="0.35">
      <c r="B45" s="95">
        <v>48</v>
      </c>
      <c r="C45" s="96" t="s">
        <v>76</v>
      </c>
      <c r="D45" s="97">
        <v>2.2999999999999998</v>
      </c>
      <c r="E45" s="98">
        <v>110.39999999999999</v>
      </c>
      <c r="F45" s="90">
        <v>0.5</v>
      </c>
      <c r="G45" s="91" t="s">
        <v>90</v>
      </c>
      <c r="H45" s="92">
        <v>80</v>
      </c>
      <c r="I45" s="93">
        <v>40</v>
      </c>
      <c r="J45" s="83"/>
      <c r="K45" s="83"/>
      <c r="L45" s="12"/>
      <c r="M45" s="13"/>
      <c r="N45" s="14"/>
      <c r="O45" s="11"/>
      <c r="P45" s="15"/>
      <c r="Q45" s="16"/>
      <c r="R45" s="2"/>
      <c r="S45" s="12"/>
      <c r="T45" s="17"/>
      <c r="U45" s="2"/>
      <c r="V45" s="18"/>
      <c r="W45" s="8"/>
      <c r="Y45" s="149" t="s">
        <v>83</v>
      </c>
      <c r="Z45" s="152">
        <f t="shared" si="1"/>
        <v>0</v>
      </c>
    </row>
    <row r="46" spans="2:26" ht="18" x14ac:dyDescent="0.35">
      <c r="B46" s="95">
        <v>10.5</v>
      </c>
      <c r="C46" s="96" t="s">
        <v>76</v>
      </c>
      <c r="D46" s="97">
        <v>2.2999999999999998</v>
      </c>
      <c r="E46" s="98">
        <v>24.15</v>
      </c>
      <c r="F46" s="90">
        <v>3.5</v>
      </c>
      <c r="G46" s="91" t="s">
        <v>18</v>
      </c>
      <c r="H46" s="92">
        <v>9</v>
      </c>
      <c r="I46" s="93">
        <v>31.5</v>
      </c>
      <c r="J46" s="83"/>
      <c r="K46" s="83"/>
      <c r="L46" s="12"/>
      <c r="M46" s="13"/>
      <c r="N46" s="14"/>
      <c r="O46" s="11"/>
      <c r="P46" s="15"/>
      <c r="Q46" s="16"/>
      <c r="R46" s="2"/>
      <c r="S46" s="12"/>
      <c r="T46" s="17"/>
      <c r="U46" s="2"/>
      <c r="V46" s="18"/>
      <c r="W46" s="8"/>
      <c r="Y46" s="149" t="s">
        <v>96</v>
      </c>
      <c r="Z46" s="152">
        <f t="shared" si="1"/>
        <v>11.7</v>
      </c>
    </row>
    <row r="47" spans="2:26" ht="18" x14ac:dyDescent="0.35">
      <c r="B47" s="95">
        <v>9.5</v>
      </c>
      <c r="C47" s="96" t="s">
        <v>77</v>
      </c>
      <c r="D47" s="97">
        <v>2.1</v>
      </c>
      <c r="E47" s="98">
        <v>19.95</v>
      </c>
      <c r="F47" s="90">
        <v>0.4</v>
      </c>
      <c r="G47" s="91" t="s">
        <v>47</v>
      </c>
      <c r="H47" s="92">
        <v>13</v>
      </c>
      <c r="I47" s="93">
        <v>5.2</v>
      </c>
      <c r="J47" s="83"/>
      <c r="K47" s="83"/>
      <c r="L47" s="12"/>
      <c r="M47" s="13"/>
      <c r="N47" s="14"/>
      <c r="O47" s="11"/>
      <c r="P47" s="15"/>
      <c r="Q47" s="16"/>
      <c r="R47" s="2"/>
      <c r="S47" s="12"/>
      <c r="T47" s="17"/>
      <c r="U47" s="2"/>
      <c r="V47" s="18"/>
      <c r="W47" s="8"/>
      <c r="Y47" s="149" t="s">
        <v>73</v>
      </c>
      <c r="Z47" s="152">
        <f t="shared" si="1"/>
        <v>0</v>
      </c>
    </row>
    <row r="48" spans="2:26" ht="18" x14ac:dyDescent="0.35">
      <c r="B48" s="95">
        <v>0.5</v>
      </c>
      <c r="C48" s="96" t="s">
        <v>77</v>
      </c>
      <c r="D48" s="97">
        <v>2.1</v>
      </c>
      <c r="E48" s="98">
        <v>1.05</v>
      </c>
      <c r="F48" s="90">
        <v>0.2</v>
      </c>
      <c r="G48" s="91" t="s">
        <v>91</v>
      </c>
      <c r="H48" s="92">
        <v>78</v>
      </c>
      <c r="I48" s="93">
        <v>15.600000000000001</v>
      </c>
      <c r="J48" s="83"/>
      <c r="K48" s="83"/>
      <c r="L48" s="12"/>
      <c r="M48" s="13"/>
      <c r="N48" s="14"/>
      <c r="O48" s="11"/>
      <c r="P48" s="15"/>
      <c r="Q48" s="16"/>
      <c r="R48" s="2"/>
      <c r="S48" s="12"/>
      <c r="T48" s="17"/>
      <c r="U48" s="2"/>
      <c r="V48" s="18"/>
      <c r="W48" s="8"/>
      <c r="Y48" s="149" t="s">
        <v>74</v>
      </c>
      <c r="Z48" s="152">
        <f t="shared" si="1"/>
        <v>0</v>
      </c>
    </row>
    <row r="49" spans="2:26" ht="18" x14ac:dyDescent="0.35">
      <c r="B49" s="95"/>
      <c r="C49" s="96"/>
      <c r="D49" s="97"/>
      <c r="E49" s="98"/>
      <c r="F49" s="90">
        <v>1.5</v>
      </c>
      <c r="G49" s="91" t="s">
        <v>23</v>
      </c>
      <c r="H49" s="92">
        <v>50</v>
      </c>
      <c r="I49" s="93">
        <v>75</v>
      </c>
      <c r="J49" s="83"/>
      <c r="K49" s="83"/>
      <c r="L49" s="12"/>
      <c r="M49" s="13"/>
      <c r="N49" s="14"/>
      <c r="O49" s="11"/>
      <c r="P49" s="15"/>
      <c r="Q49" s="16"/>
      <c r="R49" s="2"/>
      <c r="S49" s="12"/>
      <c r="T49" s="17"/>
      <c r="U49" s="2"/>
      <c r="V49" s="18"/>
      <c r="W49" s="8"/>
      <c r="Y49" s="149" t="s">
        <v>70</v>
      </c>
      <c r="Z49" s="152">
        <f t="shared" si="1"/>
        <v>4.5</v>
      </c>
    </row>
    <row r="50" spans="2:26" ht="18" x14ac:dyDescent="0.35">
      <c r="B50" s="95"/>
      <c r="C50" s="96"/>
      <c r="D50" s="97"/>
      <c r="E50" s="98"/>
      <c r="F50" s="90">
        <v>1.5</v>
      </c>
      <c r="G50" s="91" t="s">
        <v>94</v>
      </c>
      <c r="H50" s="92">
        <v>9</v>
      </c>
      <c r="I50" s="93">
        <v>13.5</v>
      </c>
      <c r="J50" s="83"/>
      <c r="K50" s="83"/>
      <c r="L50" s="12"/>
      <c r="M50" s="13"/>
      <c r="N50" s="14"/>
      <c r="O50" s="11"/>
      <c r="P50" s="15"/>
      <c r="Q50" s="16"/>
      <c r="R50" s="2"/>
      <c r="S50" s="12"/>
      <c r="T50" s="17"/>
      <c r="U50" s="2"/>
      <c r="V50" s="18"/>
      <c r="W50" s="8"/>
      <c r="Y50" s="149" t="s">
        <v>64</v>
      </c>
      <c r="Z50" s="152">
        <f t="shared" si="1"/>
        <v>0</v>
      </c>
    </row>
    <row r="51" spans="2:26" ht="18" x14ac:dyDescent="0.35">
      <c r="B51" s="95"/>
      <c r="C51" s="96"/>
      <c r="D51" s="97"/>
      <c r="E51" s="98"/>
      <c r="F51" s="90">
        <v>2.5</v>
      </c>
      <c r="G51" s="91" t="s">
        <v>18</v>
      </c>
      <c r="H51" s="92">
        <v>9</v>
      </c>
      <c r="I51" s="93">
        <v>22.5</v>
      </c>
      <c r="J51" s="83"/>
      <c r="K51" s="83"/>
      <c r="L51" s="12"/>
      <c r="M51" s="13"/>
      <c r="N51" s="14"/>
      <c r="O51" s="11"/>
      <c r="P51" s="15"/>
      <c r="Q51" s="16"/>
      <c r="R51" s="2"/>
      <c r="S51" s="12"/>
      <c r="T51" s="17"/>
      <c r="U51" s="2"/>
      <c r="V51" s="18"/>
      <c r="W51" s="8"/>
      <c r="Y51" s="149" t="s">
        <v>65</v>
      </c>
      <c r="Z51" s="152">
        <f t="shared" si="1"/>
        <v>0</v>
      </c>
    </row>
    <row r="52" spans="2:26" ht="18" x14ac:dyDescent="0.35">
      <c r="B52" s="95"/>
      <c r="C52" s="96"/>
      <c r="D52" s="97"/>
      <c r="E52" s="98"/>
      <c r="F52" s="90">
        <v>0.2</v>
      </c>
      <c r="G52" s="91" t="s">
        <v>23</v>
      </c>
      <c r="H52" s="92">
        <v>50</v>
      </c>
      <c r="I52" s="93">
        <v>10</v>
      </c>
      <c r="J52" s="83"/>
      <c r="K52" s="83"/>
      <c r="L52" s="12"/>
      <c r="M52" s="13"/>
      <c r="N52" s="14"/>
      <c r="O52" s="11"/>
      <c r="P52" s="15"/>
      <c r="Q52" s="16"/>
      <c r="R52" s="2"/>
      <c r="S52" s="12"/>
      <c r="T52" s="17"/>
      <c r="U52" s="2"/>
      <c r="V52" s="18"/>
      <c r="W52" s="8"/>
      <c r="Y52" s="149" t="s">
        <v>66</v>
      </c>
      <c r="Z52" s="152">
        <f t="shared" si="1"/>
        <v>0</v>
      </c>
    </row>
    <row r="53" spans="2:26" ht="18" x14ac:dyDescent="0.35">
      <c r="B53" s="95"/>
      <c r="C53" s="96"/>
      <c r="D53" s="97"/>
      <c r="E53" s="98"/>
      <c r="F53" s="90">
        <v>2</v>
      </c>
      <c r="G53" s="91" t="s">
        <v>48</v>
      </c>
      <c r="H53" s="92">
        <v>6</v>
      </c>
      <c r="I53" s="93">
        <v>12</v>
      </c>
      <c r="J53" s="83"/>
      <c r="K53" s="83"/>
      <c r="L53" s="12"/>
      <c r="M53" s="13"/>
      <c r="N53" s="14"/>
      <c r="O53" s="11"/>
      <c r="P53" s="15"/>
      <c r="Q53" s="16"/>
      <c r="R53" s="2"/>
      <c r="S53" s="12"/>
      <c r="T53" s="17"/>
      <c r="U53" s="2"/>
      <c r="V53" s="18"/>
      <c r="W53" s="8"/>
      <c r="Y53" s="149" t="s">
        <v>100</v>
      </c>
      <c r="Z53" s="152">
        <f t="shared" si="1"/>
        <v>0</v>
      </c>
    </row>
    <row r="54" spans="2:26" ht="18" x14ac:dyDescent="0.35">
      <c r="B54" s="95"/>
      <c r="C54" s="96"/>
      <c r="D54" s="97"/>
      <c r="E54" s="98"/>
      <c r="F54" s="90">
        <v>0.5</v>
      </c>
      <c r="G54" s="91" t="s">
        <v>94</v>
      </c>
      <c r="H54" s="92">
        <v>9</v>
      </c>
      <c r="I54" s="93">
        <v>4.5</v>
      </c>
      <c r="J54" s="83"/>
      <c r="K54" s="83"/>
      <c r="L54" s="12"/>
      <c r="M54" s="13"/>
      <c r="N54" s="14"/>
      <c r="O54" s="11"/>
      <c r="P54" s="15"/>
      <c r="Q54" s="16"/>
      <c r="R54" s="2"/>
      <c r="S54" s="12"/>
      <c r="T54" s="17"/>
      <c r="U54" s="2"/>
      <c r="V54" s="18"/>
      <c r="W54" s="8"/>
      <c r="Y54" s="149" t="s">
        <v>101</v>
      </c>
      <c r="Z54" s="152">
        <f t="shared" si="1"/>
        <v>0</v>
      </c>
    </row>
    <row r="55" spans="2:26" ht="18" x14ac:dyDescent="0.35">
      <c r="B55" s="95"/>
      <c r="C55" s="96"/>
      <c r="D55" s="97"/>
      <c r="E55" s="98"/>
      <c r="F55" s="90">
        <v>1.2</v>
      </c>
      <c r="G55" s="91" t="s">
        <v>90</v>
      </c>
      <c r="H55" s="92">
        <v>80</v>
      </c>
      <c r="I55" s="93">
        <v>96</v>
      </c>
      <c r="J55" s="83"/>
      <c r="K55" s="83"/>
      <c r="L55" s="12"/>
      <c r="M55" s="13"/>
      <c r="N55" s="14"/>
      <c r="O55" s="11"/>
      <c r="P55" s="15"/>
      <c r="Q55" s="16"/>
      <c r="R55" s="2"/>
      <c r="S55" s="12"/>
      <c r="T55" s="17"/>
      <c r="U55" s="2"/>
      <c r="V55" s="18"/>
      <c r="W55" s="8"/>
      <c r="Y55" s="149" t="s">
        <v>102</v>
      </c>
      <c r="Z55" s="152">
        <f t="shared" si="1"/>
        <v>0</v>
      </c>
    </row>
    <row r="56" spans="2:26" ht="18" x14ac:dyDescent="0.35">
      <c r="B56" s="95"/>
      <c r="C56" s="96"/>
      <c r="D56" s="97"/>
      <c r="E56" s="98"/>
      <c r="F56" s="90">
        <v>8</v>
      </c>
      <c r="G56" s="91" t="s">
        <v>96</v>
      </c>
      <c r="H56" s="92">
        <v>12</v>
      </c>
      <c r="I56" s="93">
        <v>96</v>
      </c>
      <c r="J56" s="83"/>
      <c r="K56" s="83"/>
      <c r="L56" s="12"/>
      <c r="M56" s="13"/>
      <c r="N56" s="14"/>
      <c r="O56" s="11"/>
      <c r="P56" s="15"/>
      <c r="Q56" s="16"/>
      <c r="R56" s="2"/>
      <c r="S56" s="12"/>
      <c r="T56" s="17"/>
      <c r="U56" s="2"/>
      <c r="V56" s="18"/>
      <c r="W56" s="8"/>
      <c r="Y56" s="149" t="s">
        <v>26</v>
      </c>
      <c r="Z56" s="152">
        <f t="shared" si="1"/>
        <v>0</v>
      </c>
    </row>
    <row r="57" spans="2:26" ht="18" x14ac:dyDescent="0.35">
      <c r="B57" s="95"/>
      <c r="C57" s="96"/>
      <c r="D57" s="97"/>
      <c r="E57" s="98"/>
      <c r="F57" s="90">
        <v>0.2</v>
      </c>
      <c r="G57" s="91" t="s">
        <v>22</v>
      </c>
      <c r="H57" s="92">
        <v>84</v>
      </c>
      <c r="I57" s="93">
        <v>16.8</v>
      </c>
      <c r="J57" s="83"/>
      <c r="K57" s="83"/>
      <c r="L57" s="12"/>
      <c r="M57" s="13"/>
      <c r="N57" s="14"/>
      <c r="O57" s="11"/>
      <c r="P57" s="15"/>
      <c r="Q57" s="16"/>
      <c r="R57" s="2"/>
      <c r="S57" s="12"/>
      <c r="T57" s="17"/>
      <c r="U57" s="2"/>
      <c r="V57" s="18"/>
      <c r="W57" s="8"/>
      <c r="Y57" s="149" t="s">
        <v>27</v>
      </c>
      <c r="Z57" s="152">
        <f t="shared" si="1"/>
        <v>0</v>
      </c>
    </row>
    <row r="58" spans="2:26" ht="18" x14ac:dyDescent="0.35">
      <c r="B58" s="95"/>
      <c r="C58" s="96"/>
      <c r="D58" s="97"/>
      <c r="E58" s="98"/>
      <c r="F58" s="90">
        <v>1.2</v>
      </c>
      <c r="G58" s="91" t="s">
        <v>23</v>
      </c>
      <c r="H58" s="92">
        <v>50</v>
      </c>
      <c r="I58" s="93">
        <v>60</v>
      </c>
      <c r="J58" s="83"/>
      <c r="K58" s="83"/>
      <c r="L58" s="12"/>
      <c r="M58" s="13"/>
      <c r="N58" s="14"/>
      <c r="O58" s="11"/>
      <c r="P58" s="15"/>
      <c r="Q58" s="16"/>
      <c r="R58" s="2"/>
      <c r="S58" s="12"/>
      <c r="T58" s="17"/>
      <c r="U58" s="2"/>
      <c r="V58" s="18"/>
      <c r="W58" s="8"/>
      <c r="Y58" s="149" t="s">
        <v>28</v>
      </c>
      <c r="Z58" s="152">
        <f t="shared" si="1"/>
        <v>0</v>
      </c>
    </row>
    <row r="59" spans="2:26" ht="18" x14ac:dyDescent="0.35">
      <c r="B59" s="95"/>
      <c r="C59" s="96"/>
      <c r="D59" s="97"/>
      <c r="E59" s="98"/>
      <c r="F59" s="90">
        <v>2</v>
      </c>
      <c r="G59" s="91" t="s">
        <v>48</v>
      </c>
      <c r="H59" s="92">
        <v>6</v>
      </c>
      <c r="I59" s="93">
        <v>12</v>
      </c>
      <c r="J59" s="83"/>
      <c r="K59" s="83"/>
      <c r="L59" s="12"/>
      <c r="M59" s="13"/>
      <c r="N59" s="14"/>
      <c r="O59" s="11"/>
      <c r="P59" s="15"/>
      <c r="Q59" s="16"/>
      <c r="R59" s="2"/>
      <c r="S59" s="12"/>
      <c r="T59" s="17"/>
      <c r="U59" s="2"/>
      <c r="V59" s="18"/>
      <c r="W59" s="8"/>
      <c r="Y59" s="149" t="s">
        <v>29</v>
      </c>
      <c r="Z59" s="152">
        <f t="shared" si="1"/>
        <v>0</v>
      </c>
    </row>
    <row r="60" spans="2:26" ht="18" x14ac:dyDescent="0.35">
      <c r="B60" s="95"/>
      <c r="C60" s="96"/>
      <c r="D60" s="97"/>
      <c r="E60" s="98"/>
      <c r="F60" s="90">
        <v>0.5</v>
      </c>
      <c r="G60" s="91" t="s">
        <v>94</v>
      </c>
      <c r="H60" s="92">
        <v>9</v>
      </c>
      <c r="I60" s="93">
        <v>4.5</v>
      </c>
      <c r="J60" s="83"/>
      <c r="K60" s="83"/>
      <c r="L60" s="12"/>
      <c r="M60" s="13"/>
      <c r="N60" s="14"/>
      <c r="O60" s="11"/>
      <c r="P60" s="15"/>
      <c r="Q60" s="16"/>
      <c r="R60" s="2"/>
      <c r="S60" s="12"/>
      <c r="T60" s="17"/>
      <c r="U60" s="2"/>
      <c r="V60" s="18"/>
      <c r="W60" s="8"/>
      <c r="Y60" s="149" t="s">
        <v>34</v>
      </c>
      <c r="Z60" s="152">
        <f t="shared" si="1"/>
        <v>0</v>
      </c>
    </row>
    <row r="61" spans="2:26" ht="18" x14ac:dyDescent="0.35">
      <c r="B61" s="95"/>
      <c r="C61" s="96"/>
      <c r="D61" s="97"/>
      <c r="E61" s="98"/>
      <c r="F61" s="90">
        <v>1.5</v>
      </c>
      <c r="G61" s="91" t="s">
        <v>90</v>
      </c>
      <c r="H61" s="92">
        <v>80</v>
      </c>
      <c r="I61" s="93">
        <v>120</v>
      </c>
      <c r="J61" s="83"/>
      <c r="K61" s="83"/>
      <c r="L61" s="12"/>
      <c r="M61" s="13"/>
      <c r="N61" s="14"/>
      <c r="O61" s="11"/>
      <c r="P61" s="15"/>
      <c r="Q61" s="16"/>
      <c r="R61" s="2"/>
      <c r="S61" s="12"/>
      <c r="T61" s="17"/>
      <c r="U61" s="2"/>
      <c r="V61" s="18"/>
      <c r="W61" s="8"/>
      <c r="Y61" s="149" t="s">
        <v>35</v>
      </c>
      <c r="Z61" s="152">
        <f t="shared" si="1"/>
        <v>0</v>
      </c>
    </row>
    <row r="62" spans="2:26" ht="18" x14ac:dyDescent="0.35">
      <c r="B62" s="95"/>
      <c r="C62" s="96"/>
      <c r="D62" s="97"/>
      <c r="E62" s="98"/>
      <c r="F62" s="90">
        <v>0.2</v>
      </c>
      <c r="G62" s="91" t="s">
        <v>90</v>
      </c>
      <c r="H62" s="92">
        <v>80</v>
      </c>
      <c r="I62" s="93">
        <v>16</v>
      </c>
      <c r="J62" s="83"/>
      <c r="K62" s="83"/>
      <c r="L62" s="12"/>
      <c r="M62" s="13"/>
      <c r="N62" s="14"/>
      <c r="O62" s="11"/>
      <c r="P62" s="15"/>
      <c r="Q62" s="16"/>
      <c r="R62" s="2"/>
      <c r="S62" s="12"/>
      <c r="T62" s="17"/>
      <c r="U62" s="2"/>
      <c r="V62" s="18"/>
      <c r="W62" s="8"/>
      <c r="Y62" s="149" t="s">
        <v>36</v>
      </c>
      <c r="Z62" s="152">
        <f t="shared" si="1"/>
        <v>0</v>
      </c>
    </row>
    <row r="63" spans="2:26" ht="18" x14ac:dyDescent="0.35">
      <c r="B63" s="95"/>
      <c r="C63" s="96"/>
      <c r="D63" s="97"/>
      <c r="E63" s="98"/>
      <c r="F63" s="90">
        <v>2.5</v>
      </c>
      <c r="G63" s="91" t="s">
        <v>48</v>
      </c>
      <c r="H63" s="92">
        <v>6</v>
      </c>
      <c r="I63" s="93">
        <v>15</v>
      </c>
      <c r="J63" s="83"/>
      <c r="K63" s="83"/>
      <c r="L63" s="12"/>
      <c r="M63" s="13"/>
      <c r="N63" s="14"/>
      <c r="O63" s="11"/>
      <c r="P63" s="15"/>
      <c r="Q63" s="16"/>
      <c r="R63" s="2"/>
      <c r="S63" s="12"/>
      <c r="T63" s="17"/>
      <c r="U63" s="2"/>
      <c r="V63" s="18"/>
      <c r="W63" s="8"/>
      <c r="Y63" s="149" t="s">
        <v>37</v>
      </c>
      <c r="Z63" s="152">
        <f t="shared" si="1"/>
        <v>0</v>
      </c>
    </row>
    <row r="64" spans="2:26" ht="18" x14ac:dyDescent="0.35">
      <c r="B64" s="95"/>
      <c r="C64" s="96"/>
      <c r="D64" s="97"/>
      <c r="E64" s="98"/>
      <c r="F64" s="90">
        <v>5.5</v>
      </c>
      <c r="G64" s="91" t="s">
        <v>18</v>
      </c>
      <c r="H64" s="92">
        <v>9</v>
      </c>
      <c r="I64" s="93">
        <v>49.5</v>
      </c>
      <c r="J64" s="83"/>
      <c r="K64" s="83"/>
      <c r="L64" s="12"/>
      <c r="M64" s="13"/>
      <c r="N64" s="14"/>
      <c r="O64" s="11"/>
      <c r="P64" s="15"/>
      <c r="Q64" s="16"/>
      <c r="R64" s="2"/>
      <c r="S64" s="12"/>
      <c r="T64" s="17"/>
      <c r="U64" s="2"/>
      <c r="V64" s="18"/>
      <c r="W64" s="8"/>
      <c r="Y64" s="149" t="s">
        <v>38</v>
      </c>
      <c r="Z64" s="152">
        <f t="shared" si="1"/>
        <v>0</v>
      </c>
    </row>
    <row r="65" spans="2:26" ht="18" x14ac:dyDescent="0.35">
      <c r="B65" s="95"/>
      <c r="C65" s="96"/>
      <c r="D65" s="97"/>
      <c r="E65" s="98"/>
      <c r="F65" s="99">
        <v>1</v>
      </c>
      <c r="G65" s="100" t="s">
        <v>90</v>
      </c>
      <c r="H65" s="101">
        <v>80</v>
      </c>
      <c r="I65" s="102">
        <v>80</v>
      </c>
      <c r="J65" s="83"/>
      <c r="K65" s="83"/>
      <c r="L65" s="12"/>
      <c r="M65" s="13"/>
      <c r="N65" s="14"/>
      <c r="O65" s="11"/>
      <c r="P65" s="15"/>
      <c r="Q65" s="16"/>
      <c r="R65" s="2"/>
      <c r="S65" s="12"/>
      <c r="T65" s="17"/>
      <c r="U65" s="2"/>
      <c r="V65" s="18"/>
      <c r="W65" s="8"/>
      <c r="Y65" s="149" t="s">
        <v>40</v>
      </c>
      <c r="Z65" s="152">
        <f t="shared" si="1"/>
        <v>0</v>
      </c>
    </row>
    <row r="66" spans="2:26" ht="18" x14ac:dyDescent="0.35">
      <c r="B66" s="95"/>
      <c r="C66" s="96"/>
      <c r="D66" s="97"/>
      <c r="E66" s="98"/>
      <c r="F66" s="90">
        <v>1.8</v>
      </c>
      <c r="G66" s="91" t="s">
        <v>90</v>
      </c>
      <c r="H66" s="92">
        <v>80</v>
      </c>
      <c r="I66" s="93">
        <v>144</v>
      </c>
      <c r="J66" s="83"/>
      <c r="K66" s="83"/>
      <c r="L66" s="12"/>
      <c r="M66" s="13"/>
      <c r="N66" s="14"/>
      <c r="O66" s="11"/>
      <c r="P66" s="15"/>
      <c r="Q66" s="16"/>
      <c r="R66" s="2"/>
      <c r="S66" s="12"/>
      <c r="T66" s="17"/>
      <c r="U66" s="2"/>
      <c r="V66" s="18"/>
      <c r="W66" s="8"/>
      <c r="Y66" s="149" t="s">
        <v>41</v>
      </c>
      <c r="Z66" s="152">
        <f t="shared" si="1"/>
        <v>0</v>
      </c>
    </row>
    <row r="67" spans="2:26" ht="18" x14ac:dyDescent="0.35">
      <c r="B67" s="95"/>
      <c r="C67" s="96"/>
      <c r="D67" s="97"/>
      <c r="E67" s="98"/>
      <c r="F67" s="103">
        <v>1</v>
      </c>
      <c r="G67" s="94" t="s">
        <v>23</v>
      </c>
      <c r="H67" s="104">
        <v>50</v>
      </c>
      <c r="I67" s="105">
        <v>50</v>
      </c>
      <c r="J67" s="83"/>
      <c r="K67" s="83"/>
      <c r="L67" s="12"/>
      <c r="M67" s="13"/>
      <c r="N67" s="14"/>
      <c r="O67" s="11"/>
      <c r="P67" s="15"/>
      <c r="Q67" s="16"/>
      <c r="R67" s="2"/>
      <c r="S67" s="12"/>
      <c r="T67" s="17"/>
      <c r="U67" s="2"/>
      <c r="V67" s="18"/>
      <c r="W67" s="8"/>
      <c r="Y67" s="149" t="s">
        <v>69</v>
      </c>
      <c r="Z67" s="152">
        <f t="shared" si="1"/>
        <v>0</v>
      </c>
    </row>
    <row r="68" spans="2:26" ht="18" x14ac:dyDescent="0.35">
      <c r="B68" s="95"/>
      <c r="C68" s="96"/>
      <c r="D68" s="97"/>
      <c r="E68" s="98"/>
      <c r="F68" s="90">
        <v>3.5</v>
      </c>
      <c r="G68" s="91" t="s">
        <v>94</v>
      </c>
      <c r="H68" s="92">
        <v>9</v>
      </c>
      <c r="I68" s="105">
        <v>31.5</v>
      </c>
      <c r="J68" s="83"/>
      <c r="K68" s="83"/>
      <c r="L68" s="12"/>
      <c r="M68" s="13"/>
      <c r="N68" s="14"/>
      <c r="O68" s="11"/>
      <c r="P68" s="15"/>
      <c r="Q68" s="16"/>
      <c r="R68" s="2"/>
      <c r="S68" s="12"/>
      <c r="T68" s="17"/>
      <c r="U68" s="2"/>
      <c r="V68" s="18"/>
      <c r="W68" s="8"/>
      <c r="Y68" s="149" t="s">
        <v>108</v>
      </c>
      <c r="Z68" s="152">
        <f t="shared" si="1"/>
        <v>0</v>
      </c>
    </row>
    <row r="69" spans="2:26" ht="18" x14ac:dyDescent="0.35">
      <c r="B69" s="95"/>
      <c r="C69" s="96"/>
      <c r="D69" s="97"/>
      <c r="E69" s="98"/>
      <c r="F69" s="90">
        <v>0.5</v>
      </c>
      <c r="G69" s="91" t="s">
        <v>85</v>
      </c>
      <c r="H69" s="92">
        <v>10</v>
      </c>
      <c r="I69" s="105">
        <v>5</v>
      </c>
      <c r="J69" s="83"/>
      <c r="K69" s="83"/>
      <c r="L69" s="12"/>
      <c r="M69" s="13"/>
      <c r="N69" s="14"/>
      <c r="O69" s="11"/>
      <c r="P69" s="15"/>
      <c r="Q69" s="16"/>
      <c r="R69" s="2"/>
      <c r="S69" s="12"/>
      <c r="T69" s="17"/>
      <c r="U69" s="2"/>
      <c r="V69" s="18"/>
      <c r="W69" s="8"/>
      <c r="Y69" s="149" t="s">
        <v>44</v>
      </c>
      <c r="Z69" s="152">
        <f t="shared" si="1"/>
        <v>0</v>
      </c>
    </row>
    <row r="70" spans="2:26" ht="18" x14ac:dyDescent="0.35">
      <c r="B70" s="95"/>
      <c r="C70" s="96"/>
      <c r="D70" s="97"/>
      <c r="E70" s="98"/>
      <c r="F70" s="90">
        <v>4.5</v>
      </c>
      <c r="G70" s="91" t="s">
        <v>70</v>
      </c>
      <c r="H70" s="92">
        <v>5</v>
      </c>
      <c r="I70" s="105">
        <v>22.5</v>
      </c>
      <c r="J70" s="83"/>
      <c r="K70" s="83"/>
      <c r="L70" s="12"/>
      <c r="M70" s="13"/>
      <c r="N70" s="14"/>
      <c r="O70" s="11"/>
      <c r="P70" s="15"/>
      <c r="Q70" s="16"/>
      <c r="R70" s="2"/>
      <c r="S70" s="12"/>
      <c r="T70" s="17"/>
      <c r="U70" s="2"/>
      <c r="V70" s="18"/>
      <c r="W70" s="8"/>
      <c r="Y70" s="149" t="s">
        <v>45</v>
      </c>
      <c r="Z70" s="152">
        <f t="shared" si="1"/>
        <v>0</v>
      </c>
    </row>
    <row r="71" spans="2:26" ht="18" x14ac:dyDescent="0.35">
      <c r="B71" s="95"/>
      <c r="C71" s="96"/>
      <c r="D71" s="97"/>
      <c r="E71" s="98"/>
      <c r="F71" s="90">
        <v>0.6</v>
      </c>
      <c r="G71" s="91" t="s">
        <v>90</v>
      </c>
      <c r="H71" s="92">
        <v>80</v>
      </c>
      <c r="I71" s="105">
        <v>48</v>
      </c>
      <c r="J71" s="83"/>
      <c r="K71" s="83"/>
      <c r="L71" s="12"/>
      <c r="M71" s="13"/>
      <c r="N71" s="14"/>
      <c r="O71" s="11"/>
      <c r="P71" s="15"/>
      <c r="Q71" s="16"/>
      <c r="R71" s="2"/>
      <c r="S71" s="12"/>
      <c r="T71" s="17"/>
      <c r="U71" s="2"/>
      <c r="V71" s="18"/>
      <c r="W71" s="8"/>
      <c r="Y71" s="149" t="s">
        <v>49</v>
      </c>
      <c r="Z71" s="152">
        <f t="shared" si="1"/>
        <v>0</v>
      </c>
    </row>
    <row r="72" spans="2:26" ht="18" x14ac:dyDescent="0.35">
      <c r="B72" s="106"/>
      <c r="C72" s="107"/>
      <c r="D72" s="108"/>
      <c r="E72" s="109"/>
      <c r="F72" s="90">
        <v>1.8</v>
      </c>
      <c r="G72" s="91" t="s">
        <v>90</v>
      </c>
      <c r="H72" s="92">
        <v>80</v>
      </c>
      <c r="I72" s="105">
        <v>144</v>
      </c>
      <c r="J72" s="83"/>
      <c r="K72" s="83"/>
      <c r="L72" s="12"/>
      <c r="M72" s="13"/>
      <c r="N72" s="14"/>
      <c r="O72" s="11"/>
      <c r="P72" s="15"/>
      <c r="Q72" s="16"/>
      <c r="R72" s="2"/>
      <c r="S72" s="12"/>
      <c r="T72" s="17"/>
      <c r="U72" s="2"/>
      <c r="V72" s="18"/>
      <c r="W72" s="8"/>
      <c r="Y72" s="149" t="s">
        <v>50</v>
      </c>
      <c r="Z72" s="152">
        <f t="shared" si="1"/>
        <v>0</v>
      </c>
    </row>
    <row r="73" spans="2:26" ht="18" x14ac:dyDescent="0.35">
      <c r="B73" s="95"/>
      <c r="C73" s="96"/>
      <c r="D73" s="97"/>
      <c r="E73" s="98"/>
      <c r="F73" s="90">
        <v>0.2</v>
      </c>
      <c r="G73" s="91" t="s">
        <v>23</v>
      </c>
      <c r="H73" s="92">
        <v>50</v>
      </c>
      <c r="I73" s="105">
        <v>10</v>
      </c>
      <c r="J73" s="83"/>
      <c r="K73" s="83"/>
      <c r="L73" s="20"/>
      <c r="M73" s="21"/>
      <c r="N73" s="22"/>
      <c r="O73" s="19"/>
      <c r="P73" s="23"/>
      <c r="Q73" s="24"/>
      <c r="R73" s="2"/>
      <c r="S73" s="20"/>
      <c r="T73" s="25"/>
      <c r="U73" s="2"/>
      <c r="V73" s="26"/>
      <c r="W73" s="27"/>
      <c r="Y73" s="149" t="s">
        <v>51</v>
      </c>
      <c r="Z73" s="152">
        <f t="shared" si="1"/>
        <v>0</v>
      </c>
    </row>
    <row r="74" spans="2:26" ht="18" x14ac:dyDescent="0.35">
      <c r="B74" s="110"/>
      <c r="C74" s="111"/>
      <c r="D74" s="112"/>
      <c r="E74" s="113"/>
      <c r="F74" s="90">
        <v>0.4</v>
      </c>
      <c r="G74" s="91" t="s">
        <v>92</v>
      </c>
      <c r="H74" s="92">
        <v>68</v>
      </c>
      <c r="I74" s="105">
        <v>27.200000000000003</v>
      </c>
      <c r="J74" s="83"/>
      <c r="K74" s="83"/>
      <c r="L74" s="12"/>
      <c r="M74" s="28"/>
      <c r="N74" s="14"/>
      <c r="O74" s="11"/>
      <c r="P74" s="11"/>
      <c r="Q74" s="16"/>
      <c r="R74" s="2"/>
      <c r="S74" s="12"/>
      <c r="T74" s="17"/>
      <c r="U74" s="2"/>
      <c r="V74" s="18"/>
      <c r="W74" s="16"/>
      <c r="Y74" s="149" t="s">
        <v>52</v>
      </c>
      <c r="Z74" s="152">
        <f t="shared" si="1"/>
        <v>0</v>
      </c>
    </row>
    <row r="75" spans="2:26" ht="18" x14ac:dyDescent="0.35">
      <c r="B75" s="95"/>
      <c r="C75" s="96"/>
      <c r="D75" s="97"/>
      <c r="E75" s="113"/>
      <c r="F75" s="90">
        <v>0.5</v>
      </c>
      <c r="G75" s="91" t="s">
        <v>90</v>
      </c>
      <c r="H75" s="92">
        <v>80</v>
      </c>
      <c r="I75" s="105">
        <v>40</v>
      </c>
      <c r="J75" s="83"/>
      <c r="K75" s="83"/>
      <c r="L75" s="12"/>
      <c r="M75" s="28"/>
      <c r="N75" s="14"/>
      <c r="O75" s="11"/>
      <c r="P75" s="11"/>
      <c r="Q75" s="16"/>
      <c r="R75" s="2"/>
      <c r="S75" s="12"/>
      <c r="T75" s="17"/>
      <c r="U75" s="2"/>
      <c r="V75" s="18"/>
      <c r="W75" s="16"/>
      <c r="Y75" s="149" t="s">
        <v>72</v>
      </c>
      <c r="Z75" s="152">
        <f t="shared" si="1"/>
        <v>0</v>
      </c>
    </row>
    <row r="76" spans="2:26" ht="18" x14ac:dyDescent="0.35">
      <c r="B76" s="95"/>
      <c r="C76" s="96"/>
      <c r="D76" s="97"/>
      <c r="E76" s="113"/>
      <c r="F76" s="90">
        <v>0.2</v>
      </c>
      <c r="G76" s="91" t="s">
        <v>94</v>
      </c>
      <c r="H76" s="92">
        <v>9</v>
      </c>
      <c r="I76" s="105">
        <v>1.8</v>
      </c>
      <c r="J76" s="83"/>
      <c r="K76" s="83"/>
      <c r="L76" s="12"/>
      <c r="M76" s="28"/>
      <c r="N76" s="14"/>
      <c r="O76" s="11"/>
      <c r="P76" s="11"/>
      <c r="Q76" s="16"/>
      <c r="R76" s="2"/>
      <c r="S76" s="12"/>
      <c r="T76" s="17"/>
      <c r="U76" s="2"/>
      <c r="V76" s="18"/>
      <c r="W76" s="16"/>
      <c r="Y76" s="149" t="s">
        <v>71</v>
      </c>
      <c r="Z76" s="152">
        <f t="shared" si="1"/>
        <v>0</v>
      </c>
    </row>
    <row r="77" spans="2:26" ht="18" x14ac:dyDescent="0.35">
      <c r="B77" s="95"/>
      <c r="C77" s="96"/>
      <c r="D77" s="97"/>
      <c r="E77" s="113"/>
      <c r="F77" s="90">
        <v>3</v>
      </c>
      <c r="G77" s="91" t="s">
        <v>94</v>
      </c>
      <c r="H77" s="92">
        <v>9</v>
      </c>
      <c r="I77" s="105">
        <v>27</v>
      </c>
      <c r="J77" s="83"/>
      <c r="K77" s="83"/>
      <c r="L77" s="12"/>
      <c r="M77" s="28"/>
      <c r="N77" s="14"/>
      <c r="O77" s="11"/>
      <c r="P77" s="11"/>
      <c r="Q77" s="16"/>
      <c r="R77" s="2"/>
      <c r="S77" s="12"/>
      <c r="T77" s="17"/>
      <c r="U77" s="2"/>
      <c r="V77" s="18"/>
      <c r="W77" s="16"/>
      <c r="Y77" s="149" t="s">
        <v>53</v>
      </c>
      <c r="Z77" s="152">
        <f t="shared" ref="Z77:Z79" si="2">SUMIF($G$9:$G$129, Y77, $F$9:$F$129)</f>
        <v>0</v>
      </c>
    </row>
    <row r="78" spans="2:26" ht="18" x14ac:dyDescent="0.35">
      <c r="B78" s="95"/>
      <c r="C78" s="96"/>
      <c r="D78" s="97"/>
      <c r="E78" s="113"/>
      <c r="F78" s="90">
        <v>1</v>
      </c>
      <c r="G78" s="91" t="s">
        <v>90</v>
      </c>
      <c r="H78" s="92">
        <v>80</v>
      </c>
      <c r="I78" s="105">
        <v>80</v>
      </c>
      <c r="J78" s="83"/>
      <c r="K78" s="83"/>
      <c r="L78" s="12"/>
      <c r="M78" s="28"/>
      <c r="N78" s="14"/>
      <c r="O78" s="11"/>
      <c r="P78" s="11"/>
      <c r="Q78" s="16"/>
      <c r="R78" s="2"/>
      <c r="S78" s="12"/>
      <c r="T78" s="17"/>
      <c r="U78" s="2"/>
      <c r="V78" s="18"/>
      <c r="W78" s="16"/>
      <c r="Y78" s="149" t="s">
        <v>54</v>
      </c>
      <c r="Z78" s="152">
        <f t="shared" si="2"/>
        <v>0</v>
      </c>
    </row>
    <row r="79" spans="2:26" ht="18.600000000000001" thickBot="1" x14ac:dyDescent="0.4">
      <c r="B79" s="95"/>
      <c r="C79" s="96"/>
      <c r="D79" s="97"/>
      <c r="E79" s="113"/>
      <c r="F79" s="90">
        <v>2</v>
      </c>
      <c r="G79" s="91" t="s">
        <v>18</v>
      </c>
      <c r="H79" s="92">
        <v>9</v>
      </c>
      <c r="I79" s="105">
        <v>18</v>
      </c>
      <c r="J79" s="83"/>
      <c r="K79" s="83"/>
      <c r="L79" s="12"/>
      <c r="M79" s="28"/>
      <c r="N79" s="14"/>
      <c r="O79" s="11"/>
      <c r="P79" s="11"/>
      <c r="Q79" s="16"/>
      <c r="R79" s="2"/>
      <c r="S79" s="12"/>
      <c r="T79" s="17"/>
      <c r="U79" s="2"/>
      <c r="V79" s="18"/>
      <c r="W79" s="16"/>
      <c r="Y79" s="150" t="s">
        <v>55</v>
      </c>
      <c r="Z79" s="153">
        <f t="shared" si="2"/>
        <v>0</v>
      </c>
    </row>
    <row r="80" spans="2:26" ht="18" x14ac:dyDescent="0.35">
      <c r="B80" s="95"/>
      <c r="C80" s="96"/>
      <c r="D80" s="97"/>
      <c r="E80" s="113"/>
      <c r="F80" s="90">
        <v>2</v>
      </c>
      <c r="G80" s="91" t="s">
        <v>20</v>
      </c>
      <c r="H80" s="92">
        <v>1</v>
      </c>
      <c r="I80" s="105">
        <v>2</v>
      </c>
      <c r="J80" s="83"/>
      <c r="K80" s="83"/>
      <c r="L80" s="12"/>
      <c r="M80" s="28"/>
      <c r="N80" s="14"/>
      <c r="O80" s="11"/>
      <c r="P80" s="11"/>
      <c r="Q80" s="16"/>
      <c r="R80" s="2"/>
      <c r="S80" s="12"/>
      <c r="T80" s="17"/>
      <c r="U80" s="2"/>
      <c r="V80" s="18"/>
      <c r="W80" s="16"/>
    </row>
    <row r="81" spans="2:23" ht="18" x14ac:dyDescent="0.35">
      <c r="B81" s="95"/>
      <c r="C81" s="96"/>
      <c r="D81" s="97"/>
      <c r="E81" s="113"/>
      <c r="F81" s="90">
        <v>1</v>
      </c>
      <c r="G81" s="91" t="s">
        <v>18</v>
      </c>
      <c r="H81" s="92">
        <v>9</v>
      </c>
      <c r="I81" s="105">
        <v>9</v>
      </c>
      <c r="J81" s="83"/>
      <c r="K81" s="83"/>
      <c r="L81" s="12"/>
      <c r="M81" s="28"/>
      <c r="N81" s="14"/>
      <c r="O81" s="11"/>
      <c r="P81" s="11"/>
      <c r="Q81" s="16"/>
      <c r="R81" s="2"/>
      <c r="S81" s="12"/>
      <c r="T81" s="17"/>
      <c r="U81" s="2"/>
      <c r="V81" s="18"/>
      <c r="W81" s="16"/>
    </row>
    <row r="82" spans="2:23" ht="18" x14ac:dyDescent="0.35">
      <c r="B82" s="95"/>
      <c r="C82" s="96"/>
      <c r="D82" s="97"/>
      <c r="E82" s="113"/>
      <c r="F82" s="90">
        <v>0.6</v>
      </c>
      <c r="G82" s="91" t="s">
        <v>92</v>
      </c>
      <c r="H82" s="92">
        <v>68</v>
      </c>
      <c r="I82" s="105">
        <v>40.799999999999997</v>
      </c>
      <c r="J82" s="83"/>
      <c r="K82" s="83"/>
      <c r="L82" s="12"/>
      <c r="M82" s="28"/>
      <c r="N82" s="14"/>
      <c r="O82" s="11"/>
      <c r="P82" s="11"/>
      <c r="Q82" s="16"/>
      <c r="R82" s="2"/>
      <c r="S82" s="12"/>
      <c r="T82" s="17"/>
      <c r="U82" s="2"/>
      <c r="V82" s="18"/>
      <c r="W82" s="16"/>
    </row>
    <row r="83" spans="2:23" ht="18" x14ac:dyDescent="0.35">
      <c r="B83" s="95"/>
      <c r="C83" s="96"/>
      <c r="D83" s="97"/>
      <c r="E83" s="113"/>
      <c r="F83" s="90">
        <v>1</v>
      </c>
      <c r="G83" s="91" t="s">
        <v>94</v>
      </c>
      <c r="H83" s="92">
        <v>9</v>
      </c>
      <c r="I83" s="105">
        <v>9</v>
      </c>
      <c r="J83" s="83"/>
      <c r="K83" s="83"/>
      <c r="L83" s="12"/>
      <c r="M83" s="28"/>
      <c r="N83" s="14"/>
      <c r="O83" s="11"/>
      <c r="P83" s="11"/>
      <c r="Q83" s="16"/>
      <c r="R83" s="2"/>
      <c r="S83" s="12"/>
      <c r="T83" s="17"/>
      <c r="U83" s="2"/>
      <c r="V83" s="18"/>
      <c r="W83" s="16"/>
    </row>
    <row r="84" spans="2:23" ht="18" x14ac:dyDescent="0.35">
      <c r="B84" s="95"/>
      <c r="C84" s="96"/>
      <c r="D84" s="97"/>
      <c r="E84" s="113"/>
      <c r="F84" s="90">
        <v>0.5</v>
      </c>
      <c r="G84" s="91" t="s">
        <v>18</v>
      </c>
      <c r="H84" s="92">
        <v>9</v>
      </c>
      <c r="I84" s="105">
        <v>4.5</v>
      </c>
      <c r="J84" s="83"/>
      <c r="K84" s="83"/>
      <c r="L84" s="12"/>
      <c r="M84" s="28"/>
      <c r="N84" s="14"/>
      <c r="O84" s="11"/>
      <c r="P84" s="11"/>
      <c r="Q84" s="16"/>
      <c r="R84" s="2"/>
      <c r="S84" s="12"/>
      <c r="T84" s="17"/>
      <c r="U84" s="2"/>
      <c r="V84" s="18"/>
      <c r="W84" s="16"/>
    </row>
    <row r="85" spans="2:23" ht="18" x14ac:dyDescent="0.35">
      <c r="B85" s="95"/>
      <c r="C85" s="96"/>
      <c r="D85" s="97"/>
      <c r="E85" s="113"/>
      <c r="F85" s="90">
        <v>0.2</v>
      </c>
      <c r="G85" s="91" t="s">
        <v>94</v>
      </c>
      <c r="H85" s="92">
        <v>9</v>
      </c>
      <c r="I85" s="105">
        <v>1.8</v>
      </c>
      <c r="J85" s="83"/>
      <c r="K85" s="83"/>
      <c r="L85" s="12"/>
      <c r="M85" s="28"/>
      <c r="N85" s="14"/>
      <c r="O85" s="11"/>
      <c r="P85" s="11"/>
      <c r="Q85" s="16"/>
      <c r="R85" s="2"/>
      <c r="S85" s="12"/>
      <c r="T85" s="17"/>
      <c r="U85" s="2"/>
      <c r="V85" s="18"/>
      <c r="W85" s="16"/>
    </row>
    <row r="86" spans="2:23" ht="18" x14ac:dyDescent="0.35">
      <c r="B86" s="95"/>
      <c r="C86" s="96"/>
      <c r="D86" s="97"/>
      <c r="E86" s="113"/>
      <c r="F86" s="90">
        <v>1</v>
      </c>
      <c r="G86" s="91" t="s">
        <v>94</v>
      </c>
      <c r="H86" s="92">
        <v>9</v>
      </c>
      <c r="I86" s="105">
        <v>9</v>
      </c>
      <c r="J86" s="83"/>
      <c r="K86" s="83"/>
      <c r="L86" s="12"/>
      <c r="M86" s="28"/>
      <c r="N86" s="14"/>
      <c r="O86" s="11"/>
      <c r="P86" s="11"/>
      <c r="Q86" s="16"/>
      <c r="R86" s="2"/>
      <c r="S86" s="12"/>
      <c r="T86" s="17"/>
      <c r="U86" s="2"/>
      <c r="V86" s="18"/>
      <c r="W86" s="16"/>
    </row>
    <row r="87" spans="2:23" ht="18" x14ac:dyDescent="0.35">
      <c r="B87" s="95"/>
      <c r="C87" s="96"/>
      <c r="D87" s="97"/>
      <c r="E87" s="113"/>
      <c r="F87" s="90">
        <v>0.2</v>
      </c>
      <c r="G87" s="91" t="s">
        <v>96</v>
      </c>
      <c r="H87" s="92">
        <v>12</v>
      </c>
      <c r="I87" s="105">
        <v>2.4000000000000004</v>
      </c>
      <c r="J87" s="83"/>
      <c r="K87" s="83"/>
      <c r="L87" s="12"/>
      <c r="M87" s="28"/>
      <c r="N87" s="14"/>
      <c r="O87" s="11"/>
      <c r="P87" s="11"/>
      <c r="Q87" s="16"/>
      <c r="R87" s="2"/>
      <c r="S87" s="12"/>
      <c r="T87" s="17"/>
      <c r="U87" s="2"/>
      <c r="V87" s="18"/>
      <c r="W87" s="16"/>
    </row>
    <row r="88" spans="2:23" ht="18" x14ac:dyDescent="0.35">
      <c r="B88" s="95"/>
      <c r="C88" s="96"/>
      <c r="D88" s="97"/>
      <c r="E88" s="113"/>
      <c r="F88" s="90">
        <v>0.6</v>
      </c>
      <c r="G88" s="91" t="s">
        <v>94</v>
      </c>
      <c r="H88" s="92">
        <v>9</v>
      </c>
      <c r="I88" s="105">
        <v>5.3999999999999995</v>
      </c>
      <c r="J88" s="83"/>
      <c r="K88" s="83"/>
      <c r="L88" s="12"/>
      <c r="M88" s="28"/>
      <c r="N88" s="14"/>
      <c r="O88" s="11"/>
      <c r="P88" s="11"/>
      <c r="Q88" s="16"/>
      <c r="R88" s="2"/>
      <c r="S88" s="12"/>
      <c r="T88" s="17"/>
      <c r="U88" s="2"/>
      <c r="V88" s="18"/>
      <c r="W88" s="16"/>
    </row>
    <row r="89" spans="2:23" ht="18" x14ac:dyDescent="0.35">
      <c r="B89" s="95"/>
      <c r="C89" s="96"/>
      <c r="D89" s="97"/>
      <c r="E89" s="113"/>
      <c r="F89" s="90"/>
      <c r="G89" s="91"/>
      <c r="H89" s="92"/>
      <c r="I89" s="105"/>
      <c r="J89" s="83"/>
      <c r="K89" s="83"/>
      <c r="L89" s="12"/>
      <c r="M89" s="28"/>
      <c r="N89" s="14"/>
      <c r="O89" s="11"/>
      <c r="P89" s="11"/>
      <c r="Q89" s="16"/>
      <c r="R89" s="2"/>
      <c r="S89" s="12"/>
      <c r="T89" s="17"/>
      <c r="U89" s="2"/>
      <c r="V89" s="18"/>
      <c r="W89" s="16"/>
    </row>
    <row r="90" spans="2:23" ht="18" x14ac:dyDescent="0.35">
      <c r="B90" s="95"/>
      <c r="C90" s="96"/>
      <c r="D90" s="97"/>
      <c r="E90" s="113"/>
      <c r="F90" s="90"/>
      <c r="G90" s="91"/>
      <c r="H90" s="92"/>
      <c r="I90" s="105"/>
      <c r="J90" s="83"/>
      <c r="K90" s="83"/>
      <c r="L90" s="12"/>
      <c r="M90" s="28"/>
      <c r="N90" s="14"/>
      <c r="O90" s="11"/>
      <c r="P90" s="11"/>
      <c r="Q90" s="16"/>
      <c r="R90" s="2"/>
      <c r="S90" s="12"/>
      <c r="T90" s="17"/>
      <c r="U90" s="2"/>
      <c r="V90" s="18"/>
      <c r="W90" s="16"/>
    </row>
    <row r="91" spans="2:23" ht="18" x14ac:dyDescent="0.35">
      <c r="B91" s="95"/>
      <c r="C91" s="96"/>
      <c r="D91" s="97"/>
      <c r="E91" s="113"/>
      <c r="F91" s="90"/>
      <c r="G91" s="91"/>
      <c r="H91" s="92"/>
      <c r="I91" s="105"/>
      <c r="J91" s="83"/>
      <c r="K91" s="83"/>
      <c r="L91" s="12"/>
      <c r="M91" s="28"/>
      <c r="N91" s="14"/>
      <c r="O91" s="11"/>
      <c r="P91" s="11"/>
      <c r="Q91" s="16"/>
      <c r="R91" s="2"/>
      <c r="S91" s="12"/>
      <c r="T91" s="17"/>
      <c r="U91" s="2"/>
      <c r="V91" s="18"/>
      <c r="W91" s="16"/>
    </row>
    <row r="92" spans="2:23" ht="18" x14ac:dyDescent="0.35">
      <c r="B92" s="95"/>
      <c r="C92" s="96"/>
      <c r="D92" s="97"/>
      <c r="E92" s="113"/>
      <c r="F92" s="90"/>
      <c r="G92" s="91"/>
      <c r="H92" s="92"/>
      <c r="I92" s="105"/>
      <c r="J92" s="83"/>
      <c r="K92" s="83"/>
      <c r="L92" s="12"/>
      <c r="M92" s="28"/>
      <c r="N92" s="14"/>
      <c r="O92" s="11"/>
      <c r="P92" s="11"/>
      <c r="Q92" s="16"/>
      <c r="R92" s="2"/>
      <c r="S92" s="12"/>
      <c r="T92" s="17"/>
      <c r="U92" s="2"/>
      <c r="V92" s="18"/>
      <c r="W92" s="16"/>
    </row>
    <row r="93" spans="2:23" ht="18" x14ac:dyDescent="0.35">
      <c r="B93" s="95"/>
      <c r="C93" s="96"/>
      <c r="D93" s="97"/>
      <c r="E93" s="113"/>
      <c r="F93" s="90"/>
      <c r="G93" s="91"/>
      <c r="H93" s="92"/>
      <c r="I93" s="105"/>
      <c r="J93" s="83"/>
      <c r="K93" s="83"/>
      <c r="L93" s="12"/>
      <c r="M93" s="28"/>
      <c r="N93" s="14"/>
      <c r="O93" s="11"/>
      <c r="P93" s="11"/>
      <c r="Q93" s="16"/>
      <c r="R93" s="2"/>
      <c r="S93" s="12"/>
      <c r="T93" s="17"/>
      <c r="U93" s="2"/>
      <c r="V93" s="18"/>
      <c r="W93" s="16"/>
    </row>
    <row r="94" spans="2:23" ht="18" x14ac:dyDescent="0.35">
      <c r="B94" s="95"/>
      <c r="C94" s="96"/>
      <c r="D94" s="97"/>
      <c r="E94" s="113"/>
      <c r="F94" s="90"/>
      <c r="G94" s="91"/>
      <c r="H94" s="92"/>
      <c r="I94" s="105"/>
      <c r="J94" s="83"/>
      <c r="K94" s="83"/>
      <c r="L94" s="12"/>
      <c r="M94" s="28"/>
      <c r="N94" s="14"/>
      <c r="O94" s="11"/>
      <c r="P94" s="11"/>
      <c r="Q94" s="16"/>
      <c r="R94" s="2"/>
      <c r="S94" s="12"/>
      <c r="T94" s="17"/>
      <c r="U94" s="2"/>
      <c r="V94" s="18"/>
      <c r="W94" s="16"/>
    </row>
    <row r="95" spans="2:23" ht="18" x14ac:dyDescent="0.35">
      <c r="B95" s="95"/>
      <c r="C95" s="96"/>
      <c r="D95" s="97"/>
      <c r="E95" s="113"/>
      <c r="F95" s="90"/>
      <c r="G95" s="91"/>
      <c r="H95" s="92"/>
      <c r="I95" s="105"/>
      <c r="J95" s="83"/>
      <c r="K95" s="83"/>
      <c r="L95" s="12"/>
      <c r="M95" s="28"/>
      <c r="N95" s="14"/>
      <c r="O95" s="11"/>
      <c r="P95" s="11"/>
      <c r="Q95" s="16"/>
      <c r="R95" s="2"/>
      <c r="S95" s="12"/>
      <c r="T95" s="17"/>
      <c r="U95" s="2"/>
      <c r="V95" s="18"/>
      <c r="W95" s="16"/>
    </row>
    <row r="96" spans="2:23" ht="18" x14ac:dyDescent="0.35">
      <c r="B96" s="95"/>
      <c r="C96" s="96"/>
      <c r="D96" s="97"/>
      <c r="E96" s="113"/>
      <c r="F96" s="90"/>
      <c r="G96" s="91"/>
      <c r="H96" s="92"/>
      <c r="I96" s="105"/>
      <c r="J96" s="83"/>
      <c r="K96" s="83"/>
      <c r="L96" s="12"/>
      <c r="M96" s="28"/>
      <c r="N96" s="14"/>
      <c r="O96" s="11"/>
      <c r="P96" s="11"/>
      <c r="Q96" s="16"/>
      <c r="R96" s="2"/>
      <c r="S96" s="12"/>
      <c r="T96" s="17"/>
      <c r="U96" s="2"/>
      <c r="V96" s="18"/>
      <c r="W96" s="16"/>
    </row>
    <row r="97" spans="2:23" ht="18" x14ac:dyDescent="0.35">
      <c r="B97" s="95"/>
      <c r="C97" s="96"/>
      <c r="D97" s="97"/>
      <c r="E97" s="113"/>
      <c r="F97" s="90"/>
      <c r="G97" s="91"/>
      <c r="H97" s="92"/>
      <c r="I97" s="105"/>
      <c r="J97" s="83"/>
      <c r="K97" s="83"/>
      <c r="L97" s="12"/>
      <c r="M97" s="28"/>
      <c r="N97" s="14"/>
      <c r="O97" s="11"/>
      <c r="P97" s="11"/>
      <c r="Q97" s="16"/>
      <c r="R97" s="2"/>
      <c r="S97" s="12"/>
      <c r="T97" s="17"/>
      <c r="U97" s="2"/>
      <c r="V97" s="18"/>
      <c r="W97" s="16"/>
    </row>
    <row r="98" spans="2:23" ht="18" x14ac:dyDescent="0.35">
      <c r="B98" s="95"/>
      <c r="C98" s="96"/>
      <c r="D98" s="97"/>
      <c r="E98" s="113"/>
      <c r="F98" s="90"/>
      <c r="G98" s="91"/>
      <c r="H98" s="92"/>
      <c r="I98" s="105"/>
      <c r="J98" s="83"/>
      <c r="K98" s="83"/>
      <c r="L98" s="12"/>
      <c r="M98" s="28"/>
      <c r="N98" s="14"/>
      <c r="O98" s="11"/>
      <c r="P98" s="11"/>
      <c r="Q98" s="16"/>
      <c r="R98" s="2"/>
      <c r="S98" s="12"/>
      <c r="T98" s="17"/>
      <c r="U98" s="2"/>
      <c r="V98" s="18"/>
      <c r="W98" s="16"/>
    </row>
    <row r="99" spans="2:23" ht="18" x14ac:dyDescent="0.35">
      <c r="B99" s="95"/>
      <c r="C99" s="96"/>
      <c r="D99" s="97"/>
      <c r="E99" s="113"/>
      <c r="F99" s="90"/>
      <c r="G99" s="91"/>
      <c r="H99" s="92"/>
      <c r="I99" s="105"/>
      <c r="J99" s="83"/>
      <c r="K99" s="83"/>
      <c r="L99" s="12"/>
      <c r="M99" s="28"/>
      <c r="N99" s="14"/>
      <c r="O99" s="11"/>
      <c r="P99" s="11"/>
      <c r="Q99" s="16"/>
      <c r="R99" s="2"/>
      <c r="S99" s="12"/>
      <c r="T99" s="17"/>
      <c r="U99" s="2"/>
      <c r="V99" s="18"/>
      <c r="W99" s="16"/>
    </row>
    <row r="100" spans="2:23" ht="18" x14ac:dyDescent="0.35">
      <c r="B100" s="95"/>
      <c r="C100" s="96"/>
      <c r="D100" s="97"/>
      <c r="E100" s="113"/>
      <c r="F100" s="90"/>
      <c r="G100" s="91"/>
      <c r="H100" s="92"/>
      <c r="I100" s="105"/>
      <c r="J100" s="83"/>
      <c r="K100" s="83"/>
      <c r="L100" s="12"/>
      <c r="M100" s="28"/>
      <c r="N100" s="14"/>
      <c r="O100" s="11"/>
      <c r="P100" s="11"/>
      <c r="Q100" s="16"/>
      <c r="R100" s="2"/>
      <c r="S100" s="12"/>
      <c r="T100" s="17"/>
      <c r="U100" s="2"/>
      <c r="V100" s="18"/>
      <c r="W100" s="16"/>
    </row>
    <row r="101" spans="2:23" ht="18" x14ac:dyDescent="0.35">
      <c r="B101" s="95"/>
      <c r="C101" s="96"/>
      <c r="D101" s="97"/>
      <c r="E101" s="113"/>
      <c r="F101" s="90"/>
      <c r="G101" s="91"/>
      <c r="H101" s="92"/>
      <c r="I101" s="105"/>
      <c r="J101" s="83"/>
      <c r="K101" s="83"/>
      <c r="L101" s="12"/>
      <c r="M101" s="28"/>
      <c r="N101" s="14"/>
      <c r="O101" s="11"/>
      <c r="P101" s="11"/>
      <c r="Q101" s="16"/>
      <c r="R101" s="2"/>
      <c r="S101" s="12"/>
      <c r="T101" s="17"/>
      <c r="U101" s="2"/>
      <c r="V101" s="18"/>
      <c r="W101" s="16"/>
    </row>
    <row r="102" spans="2:23" ht="18" x14ac:dyDescent="0.35">
      <c r="B102" s="95"/>
      <c r="C102" s="96"/>
      <c r="D102" s="97"/>
      <c r="E102" s="113"/>
      <c r="F102" s="90"/>
      <c r="G102" s="91"/>
      <c r="H102" s="92"/>
      <c r="I102" s="105"/>
      <c r="J102" s="83"/>
      <c r="K102" s="83"/>
      <c r="L102" s="12"/>
      <c r="M102" s="28"/>
      <c r="N102" s="14"/>
      <c r="O102" s="11"/>
      <c r="P102" s="11"/>
      <c r="Q102" s="16"/>
      <c r="R102" s="2"/>
      <c r="S102" s="12"/>
      <c r="T102" s="17"/>
      <c r="U102" s="2"/>
      <c r="V102" s="18"/>
      <c r="W102" s="16"/>
    </row>
    <row r="103" spans="2:23" ht="18" x14ac:dyDescent="0.35">
      <c r="B103" s="95"/>
      <c r="C103" s="96"/>
      <c r="D103" s="97"/>
      <c r="E103" s="113"/>
      <c r="F103" s="90"/>
      <c r="G103" s="91"/>
      <c r="H103" s="92"/>
      <c r="I103" s="105"/>
      <c r="J103" s="83"/>
      <c r="K103" s="83"/>
      <c r="L103" s="12"/>
      <c r="M103" s="28"/>
      <c r="N103" s="14"/>
      <c r="O103" s="11"/>
      <c r="P103" s="11"/>
      <c r="Q103" s="16"/>
      <c r="R103" s="2"/>
      <c r="S103" s="12"/>
      <c r="T103" s="17"/>
      <c r="U103" s="2"/>
      <c r="V103" s="18"/>
      <c r="W103" s="16"/>
    </row>
    <row r="104" spans="2:23" ht="18" x14ac:dyDescent="0.35">
      <c r="B104" s="95"/>
      <c r="C104" s="96"/>
      <c r="D104" s="97"/>
      <c r="E104" s="113"/>
      <c r="F104" s="90"/>
      <c r="G104" s="91"/>
      <c r="H104" s="92"/>
      <c r="I104" s="105"/>
      <c r="J104" s="83"/>
      <c r="K104" s="83"/>
      <c r="L104" s="12"/>
      <c r="M104" s="28"/>
      <c r="N104" s="14"/>
      <c r="O104" s="11"/>
      <c r="P104" s="11"/>
      <c r="Q104" s="16"/>
      <c r="R104" s="2"/>
      <c r="S104" s="12"/>
      <c r="T104" s="17"/>
      <c r="U104" s="2"/>
      <c r="V104" s="18"/>
      <c r="W104" s="16"/>
    </row>
    <row r="105" spans="2:23" ht="18" x14ac:dyDescent="0.35">
      <c r="B105" s="95"/>
      <c r="C105" s="96"/>
      <c r="D105" s="97"/>
      <c r="E105" s="113"/>
      <c r="F105" s="90"/>
      <c r="G105" s="91"/>
      <c r="H105" s="92"/>
      <c r="I105" s="105"/>
      <c r="J105" s="83"/>
      <c r="K105" s="83"/>
      <c r="L105" s="12"/>
      <c r="M105" s="28"/>
      <c r="N105" s="14"/>
      <c r="O105" s="11"/>
      <c r="P105" s="11"/>
      <c r="Q105" s="16"/>
      <c r="R105" s="2"/>
      <c r="S105" s="12"/>
      <c r="T105" s="17"/>
      <c r="U105" s="2"/>
      <c r="V105" s="18"/>
      <c r="W105" s="16"/>
    </row>
    <row r="106" spans="2:23" ht="18" x14ac:dyDescent="0.35">
      <c r="B106" s="95"/>
      <c r="C106" s="96"/>
      <c r="D106" s="97"/>
      <c r="E106" s="113"/>
      <c r="F106" s="90"/>
      <c r="G106" s="91"/>
      <c r="H106" s="92"/>
      <c r="I106" s="105"/>
      <c r="J106" s="83"/>
      <c r="K106" s="83"/>
      <c r="L106" s="12"/>
      <c r="M106" s="28"/>
      <c r="N106" s="14"/>
      <c r="O106" s="11"/>
      <c r="P106" s="11"/>
      <c r="Q106" s="16"/>
      <c r="R106" s="2"/>
      <c r="S106" s="12"/>
      <c r="T106" s="17"/>
      <c r="U106" s="2"/>
      <c r="V106" s="18"/>
      <c r="W106" s="16"/>
    </row>
    <row r="107" spans="2:23" ht="18" x14ac:dyDescent="0.35">
      <c r="B107" s="95"/>
      <c r="C107" s="96"/>
      <c r="D107" s="97"/>
      <c r="E107" s="113"/>
      <c r="F107" s="90"/>
      <c r="G107" s="91"/>
      <c r="H107" s="92"/>
      <c r="I107" s="105"/>
      <c r="J107" s="83"/>
      <c r="K107" s="83"/>
      <c r="L107" s="12"/>
      <c r="M107" s="28"/>
      <c r="N107" s="14"/>
      <c r="O107" s="11"/>
      <c r="P107" s="11"/>
      <c r="Q107" s="16"/>
      <c r="R107" s="2"/>
      <c r="S107" s="12"/>
      <c r="T107" s="17"/>
      <c r="U107" s="2"/>
      <c r="V107" s="18"/>
      <c r="W107" s="16"/>
    </row>
    <row r="108" spans="2:23" ht="18" x14ac:dyDescent="0.35">
      <c r="B108" s="95"/>
      <c r="C108" s="96"/>
      <c r="D108" s="97"/>
      <c r="E108" s="113"/>
      <c r="F108" s="90"/>
      <c r="G108" s="91"/>
      <c r="H108" s="92"/>
      <c r="I108" s="105"/>
      <c r="J108" s="83"/>
      <c r="K108" s="83"/>
      <c r="L108" s="12"/>
      <c r="M108" s="28"/>
      <c r="N108" s="14"/>
      <c r="O108" s="11"/>
      <c r="P108" s="11"/>
      <c r="Q108" s="16"/>
      <c r="R108" s="2"/>
      <c r="S108" s="12"/>
      <c r="T108" s="17"/>
      <c r="U108" s="2"/>
      <c r="V108" s="18"/>
      <c r="W108" s="16"/>
    </row>
    <row r="109" spans="2:23" ht="18" x14ac:dyDescent="0.35">
      <c r="B109" s="95"/>
      <c r="C109" s="96"/>
      <c r="D109" s="97"/>
      <c r="E109" s="113"/>
      <c r="F109" s="90"/>
      <c r="G109" s="91"/>
      <c r="H109" s="92"/>
      <c r="I109" s="105"/>
      <c r="J109" s="83"/>
      <c r="K109" s="83"/>
      <c r="L109" s="12"/>
      <c r="M109" s="28"/>
      <c r="N109" s="14"/>
      <c r="O109" s="11"/>
      <c r="P109" s="11"/>
      <c r="Q109" s="16"/>
      <c r="R109" s="2"/>
      <c r="S109" s="12"/>
      <c r="T109" s="17"/>
      <c r="U109" s="2"/>
      <c r="V109" s="18"/>
      <c r="W109" s="16"/>
    </row>
    <row r="110" spans="2:23" ht="18" x14ac:dyDescent="0.35">
      <c r="B110" s="95"/>
      <c r="C110" s="96"/>
      <c r="D110" s="97"/>
      <c r="E110" s="113"/>
      <c r="F110" s="90"/>
      <c r="G110" s="91"/>
      <c r="H110" s="92"/>
      <c r="I110" s="105"/>
      <c r="J110" s="83"/>
      <c r="K110" s="83"/>
      <c r="L110" s="12"/>
      <c r="M110" s="28"/>
      <c r="N110" s="14"/>
      <c r="O110" s="11"/>
      <c r="P110" s="11"/>
      <c r="Q110" s="16"/>
      <c r="R110" s="2"/>
      <c r="S110" s="12"/>
      <c r="T110" s="17"/>
      <c r="U110" s="2"/>
      <c r="V110" s="18"/>
      <c r="W110" s="16"/>
    </row>
    <row r="111" spans="2:23" ht="18" x14ac:dyDescent="0.35">
      <c r="B111" s="95"/>
      <c r="C111" s="96"/>
      <c r="D111" s="97"/>
      <c r="E111" s="113"/>
      <c r="F111" s="90"/>
      <c r="G111" s="91"/>
      <c r="H111" s="92"/>
      <c r="I111" s="105"/>
      <c r="J111" s="83"/>
      <c r="K111" s="83"/>
      <c r="L111" s="12"/>
      <c r="M111" s="28"/>
      <c r="N111" s="14"/>
      <c r="O111" s="11"/>
      <c r="P111" s="11"/>
      <c r="Q111" s="16"/>
      <c r="R111" s="2"/>
      <c r="S111" s="12"/>
      <c r="T111" s="17"/>
      <c r="U111" s="2"/>
      <c r="V111" s="18"/>
      <c r="W111" s="16"/>
    </row>
    <row r="112" spans="2:23" ht="18" x14ac:dyDescent="0.35">
      <c r="B112" s="95"/>
      <c r="C112" s="96"/>
      <c r="D112" s="97"/>
      <c r="E112" s="113"/>
      <c r="F112" s="90"/>
      <c r="G112" s="91"/>
      <c r="H112" s="92"/>
      <c r="I112" s="105"/>
      <c r="J112" s="83"/>
      <c r="K112" s="83"/>
      <c r="L112" s="12"/>
      <c r="M112" s="28"/>
      <c r="N112" s="14"/>
      <c r="O112" s="11"/>
      <c r="P112" s="11"/>
      <c r="Q112" s="16"/>
      <c r="R112" s="2"/>
      <c r="S112" s="12"/>
      <c r="T112" s="17"/>
      <c r="U112" s="2"/>
      <c r="V112" s="18"/>
      <c r="W112" s="16"/>
    </row>
    <row r="113" spans="2:23" ht="18" x14ac:dyDescent="0.35">
      <c r="B113" s="95"/>
      <c r="C113" s="96"/>
      <c r="D113" s="97"/>
      <c r="E113" s="113"/>
      <c r="F113" s="90"/>
      <c r="G113" s="91"/>
      <c r="H113" s="92"/>
      <c r="I113" s="105"/>
      <c r="J113" s="83"/>
      <c r="K113" s="83"/>
      <c r="L113" s="12"/>
      <c r="M113" s="28"/>
      <c r="N113" s="14"/>
      <c r="O113" s="11"/>
      <c r="P113" s="11"/>
      <c r="Q113" s="16"/>
      <c r="R113" s="2"/>
      <c r="S113" s="12"/>
      <c r="T113" s="17"/>
      <c r="U113" s="2"/>
      <c r="V113" s="18"/>
      <c r="W113" s="16"/>
    </row>
    <row r="114" spans="2:23" ht="18" x14ac:dyDescent="0.35">
      <c r="B114" s="95"/>
      <c r="C114" s="96"/>
      <c r="D114" s="97"/>
      <c r="E114" s="113"/>
      <c r="F114" s="90"/>
      <c r="G114" s="91"/>
      <c r="H114" s="92"/>
      <c r="I114" s="105"/>
      <c r="J114" s="83"/>
      <c r="K114" s="83"/>
      <c r="L114" s="12"/>
      <c r="M114" s="28"/>
      <c r="N114" s="14"/>
      <c r="O114" s="11"/>
      <c r="P114" s="11"/>
      <c r="Q114" s="16"/>
      <c r="R114" s="2"/>
      <c r="S114" s="12"/>
      <c r="T114" s="17"/>
      <c r="U114" s="2"/>
      <c r="V114" s="18"/>
      <c r="W114" s="16"/>
    </row>
    <row r="115" spans="2:23" ht="18" x14ac:dyDescent="0.35">
      <c r="B115" s="95"/>
      <c r="C115" s="96"/>
      <c r="D115" s="97"/>
      <c r="E115" s="113"/>
      <c r="F115" s="90"/>
      <c r="G115" s="91"/>
      <c r="H115" s="92"/>
      <c r="I115" s="105"/>
      <c r="J115" s="83"/>
      <c r="K115" s="83"/>
      <c r="L115" s="12"/>
      <c r="M115" s="28"/>
      <c r="N115" s="14"/>
      <c r="O115" s="11"/>
      <c r="P115" s="11"/>
      <c r="Q115" s="16"/>
      <c r="R115" s="2"/>
      <c r="S115" s="12"/>
      <c r="T115" s="17"/>
      <c r="U115" s="2"/>
      <c r="V115" s="18"/>
      <c r="W115" s="16"/>
    </row>
    <row r="116" spans="2:23" ht="18" x14ac:dyDescent="0.35">
      <c r="B116" s="95"/>
      <c r="C116" s="96"/>
      <c r="D116" s="97"/>
      <c r="E116" s="113"/>
      <c r="F116" s="90"/>
      <c r="G116" s="91"/>
      <c r="H116" s="92"/>
      <c r="I116" s="105"/>
      <c r="J116" s="83"/>
      <c r="K116" s="83"/>
      <c r="L116" s="12"/>
      <c r="M116" s="28"/>
      <c r="N116" s="14"/>
      <c r="O116" s="11"/>
      <c r="P116" s="11"/>
      <c r="Q116" s="16"/>
      <c r="R116" s="2"/>
      <c r="S116" s="12"/>
      <c r="T116" s="17"/>
      <c r="U116" s="2"/>
      <c r="V116" s="18"/>
      <c r="W116" s="16"/>
    </row>
    <row r="117" spans="2:23" ht="18" x14ac:dyDescent="0.35">
      <c r="B117" s="95"/>
      <c r="C117" s="96"/>
      <c r="D117" s="97"/>
      <c r="E117" s="113"/>
      <c r="F117" s="90"/>
      <c r="G117" s="91"/>
      <c r="H117" s="92"/>
      <c r="I117" s="105"/>
      <c r="J117" s="83"/>
      <c r="K117" s="83"/>
      <c r="L117" s="12"/>
      <c r="M117" s="28"/>
      <c r="N117" s="14"/>
      <c r="O117" s="11"/>
      <c r="P117" s="11"/>
      <c r="Q117" s="16"/>
      <c r="R117" s="2"/>
      <c r="S117" s="12"/>
      <c r="T117" s="17"/>
      <c r="U117" s="2"/>
      <c r="V117" s="18"/>
      <c r="W117" s="16"/>
    </row>
    <row r="118" spans="2:23" ht="18" x14ac:dyDescent="0.35">
      <c r="B118" s="95"/>
      <c r="C118" s="96"/>
      <c r="D118" s="97"/>
      <c r="E118" s="113"/>
      <c r="F118" s="90"/>
      <c r="G118" s="91"/>
      <c r="H118" s="92"/>
      <c r="I118" s="105"/>
      <c r="J118" s="83"/>
      <c r="K118" s="83"/>
      <c r="L118" s="12"/>
      <c r="M118" s="28"/>
      <c r="N118" s="14"/>
      <c r="O118" s="11"/>
      <c r="P118" s="11"/>
      <c r="Q118" s="16"/>
      <c r="R118" s="2"/>
      <c r="S118" s="12"/>
      <c r="T118" s="17"/>
      <c r="U118" s="2"/>
      <c r="V118" s="18"/>
      <c r="W118" s="16"/>
    </row>
    <row r="119" spans="2:23" ht="18" x14ac:dyDescent="0.35">
      <c r="B119" s="95"/>
      <c r="C119" s="96"/>
      <c r="D119" s="97"/>
      <c r="E119" s="113"/>
      <c r="F119" s="90"/>
      <c r="G119" s="91"/>
      <c r="H119" s="92"/>
      <c r="I119" s="105"/>
      <c r="J119" s="83"/>
      <c r="K119" s="83"/>
      <c r="L119" s="12"/>
      <c r="M119" s="28"/>
      <c r="N119" s="14"/>
      <c r="O119" s="11"/>
      <c r="P119" s="11"/>
      <c r="Q119" s="16"/>
      <c r="R119" s="2"/>
      <c r="S119" s="12"/>
      <c r="T119" s="17"/>
      <c r="U119" s="2"/>
      <c r="V119" s="18"/>
      <c r="W119" s="16"/>
    </row>
    <row r="120" spans="2:23" ht="18" x14ac:dyDescent="0.35">
      <c r="B120" s="95"/>
      <c r="C120" s="96"/>
      <c r="D120" s="97"/>
      <c r="E120" s="113"/>
      <c r="F120" s="90"/>
      <c r="G120" s="91"/>
      <c r="H120" s="92"/>
      <c r="I120" s="105"/>
      <c r="J120" s="83"/>
      <c r="K120" s="83"/>
      <c r="L120" s="12"/>
      <c r="M120" s="28"/>
      <c r="N120" s="14"/>
      <c r="O120" s="11"/>
      <c r="P120" s="11"/>
      <c r="Q120" s="16"/>
      <c r="R120" s="2"/>
      <c r="S120" s="12"/>
      <c r="T120" s="17"/>
      <c r="U120" s="2"/>
      <c r="V120" s="18"/>
      <c r="W120" s="16"/>
    </row>
    <row r="121" spans="2:23" ht="18" x14ac:dyDescent="0.35">
      <c r="B121" s="95"/>
      <c r="C121" s="96"/>
      <c r="D121" s="97"/>
      <c r="E121" s="113"/>
      <c r="F121" s="90"/>
      <c r="G121" s="91"/>
      <c r="H121" s="92"/>
      <c r="I121" s="105"/>
      <c r="J121" s="83"/>
      <c r="K121" s="83"/>
      <c r="L121" s="12"/>
      <c r="M121" s="28"/>
      <c r="N121" s="14"/>
      <c r="O121" s="11"/>
      <c r="P121" s="11"/>
      <c r="Q121" s="16"/>
      <c r="R121" s="2"/>
      <c r="S121" s="12"/>
      <c r="T121" s="17"/>
      <c r="U121" s="2"/>
      <c r="V121" s="18"/>
      <c r="W121" s="16"/>
    </row>
    <row r="122" spans="2:23" ht="18" x14ac:dyDescent="0.35">
      <c r="B122" s="95"/>
      <c r="C122" s="96"/>
      <c r="D122" s="97"/>
      <c r="E122" s="113"/>
      <c r="F122" s="99"/>
      <c r="G122" s="100"/>
      <c r="H122" s="101"/>
      <c r="I122" s="105"/>
      <c r="J122" s="83"/>
      <c r="K122" s="83"/>
      <c r="L122" s="12"/>
      <c r="M122" s="28"/>
      <c r="N122" s="14"/>
      <c r="O122" s="11"/>
      <c r="P122" s="11"/>
      <c r="Q122" s="16"/>
      <c r="R122" s="2"/>
      <c r="S122" s="12"/>
      <c r="T122" s="17"/>
      <c r="U122" s="2"/>
      <c r="V122" s="18"/>
      <c r="W122" s="16"/>
    </row>
    <row r="123" spans="2:23" ht="18" x14ac:dyDescent="0.35">
      <c r="B123" s="95"/>
      <c r="C123" s="96"/>
      <c r="D123" s="97"/>
      <c r="E123" s="113"/>
      <c r="F123" s="99"/>
      <c r="G123" s="100"/>
      <c r="H123" s="101"/>
      <c r="I123" s="105"/>
      <c r="J123" s="83"/>
      <c r="K123" s="83"/>
      <c r="L123" s="12"/>
      <c r="M123" s="28"/>
      <c r="N123" s="14"/>
      <c r="O123" s="11"/>
      <c r="P123" s="11"/>
      <c r="Q123" s="16"/>
      <c r="R123" s="2"/>
      <c r="S123" s="12"/>
      <c r="T123" s="17"/>
      <c r="U123" s="2"/>
      <c r="V123" s="18"/>
      <c r="W123" s="16"/>
    </row>
    <row r="124" spans="2:23" ht="18" x14ac:dyDescent="0.35">
      <c r="B124" s="95"/>
      <c r="C124" s="96"/>
      <c r="D124" s="97"/>
      <c r="E124" s="113"/>
      <c r="F124" s="99"/>
      <c r="G124" s="100"/>
      <c r="H124" s="101"/>
      <c r="I124" s="105"/>
      <c r="J124" s="83"/>
      <c r="K124" s="83"/>
      <c r="L124" s="12"/>
      <c r="M124" s="28"/>
      <c r="N124" s="14"/>
      <c r="O124" s="11"/>
      <c r="P124" s="11"/>
      <c r="Q124" s="16"/>
      <c r="R124" s="2"/>
      <c r="S124" s="12"/>
      <c r="T124" s="17"/>
      <c r="U124" s="2"/>
      <c r="V124" s="18"/>
      <c r="W124" s="16"/>
    </row>
    <row r="125" spans="2:23" ht="18" x14ac:dyDescent="0.35">
      <c r="B125" s="95"/>
      <c r="C125" s="96"/>
      <c r="D125" s="97"/>
      <c r="E125" s="113"/>
      <c r="F125" s="99"/>
      <c r="G125" s="100"/>
      <c r="H125" s="101"/>
      <c r="I125" s="105"/>
      <c r="J125" s="83"/>
      <c r="K125" s="83"/>
      <c r="L125" s="12"/>
      <c r="M125" s="28"/>
      <c r="N125" s="14"/>
      <c r="O125" s="11"/>
      <c r="P125" s="11"/>
      <c r="Q125" s="16"/>
      <c r="R125" s="2"/>
      <c r="S125" s="12"/>
      <c r="T125" s="17"/>
      <c r="U125" s="2"/>
      <c r="V125" s="18"/>
      <c r="W125" s="16"/>
    </row>
    <row r="126" spans="2:23" ht="18" x14ac:dyDescent="0.35">
      <c r="B126" s="95"/>
      <c r="C126" s="96"/>
      <c r="D126" s="97"/>
      <c r="E126" s="113"/>
      <c r="F126" s="99"/>
      <c r="G126" s="100"/>
      <c r="H126" s="101"/>
      <c r="I126" s="105"/>
      <c r="J126" s="83"/>
      <c r="K126" s="83"/>
      <c r="L126" s="12"/>
      <c r="M126" s="28"/>
      <c r="N126" s="14"/>
      <c r="O126" s="11"/>
      <c r="P126" s="11"/>
      <c r="Q126" s="16"/>
      <c r="R126" s="2"/>
      <c r="S126" s="12"/>
      <c r="T126" s="17"/>
      <c r="U126" s="2"/>
      <c r="V126" s="18"/>
      <c r="W126" s="16"/>
    </row>
    <row r="127" spans="2:23" ht="18" x14ac:dyDescent="0.35">
      <c r="B127" s="95"/>
      <c r="C127" s="96"/>
      <c r="D127" s="97"/>
      <c r="E127" s="113"/>
      <c r="F127" s="99"/>
      <c r="G127" s="100"/>
      <c r="H127" s="101"/>
      <c r="I127" s="105"/>
      <c r="J127" s="83"/>
      <c r="K127" s="83"/>
      <c r="L127" s="12"/>
      <c r="M127" s="28"/>
      <c r="N127" s="14"/>
      <c r="O127" s="11"/>
      <c r="P127" s="11"/>
      <c r="Q127" s="16"/>
      <c r="R127" s="2"/>
      <c r="S127" s="12"/>
      <c r="T127" s="17"/>
      <c r="U127" s="2"/>
      <c r="V127" s="18"/>
      <c r="W127" s="16"/>
    </row>
    <row r="128" spans="2:23" ht="18" x14ac:dyDescent="0.35">
      <c r="B128" s="95"/>
      <c r="C128" s="96"/>
      <c r="D128" s="97"/>
      <c r="E128" s="113"/>
      <c r="F128" s="99"/>
      <c r="G128" s="100"/>
      <c r="H128" s="101"/>
      <c r="I128" s="105"/>
      <c r="J128" s="83"/>
      <c r="K128" s="83"/>
      <c r="L128" s="12"/>
      <c r="M128" s="28"/>
      <c r="N128" s="14"/>
      <c r="O128" s="11"/>
      <c r="P128" s="11"/>
      <c r="Q128" s="16"/>
      <c r="R128" s="2"/>
      <c r="S128" s="12"/>
      <c r="T128" s="17"/>
      <c r="U128" s="2"/>
      <c r="V128" s="18"/>
      <c r="W128" s="16"/>
    </row>
    <row r="129" spans="1:23" ht="18.600000000000001" thickBot="1" x14ac:dyDescent="0.4">
      <c r="B129" s="114"/>
      <c r="C129" s="115"/>
      <c r="D129" s="116"/>
      <c r="E129" s="113"/>
      <c r="F129" s="117"/>
      <c r="G129" s="118"/>
      <c r="H129" s="119"/>
      <c r="I129" s="105"/>
      <c r="J129" s="83"/>
      <c r="K129" s="83"/>
      <c r="L129" s="30"/>
      <c r="M129" s="31"/>
      <c r="N129" s="32"/>
      <c r="O129" s="29"/>
      <c r="P129" s="29"/>
      <c r="Q129" s="33"/>
      <c r="R129" s="2"/>
      <c r="S129" s="30"/>
      <c r="T129" s="34"/>
      <c r="U129" s="2"/>
      <c r="V129" s="35"/>
      <c r="W129" s="33"/>
    </row>
    <row r="130" spans="1:23" ht="18.600000000000001" thickBot="1" x14ac:dyDescent="0.4">
      <c r="A130" s="120" t="s">
        <v>15</v>
      </c>
      <c r="B130" s="121">
        <f>SUM(B9:B129)</f>
        <v>448.5</v>
      </c>
      <c r="C130" s="122"/>
      <c r="D130" s="121"/>
      <c r="E130" s="123">
        <f>SUM(E9:E129)</f>
        <v>812.85</v>
      </c>
      <c r="F130" s="124">
        <f>SUM(F9:F129)</f>
        <v>330.29999999999995</v>
      </c>
      <c r="G130" s="82"/>
      <c r="H130" s="125"/>
      <c r="I130" s="125">
        <f>SUM(I9:I129)</f>
        <v>4648.1000000000004</v>
      </c>
      <c r="J130" s="83"/>
      <c r="K130" s="83"/>
      <c r="L130" s="126"/>
      <c r="M130" s="126">
        <f>SUM(M9:M129)</f>
        <v>406</v>
      </c>
      <c r="N130" s="127">
        <f>SUM(N9:N129)</f>
        <v>20339</v>
      </c>
      <c r="O130" s="82"/>
      <c r="P130" s="82">
        <f>SUM(P9:P129)</f>
        <v>0</v>
      </c>
      <c r="Q130" s="128">
        <f>SUM(Q9:Q129)</f>
        <v>0</v>
      </c>
      <c r="R130" s="83"/>
      <c r="S130" s="84"/>
      <c r="T130" s="129">
        <f>SUM(T9:T129)</f>
        <v>0</v>
      </c>
      <c r="U130" s="83"/>
      <c r="V130" s="82"/>
      <c r="W130" s="130">
        <f>SUM(W9:W129)</f>
        <v>0</v>
      </c>
    </row>
  </sheetData>
  <sheetProtection algorithmName="SHA-512" hashValue="BD98PvvmCIuoPh7uSDZ9HHfTfDImZOWdj4VYGNrskTHfRC0O9/UsLM9BCHTDO1yjCmS2kwWxxTqdllCmQsKXFQ==" saltValue="fTOWOtzpY312KKmEsoBQ+w==" spinCount="100000" sheet="1" objects="1" scenarios="1"/>
  <mergeCells count="8">
    <mergeCell ref="V5:W5"/>
    <mergeCell ref="Y5:Z5"/>
    <mergeCell ref="E1:G1"/>
    <mergeCell ref="B2:C2"/>
    <mergeCell ref="B3:C3"/>
    <mergeCell ref="B5:I5"/>
    <mergeCell ref="L5:Q5"/>
    <mergeCell ref="S5:T5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84366B-15D9-43F1-A378-515F4C0C5C54}">
  <sheetPr codeName="Sheet46"/>
  <dimension ref="A1:Z130"/>
  <sheetViews>
    <sheetView zoomScale="80" zoomScaleNormal="80" workbookViewId="0">
      <selection activeCell="K1" sqref="K1"/>
    </sheetView>
  </sheetViews>
  <sheetFormatPr defaultColWidth="9.109375" defaultRowHeight="14.4" x14ac:dyDescent="0.3"/>
  <cols>
    <col min="1" max="1" width="15.5546875" style="36" customWidth="1"/>
    <col min="2" max="2" width="15.88671875" style="36" customWidth="1"/>
    <col min="3" max="3" width="20" style="76" customWidth="1"/>
    <col min="4" max="4" width="20.33203125" style="36" customWidth="1"/>
    <col min="5" max="5" width="22.33203125" style="36" customWidth="1"/>
    <col min="6" max="6" width="14.6640625" style="36" customWidth="1"/>
    <col min="7" max="7" width="22" style="76" customWidth="1"/>
    <col min="8" max="8" width="18.88671875" style="36" customWidth="1"/>
    <col min="9" max="9" width="23" style="36" customWidth="1"/>
    <col min="10" max="11" width="9.109375" style="36"/>
    <col min="12" max="12" width="20.6640625" style="76" customWidth="1"/>
    <col min="13" max="13" width="15.44140625" style="76" customWidth="1"/>
    <col min="14" max="14" width="22.6640625" style="36" customWidth="1"/>
    <col min="15" max="15" width="20.5546875" style="76" customWidth="1"/>
    <col min="16" max="16" width="13.33203125" style="76" customWidth="1"/>
    <col min="17" max="17" width="21.5546875" style="76" customWidth="1"/>
    <col min="18" max="18" width="9.109375" style="36"/>
    <col min="19" max="19" width="22" style="76" customWidth="1"/>
    <col min="20" max="20" width="22.33203125" style="76" customWidth="1"/>
    <col min="21" max="21" width="9.109375" style="36"/>
    <col min="22" max="22" width="21.88671875" style="76" customWidth="1"/>
    <col min="23" max="23" width="23.109375" style="76" customWidth="1"/>
    <col min="24" max="24" width="9.109375" style="36"/>
    <col min="25" max="25" width="21.33203125" style="36" customWidth="1"/>
    <col min="26" max="26" width="21.88671875" style="36" customWidth="1"/>
    <col min="27" max="16384" width="9.109375" style="36"/>
  </cols>
  <sheetData>
    <row r="1" spans="2:26" ht="21" x14ac:dyDescent="0.4">
      <c r="E1" s="189">
        <v>44180</v>
      </c>
      <c r="F1" s="189"/>
      <c r="G1" s="189"/>
    </row>
    <row r="2" spans="2:26" ht="18" x14ac:dyDescent="0.35">
      <c r="B2" s="190" t="s">
        <v>0</v>
      </c>
      <c r="C2" s="190"/>
      <c r="D2" s="1">
        <v>20000</v>
      </c>
    </row>
    <row r="3" spans="2:26" ht="18" x14ac:dyDescent="0.35">
      <c r="B3" s="190" t="s">
        <v>1</v>
      </c>
      <c r="C3" s="190"/>
      <c r="D3" s="77">
        <f>(D2-E130-I130)</f>
        <v>15464</v>
      </c>
    </row>
    <row r="5" spans="2:26" ht="36.6" x14ac:dyDescent="0.7">
      <c r="B5" s="187" t="s">
        <v>2</v>
      </c>
      <c r="C5" s="187"/>
      <c r="D5" s="187"/>
      <c r="E5" s="187"/>
      <c r="F5" s="187"/>
      <c r="G5" s="187"/>
      <c r="H5" s="187"/>
      <c r="I5" s="187"/>
      <c r="L5" s="187" t="s">
        <v>3</v>
      </c>
      <c r="M5" s="187"/>
      <c r="N5" s="187"/>
      <c r="O5" s="187"/>
      <c r="P5" s="187"/>
      <c r="Q5" s="187"/>
      <c r="S5" s="191" t="s">
        <v>4</v>
      </c>
      <c r="T5" s="191"/>
      <c r="V5" s="187" t="s">
        <v>5</v>
      </c>
      <c r="W5" s="187"/>
      <c r="Y5" s="188" t="s">
        <v>105</v>
      </c>
      <c r="Z5" s="187"/>
    </row>
    <row r="7" spans="2:26" ht="15" thickBot="1" x14ac:dyDescent="0.35"/>
    <row r="8" spans="2:26" ht="18.600000000000001" thickBot="1" x14ac:dyDescent="0.4">
      <c r="B8" s="78" t="s">
        <v>6</v>
      </c>
      <c r="C8" s="79" t="s">
        <v>7</v>
      </c>
      <c r="D8" s="78" t="s">
        <v>8</v>
      </c>
      <c r="E8" s="80" t="s">
        <v>9</v>
      </c>
      <c r="F8" s="81" t="s">
        <v>6</v>
      </c>
      <c r="G8" s="81" t="s">
        <v>10</v>
      </c>
      <c r="H8" s="81" t="s">
        <v>8</v>
      </c>
      <c r="I8" s="82" t="s">
        <v>9</v>
      </c>
      <c r="J8" s="83"/>
      <c r="K8" s="83"/>
      <c r="L8" s="84" t="s">
        <v>11</v>
      </c>
      <c r="M8" s="84" t="s">
        <v>6</v>
      </c>
      <c r="N8" s="84" t="s">
        <v>9</v>
      </c>
      <c r="O8" s="82" t="s">
        <v>12</v>
      </c>
      <c r="P8" s="82" t="s">
        <v>6</v>
      </c>
      <c r="Q8" s="82" t="s">
        <v>9</v>
      </c>
      <c r="R8" s="83"/>
      <c r="S8" s="84" t="s">
        <v>13</v>
      </c>
      <c r="T8" s="85" t="s">
        <v>9</v>
      </c>
      <c r="U8" s="83"/>
      <c r="V8" s="82" t="s">
        <v>14</v>
      </c>
      <c r="W8" s="82" t="s">
        <v>9</v>
      </c>
      <c r="Y8" s="146" t="s">
        <v>106</v>
      </c>
      <c r="Z8" s="147" t="s">
        <v>107</v>
      </c>
    </row>
    <row r="9" spans="2:26" ht="18" x14ac:dyDescent="0.35">
      <c r="B9" s="86">
        <v>30</v>
      </c>
      <c r="C9" s="87" t="s">
        <v>76</v>
      </c>
      <c r="D9" s="88">
        <v>2.2999999999999998</v>
      </c>
      <c r="E9" s="89">
        <v>69</v>
      </c>
      <c r="F9" s="90">
        <v>1000</v>
      </c>
      <c r="G9" s="91" t="s">
        <v>20</v>
      </c>
      <c r="H9" s="92">
        <v>1</v>
      </c>
      <c r="I9" s="93">
        <v>1000</v>
      </c>
      <c r="J9" s="83"/>
      <c r="K9" s="83"/>
      <c r="L9" s="3"/>
      <c r="M9" s="4"/>
      <c r="N9" s="5"/>
      <c r="O9" s="6"/>
      <c r="P9" s="7"/>
      <c r="Q9" s="8"/>
      <c r="R9" s="2"/>
      <c r="S9" s="3"/>
      <c r="T9" s="9"/>
      <c r="U9" s="2"/>
      <c r="V9" s="10"/>
      <c r="W9" s="8"/>
      <c r="Y9" s="148" t="s">
        <v>88</v>
      </c>
      <c r="Z9" s="151">
        <f>SUMIF($C$9:$C$129, Y9, $B$9:$B$129)</f>
        <v>0</v>
      </c>
    </row>
    <row r="10" spans="2:26" ht="18" x14ac:dyDescent="0.35">
      <c r="B10" s="95">
        <v>10</v>
      </c>
      <c r="C10" s="96" t="s">
        <v>77</v>
      </c>
      <c r="D10" s="97">
        <v>2.1</v>
      </c>
      <c r="E10" s="98">
        <v>21</v>
      </c>
      <c r="F10" s="90">
        <v>20</v>
      </c>
      <c r="G10" s="91" t="s">
        <v>89</v>
      </c>
      <c r="H10" s="92">
        <v>2.2000000000000002</v>
      </c>
      <c r="I10" s="93">
        <v>44</v>
      </c>
      <c r="J10" s="83"/>
      <c r="K10" s="83"/>
      <c r="L10" s="12"/>
      <c r="M10" s="13"/>
      <c r="N10" s="14"/>
      <c r="O10" s="11"/>
      <c r="P10" s="15"/>
      <c r="Q10" s="16"/>
      <c r="R10" s="2"/>
      <c r="S10" s="12"/>
      <c r="T10" s="17"/>
      <c r="U10" s="2"/>
      <c r="V10" s="18"/>
      <c r="W10" s="8"/>
      <c r="Y10" s="149" t="s">
        <v>76</v>
      </c>
      <c r="Z10" s="151">
        <f t="shared" ref="Z10:Z11" si="0">SUMIF($C$9:$C$129, Y10, $B$9:$B$129)</f>
        <v>30</v>
      </c>
    </row>
    <row r="11" spans="2:26" ht="18" x14ac:dyDescent="0.35">
      <c r="B11" s="95">
        <v>100</v>
      </c>
      <c r="C11" s="96" t="s">
        <v>77</v>
      </c>
      <c r="D11" s="97">
        <v>2.1</v>
      </c>
      <c r="E11" s="98">
        <v>210</v>
      </c>
      <c r="F11" s="90">
        <v>13</v>
      </c>
      <c r="G11" s="91" t="s">
        <v>22</v>
      </c>
      <c r="H11" s="92">
        <v>84</v>
      </c>
      <c r="I11" s="93">
        <v>1092</v>
      </c>
      <c r="J11" s="83"/>
      <c r="K11" s="83"/>
      <c r="L11" s="12"/>
      <c r="M11" s="13"/>
      <c r="N11" s="14"/>
      <c r="O11" s="11"/>
      <c r="P11" s="15"/>
      <c r="Q11" s="16"/>
      <c r="R11" s="2"/>
      <c r="S11" s="12"/>
      <c r="T11" s="17"/>
      <c r="U11" s="2"/>
      <c r="V11" s="18"/>
      <c r="W11" s="8"/>
      <c r="Y11" s="149" t="s">
        <v>77</v>
      </c>
      <c r="Z11" s="151">
        <f t="shared" si="0"/>
        <v>1110</v>
      </c>
    </row>
    <row r="12" spans="2:26" ht="18" x14ac:dyDescent="0.35">
      <c r="B12" s="95">
        <v>1000</v>
      </c>
      <c r="C12" s="96" t="s">
        <v>77</v>
      </c>
      <c r="D12" s="97">
        <v>2.1</v>
      </c>
      <c r="E12" s="98">
        <v>2100</v>
      </c>
      <c r="F12" s="90"/>
      <c r="G12" s="91"/>
      <c r="H12" s="92"/>
      <c r="I12" s="93"/>
      <c r="J12" s="83"/>
      <c r="K12" s="83"/>
      <c r="L12" s="12"/>
      <c r="M12" s="13"/>
      <c r="N12" s="14"/>
      <c r="O12" s="11"/>
      <c r="P12" s="15"/>
      <c r="Q12" s="16"/>
      <c r="R12" s="2"/>
      <c r="S12" s="12"/>
      <c r="T12" s="17"/>
      <c r="U12" s="2"/>
      <c r="V12" s="18"/>
      <c r="W12" s="8"/>
      <c r="Y12" s="149" t="s">
        <v>89</v>
      </c>
      <c r="Z12" s="152">
        <f>SUMIF($G$9:$G$129, Y12, $F$9:$F$129)</f>
        <v>20</v>
      </c>
    </row>
    <row r="13" spans="2:26" ht="18" x14ac:dyDescent="0.35">
      <c r="B13" s="95"/>
      <c r="C13" s="96"/>
      <c r="D13" s="97"/>
      <c r="E13" s="98"/>
      <c r="F13" s="90"/>
      <c r="G13" s="91"/>
      <c r="H13" s="92"/>
      <c r="I13" s="93"/>
      <c r="J13" s="83"/>
      <c r="K13" s="83"/>
      <c r="L13" s="12"/>
      <c r="M13" s="13"/>
      <c r="N13" s="14"/>
      <c r="O13" s="11"/>
      <c r="P13" s="15"/>
      <c r="Q13" s="16"/>
      <c r="R13" s="2"/>
      <c r="S13" s="12"/>
      <c r="T13" s="17"/>
      <c r="U13" s="2"/>
      <c r="V13" s="18"/>
      <c r="W13" s="8"/>
      <c r="Y13" s="149" t="s">
        <v>20</v>
      </c>
      <c r="Z13" s="152">
        <f t="shared" ref="Z13:Z76" si="1">SUMIF($G$9:$G$129, Y13, $F$9:$F$129)</f>
        <v>1000</v>
      </c>
    </row>
    <row r="14" spans="2:26" ht="18" x14ac:dyDescent="0.35">
      <c r="B14" s="95"/>
      <c r="C14" s="96"/>
      <c r="D14" s="97"/>
      <c r="E14" s="98"/>
      <c r="F14" s="90"/>
      <c r="G14" s="91"/>
      <c r="H14" s="92"/>
      <c r="I14" s="93"/>
      <c r="J14" s="83"/>
      <c r="K14" s="83"/>
      <c r="L14" s="12"/>
      <c r="M14" s="13"/>
      <c r="N14" s="14"/>
      <c r="O14" s="11"/>
      <c r="P14" s="15"/>
      <c r="Q14" s="16"/>
      <c r="R14" s="2"/>
      <c r="S14" s="12"/>
      <c r="T14" s="17"/>
      <c r="U14" s="2"/>
      <c r="V14" s="18"/>
      <c r="W14" s="8"/>
      <c r="Y14" s="149" t="s">
        <v>19</v>
      </c>
      <c r="Z14" s="152">
        <f t="shared" si="1"/>
        <v>0</v>
      </c>
    </row>
    <row r="15" spans="2:26" ht="18" x14ac:dyDescent="0.35">
      <c r="B15" s="95"/>
      <c r="C15" s="96"/>
      <c r="D15" s="97"/>
      <c r="E15" s="98"/>
      <c r="F15" s="90"/>
      <c r="G15" s="91"/>
      <c r="H15" s="92"/>
      <c r="I15" s="93"/>
      <c r="J15" s="83"/>
      <c r="K15" s="83"/>
      <c r="L15" s="12"/>
      <c r="M15" s="13"/>
      <c r="N15" s="14"/>
      <c r="O15" s="11"/>
      <c r="P15" s="15"/>
      <c r="Q15" s="16"/>
      <c r="R15" s="2"/>
      <c r="S15" s="12"/>
      <c r="T15" s="17"/>
      <c r="U15" s="2"/>
      <c r="V15" s="18"/>
      <c r="W15" s="8"/>
      <c r="Y15" s="149" t="s">
        <v>18</v>
      </c>
      <c r="Z15" s="152">
        <f t="shared" si="1"/>
        <v>0</v>
      </c>
    </row>
    <row r="16" spans="2:26" ht="18" x14ac:dyDescent="0.35">
      <c r="B16" s="95"/>
      <c r="C16" s="96"/>
      <c r="D16" s="97"/>
      <c r="E16" s="98"/>
      <c r="F16" s="90"/>
      <c r="G16" s="91"/>
      <c r="H16" s="92"/>
      <c r="I16" s="93"/>
      <c r="J16" s="83"/>
      <c r="K16" s="83"/>
      <c r="L16" s="12"/>
      <c r="M16" s="13"/>
      <c r="N16" s="14"/>
      <c r="O16" s="11"/>
      <c r="P16" s="15"/>
      <c r="Q16" s="16"/>
      <c r="R16" s="2"/>
      <c r="S16" s="12"/>
      <c r="T16" s="17"/>
      <c r="U16" s="2"/>
      <c r="V16" s="18"/>
      <c r="W16" s="8"/>
      <c r="Y16" s="149" t="s">
        <v>22</v>
      </c>
      <c r="Z16" s="152">
        <f t="shared" si="1"/>
        <v>13</v>
      </c>
    </row>
    <row r="17" spans="2:26" ht="18" x14ac:dyDescent="0.35">
      <c r="B17" s="95"/>
      <c r="C17" s="96"/>
      <c r="D17" s="97"/>
      <c r="E17" s="98"/>
      <c r="F17" s="90"/>
      <c r="G17" s="91"/>
      <c r="H17" s="92"/>
      <c r="I17" s="93"/>
      <c r="J17" s="83"/>
      <c r="K17" s="83"/>
      <c r="L17" s="12"/>
      <c r="M17" s="13"/>
      <c r="N17" s="14"/>
      <c r="O17" s="11"/>
      <c r="P17" s="15"/>
      <c r="Q17" s="16"/>
      <c r="R17" s="2"/>
      <c r="S17" s="12"/>
      <c r="T17" s="17"/>
      <c r="U17" s="2"/>
      <c r="V17" s="18"/>
      <c r="W17" s="8"/>
      <c r="Y17" s="149" t="s">
        <v>67</v>
      </c>
      <c r="Z17" s="152">
        <f t="shared" si="1"/>
        <v>0</v>
      </c>
    </row>
    <row r="18" spans="2:26" ht="18" x14ac:dyDescent="0.35">
      <c r="B18" s="95"/>
      <c r="C18" s="96"/>
      <c r="D18" s="97"/>
      <c r="E18" s="98"/>
      <c r="F18" s="90"/>
      <c r="G18" s="91"/>
      <c r="H18" s="92"/>
      <c r="I18" s="93"/>
      <c r="J18" s="83"/>
      <c r="K18" s="83"/>
      <c r="L18" s="12"/>
      <c r="M18" s="13"/>
      <c r="N18" s="14"/>
      <c r="O18" s="11"/>
      <c r="P18" s="15"/>
      <c r="Q18" s="16"/>
      <c r="R18" s="2"/>
      <c r="S18" s="12"/>
      <c r="T18" s="17"/>
      <c r="U18" s="2"/>
      <c r="V18" s="18"/>
      <c r="W18" s="8"/>
      <c r="Y18" s="149" t="s">
        <v>90</v>
      </c>
      <c r="Z18" s="152">
        <f t="shared" si="1"/>
        <v>0</v>
      </c>
    </row>
    <row r="19" spans="2:26" ht="18" x14ac:dyDescent="0.35">
      <c r="B19" s="95"/>
      <c r="C19" s="96"/>
      <c r="D19" s="97"/>
      <c r="E19" s="98"/>
      <c r="F19" s="90"/>
      <c r="G19" s="91"/>
      <c r="H19" s="92"/>
      <c r="I19" s="93"/>
      <c r="J19" s="83"/>
      <c r="K19" s="83"/>
      <c r="L19" s="12"/>
      <c r="M19" s="13"/>
      <c r="N19" s="14"/>
      <c r="O19" s="11"/>
      <c r="P19" s="15"/>
      <c r="Q19" s="16"/>
      <c r="R19" s="2"/>
      <c r="S19" s="12"/>
      <c r="T19" s="17"/>
      <c r="U19" s="2"/>
      <c r="V19" s="18"/>
      <c r="W19" s="8"/>
      <c r="Y19" s="149" t="s">
        <v>91</v>
      </c>
      <c r="Z19" s="152">
        <f t="shared" si="1"/>
        <v>0</v>
      </c>
    </row>
    <row r="20" spans="2:26" ht="18" x14ac:dyDescent="0.35">
      <c r="B20" s="95"/>
      <c r="C20" s="96"/>
      <c r="D20" s="97"/>
      <c r="E20" s="98"/>
      <c r="F20" s="90"/>
      <c r="G20" s="91"/>
      <c r="H20" s="92"/>
      <c r="I20" s="93"/>
      <c r="J20" s="83"/>
      <c r="K20" s="83"/>
      <c r="L20" s="12"/>
      <c r="M20" s="13"/>
      <c r="N20" s="14"/>
      <c r="O20" s="11"/>
      <c r="P20" s="15"/>
      <c r="Q20" s="16"/>
      <c r="R20" s="2"/>
      <c r="S20" s="12"/>
      <c r="T20" s="17"/>
      <c r="U20" s="2"/>
      <c r="V20" s="18"/>
      <c r="W20" s="8"/>
      <c r="Y20" s="149" t="s">
        <v>92</v>
      </c>
      <c r="Z20" s="152">
        <f t="shared" si="1"/>
        <v>0</v>
      </c>
    </row>
    <row r="21" spans="2:26" ht="18" x14ac:dyDescent="0.35">
      <c r="B21" s="95"/>
      <c r="C21" s="96"/>
      <c r="D21" s="97"/>
      <c r="E21" s="98"/>
      <c r="F21" s="90"/>
      <c r="G21" s="91"/>
      <c r="H21" s="92"/>
      <c r="I21" s="93"/>
      <c r="J21" s="83"/>
      <c r="K21" s="83"/>
      <c r="L21" s="12"/>
      <c r="M21" s="13"/>
      <c r="N21" s="14"/>
      <c r="O21" s="11"/>
      <c r="P21" s="15"/>
      <c r="Q21" s="16"/>
      <c r="R21" s="2"/>
      <c r="S21" s="12"/>
      <c r="T21" s="17"/>
      <c r="U21" s="2"/>
      <c r="V21" s="18"/>
      <c r="W21" s="8"/>
      <c r="Y21" s="149" t="s">
        <v>68</v>
      </c>
      <c r="Z21" s="152">
        <f t="shared" si="1"/>
        <v>0</v>
      </c>
    </row>
    <row r="22" spans="2:26" ht="18" x14ac:dyDescent="0.35">
      <c r="B22" s="95"/>
      <c r="C22" s="96"/>
      <c r="D22" s="97"/>
      <c r="E22" s="98"/>
      <c r="F22" s="90"/>
      <c r="G22" s="91"/>
      <c r="H22" s="92"/>
      <c r="I22" s="93"/>
      <c r="J22" s="83"/>
      <c r="K22" s="83"/>
      <c r="L22" s="12"/>
      <c r="M22" s="13"/>
      <c r="N22" s="14"/>
      <c r="O22" s="11"/>
      <c r="P22" s="15"/>
      <c r="Q22" s="16"/>
      <c r="R22" s="2"/>
      <c r="S22" s="12"/>
      <c r="T22" s="17"/>
      <c r="U22" s="2"/>
      <c r="V22" s="18"/>
      <c r="W22" s="8"/>
      <c r="Y22" s="149" t="s">
        <v>93</v>
      </c>
      <c r="Z22" s="152">
        <f t="shared" si="1"/>
        <v>0</v>
      </c>
    </row>
    <row r="23" spans="2:26" ht="18" x14ac:dyDescent="0.35">
      <c r="B23" s="95"/>
      <c r="C23" s="96"/>
      <c r="D23" s="97"/>
      <c r="E23" s="98"/>
      <c r="F23" s="90"/>
      <c r="G23" s="91"/>
      <c r="H23" s="92"/>
      <c r="I23" s="93"/>
      <c r="J23" s="83"/>
      <c r="K23" s="83"/>
      <c r="L23" s="12"/>
      <c r="M23" s="13"/>
      <c r="N23" s="14"/>
      <c r="O23" s="11"/>
      <c r="P23" s="15"/>
      <c r="Q23" s="16"/>
      <c r="R23" s="2"/>
      <c r="S23" s="12"/>
      <c r="T23" s="17"/>
      <c r="U23" s="2"/>
      <c r="V23" s="18"/>
      <c r="W23" s="8"/>
      <c r="Y23" s="149" t="s">
        <v>23</v>
      </c>
      <c r="Z23" s="152">
        <f t="shared" si="1"/>
        <v>0</v>
      </c>
    </row>
    <row r="24" spans="2:26" ht="18" x14ac:dyDescent="0.35">
      <c r="B24" s="95"/>
      <c r="C24" s="96"/>
      <c r="D24" s="97"/>
      <c r="E24" s="98"/>
      <c r="F24" s="90"/>
      <c r="G24" s="91"/>
      <c r="H24" s="92"/>
      <c r="I24" s="93"/>
      <c r="J24" s="83"/>
      <c r="K24" s="83"/>
      <c r="L24" s="12"/>
      <c r="M24" s="13"/>
      <c r="N24" s="14"/>
      <c r="O24" s="11"/>
      <c r="P24" s="15"/>
      <c r="Q24" s="16"/>
      <c r="R24" s="2"/>
      <c r="S24" s="12"/>
      <c r="T24" s="17"/>
      <c r="U24" s="2"/>
      <c r="V24" s="18"/>
      <c r="W24" s="8"/>
      <c r="Y24" s="149" t="s">
        <v>24</v>
      </c>
      <c r="Z24" s="152">
        <f t="shared" si="1"/>
        <v>0</v>
      </c>
    </row>
    <row r="25" spans="2:26" ht="18" x14ac:dyDescent="0.35">
      <c r="B25" s="95"/>
      <c r="C25" s="96"/>
      <c r="D25" s="97"/>
      <c r="E25" s="98"/>
      <c r="F25" s="90"/>
      <c r="G25" s="91"/>
      <c r="H25" s="92"/>
      <c r="I25" s="93"/>
      <c r="J25" s="83"/>
      <c r="K25" s="83"/>
      <c r="L25" s="12"/>
      <c r="M25" s="13"/>
      <c r="N25" s="14"/>
      <c r="O25" s="11"/>
      <c r="P25" s="15"/>
      <c r="Q25" s="16"/>
      <c r="R25" s="2"/>
      <c r="S25" s="12"/>
      <c r="T25" s="17"/>
      <c r="U25" s="2"/>
      <c r="V25" s="18"/>
      <c r="W25" s="8"/>
      <c r="Y25" s="149" t="s">
        <v>25</v>
      </c>
      <c r="Z25" s="152">
        <f t="shared" si="1"/>
        <v>0</v>
      </c>
    </row>
    <row r="26" spans="2:26" ht="18" x14ac:dyDescent="0.35">
      <c r="B26" s="95"/>
      <c r="C26" s="96"/>
      <c r="D26" s="97"/>
      <c r="E26" s="98"/>
      <c r="F26" s="90"/>
      <c r="G26" s="91"/>
      <c r="H26" s="92"/>
      <c r="I26" s="93"/>
      <c r="J26" s="83"/>
      <c r="K26" s="83"/>
      <c r="L26" s="12"/>
      <c r="M26" s="13"/>
      <c r="N26" s="14"/>
      <c r="O26" s="11"/>
      <c r="P26" s="15"/>
      <c r="Q26" s="16"/>
      <c r="R26" s="2"/>
      <c r="S26" s="12"/>
      <c r="T26" s="17"/>
      <c r="U26" s="2"/>
      <c r="V26" s="18"/>
      <c r="W26" s="8"/>
      <c r="Y26" s="149" t="s">
        <v>98</v>
      </c>
      <c r="Z26" s="152">
        <f t="shared" si="1"/>
        <v>0</v>
      </c>
    </row>
    <row r="27" spans="2:26" ht="18" x14ac:dyDescent="0.35">
      <c r="B27" s="95"/>
      <c r="C27" s="96"/>
      <c r="D27" s="97"/>
      <c r="E27" s="98"/>
      <c r="F27" s="90"/>
      <c r="G27" s="91"/>
      <c r="H27" s="92"/>
      <c r="I27" s="93"/>
      <c r="J27" s="83"/>
      <c r="K27" s="83"/>
      <c r="L27" s="12"/>
      <c r="M27" s="13"/>
      <c r="N27" s="14"/>
      <c r="O27" s="11"/>
      <c r="P27" s="15"/>
      <c r="Q27" s="16"/>
      <c r="R27" s="2"/>
      <c r="S27" s="12"/>
      <c r="T27" s="17"/>
      <c r="U27" s="2"/>
      <c r="V27" s="18"/>
      <c r="W27" s="8"/>
      <c r="Y27" s="149" t="s">
        <v>94</v>
      </c>
      <c r="Z27" s="152">
        <f t="shared" si="1"/>
        <v>0</v>
      </c>
    </row>
    <row r="28" spans="2:26" ht="18" x14ac:dyDescent="0.35">
      <c r="B28" s="95"/>
      <c r="C28" s="96"/>
      <c r="D28" s="97"/>
      <c r="E28" s="98"/>
      <c r="F28" s="90"/>
      <c r="G28" s="91"/>
      <c r="H28" s="92"/>
      <c r="I28" s="93"/>
      <c r="J28" s="83"/>
      <c r="K28" s="83"/>
      <c r="L28" s="12"/>
      <c r="M28" s="13"/>
      <c r="N28" s="14"/>
      <c r="O28" s="11"/>
      <c r="P28" s="15"/>
      <c r="Q28" s="16"/>
      <c r="R28" s="2"/>
      <c r="S28" s="12"/>
      <c r="T28" s="17"/>
      <c r="U28" s="2"/>
      <c r="V28" s="18"/>
      <c r="W28" s="8"/>
      <c r="Y28" s="149" t="s">
        <v>42</v>
      </c>
      <c r="Z28" s="152">
        <f t="shared" si="1"/>
        <v>0</v>
      </c>
    </row>
    <row r="29" spans="2:26" ht="18" x14ac:dyDescent="0.35">
      <c r="B29" s="95"/>
      <c r="C29" s="96"/>
      <c r="D29" s="97"/>
      <c r="E29" s="98"/>
      <c r="F29" s="90"/>
      <c r="G29" s="91"/>
      <c r="H29" s="92"/>
      <c r="I29" s="93"/>
      <c r="J29" s="83"/>
      <c r="K29" s="83"/>
      <c r="L29" s="12"/>
      <c r="M29" s="13"/>
      <c r="N29" s="14"/>
      <c r="O29" s="11"/>
      <c r="P29" s="15"/>
      <c r="Q29" s="16"/>
      <c r="R29" s="2"/>
      <c r="S29" s="12"/>
      <c r="T29" s="17"/>
      <c r="U29" s="2"/>
      <c r="V29" s="18"/>
      <c r="W29" s="8"/>
      <c r="Y29" s="149" t="s">
        <v>39</v>
      </c>
      <c r="Z29" s="152">
        <f t="shared" si="1"/>
        <v>0</v>
      </c>
    </row>
    <row r="30" spans="2:26" ht="18" x14ac:dyDescent="0.35">
      <c r="B30" s="95"/>
      <c r="C30" s="96"/>
      <c r="D30" s="97"/>
      <c r="E30" s="98"/>
      <c r="F30" s="90"/>
      <c r="G30" s="91"/>
      <c r="H30" s="92"/>
      <c r="I30" s="93"/>
      <c r="J30" s="83"/>
      <c r="K30" s="83"/>
      <c r="L30" s="12"/>
      <c r="M30" s="13"/>
      <c r="N30" s="14"/>
      <c r="O30" s="11"/>
      <c r="P30" s="15"/>
      <c r="Q30" s="16"/>
      <c r="R30" s="2"/>
      <c r="S30" s="12"/>
      <c r="T30" s="17"/>
      <c r="U30" s="2"/>
      <c r="V30" s="18"/>
      <c r="W30" s="8"/>
      <c r="Y30" s="149" t="s">
        <v>99</v>
      </c>
      <c r="Z30" s="152">
        <f t="shared" si="1"/>
        <v>0</v>
      </c>
    </row>
    <row r="31" spans="2:26" ht="18" x14ac:dyDescent="0.35">
      <c r="B31" s="95"/>
      <c r="C31" s="96"/>
      <c r="D31" s="97"/>
      <c r="E31" s="98"/>
      <c r="F31" s="90"/>
      <c r="G31" s="91"/>
      <c r="H31" s="92"/>
      <c r="I31" s="93"/>
      <c r="J31" s="83"/>
      <c r="K31" s="83"/>
      <c r="L31" s="12"/>
      <c r="M31" s="13"/>
      <c r="N31" s="14"/>
      <c r="O31" s="11"/>
      <c r="P31" s="15"/>
      <c r="Q31" s="16"/>
      <c r="R31" s="2"/>
      <c r="S31" s="12"/>
      <c r="T31" s="17"/>
      <c r="U31" s="2"/>
      <c r="V31" s="18"/>
      <c r="W31" s="8"/>
      <c r="Y31" s="149" t="s">
        <v>95</v>
      </c>
      <c r="Z31" s="152">
        <f t="shared" si="1"/>
        <v>0</v>
      </c>
    </row>
    <row r="32" spans="2:26" ht="18" x14ac:dyDescent="0.35">
      <c r="B32" s="95"/>
      <c r="C32" s="96"/>
      <c r="D32" s="97"/>
      <c r="E32" s="98"/>
      <c r="F32" s="90"/>
      <c r="G32" s="91"/>
      <c r="H32" s="92"/>
      <c r="I32" s="93"/>
      <c r="J32" s="83"/>
      <c r="K32" s="83"/>
      <c r="L32" s="12"/>
      <c r="M32" s="13"/>
      <c r="N32" s="14"/>
      <c r="O32" s="11"/>
      <c r="P32" s="15"/>
      <c r="Q32" s="16"/>
      <c r="R32" s="2"/>
      <c r="S32" s="12"/>
      <c r="T32" s="17"/>
      <c r="U32" s="2"/>
      <c r="V32" s="18"/>
      <c r="W32" s="8"/>
      <c r="Y32" s="149" t="s">
        <v>97</v>
      </c>
      <c r="Z32" s="152">
        <f t="shared" si="1"/>
        <v>0</v>
      </c>
    </row>
    <row r="33" spans="2:26" ht="18" x14ac:dyDescent="0.35">
      <c r="B33" s="95"/>
      <c r="C33" s="96"/>
      <c r="D33" s="97"/>
      <c r="E33" s="98"/>
      <c r="F33" s="90"/>
      <c r="G33" s="91"/>
      <c r="H33" s="92"/>
      <c r="I33" s="93"/>
      <c r="J33" s="83"/>
      <c r="K33" s="83"/>
      <c r="L33" s="12"/>
      <c r="M33" s="13"/>
      <c r="N33" s="14"/>
      <c r="O33" s="11"/>
      <c r="P33" s="15"/>
      <c r="Q33" s="16"/>
      <c r="R33" s="2"/>
      <c r="S33" s="12"/>
      <c r="T33" s="17"/>
      <c r="U33" s="2"/>
      <c r="V33" s="18"/>
      <c r="W33" s="8"/>
      <c r="Y33" s="149" t="s">
        <v>43</v>
      </c>
      <c r="Z33" s="152">
        <f t="shared" si="1"/>
        <v>0</v>
      </c>
    </row>
    <row r="34" spans="2:26" ht="18" x14ac:dyDescent="0.35">
      <c r="B34" s="95"/>
      <c r="C34" s="96"/>
      <c r="D34" s="97"/>
      <c r="E34" s="98"/>
      <c r="F34" s="90"/>
      <c r="G34" s="91"/>
      <c r="H34" s="92"/>
      <c r="I34" s="93"/>
      <c r="J34" s="83"/>
      <c r="K34" s="83"/>
      <c r="L34" s="12"/>
      <c r="M34" s="13"/>
      <c r="N34" s="14"/>
      <c r="O34" s="11"/>
      <c r="P34" s="15"/>
      <c r="Q34" s="16"/>
      <c r="R34" s="2"/>
      <c r="S34" s="12"/>
      <c r="T34" s="17"/>
      <c r="U34" s="2"/>
      <c r="V34" s="18"/>
      <c r="W34" s="8"/>
      <c r="Y34" s="149" t="s">
        <v>32</v>
      </c>
      <c r="Z34" s="152">
        <f t="shared" si="1"/>
        <v>0</v>
      </c>
    </row>
    <row r="35" spans="2:26" ht="18" x14ac:dyDescent="0.35">
      <c r="B35" s="95"/>
      <c r="C35" s="96"/>
      <c r="D35" s="97"/>
      <c r="E35" s="98"/>
      <c r="F35" s="90"/>
      <c r="G35" s="91"/>
      <c r="H35" s="92"/>
      <c r="I35" s="93"/>
      <c r="J35" s="83"/>
      <c r="K35" s="83"/>
      <c r="L35" s="12"/>
      <c r="M35" s="13"/>
      <c r="N35" s="14"/>
      <c r="O35" s="11"/>
      <c r="P35" s="15"/>
      <c r="Q35" s="16"/>
      <c r="R35" s="2"/>
      <c r="S35" s="12"/>
      <c r="T35" s="17"/>
      <c r="U35" s="2"/>
      <c r="V35" s="18"/>
      <c r="W35" s="8"/>
      <c r="Y35" s="149" t="s">
        <v>33</v>
      </c>
      <c r="Z35" s="152">
        <f t="shared" si="1"/>
        <v>0</v>
      </c>
    </row>
    <row r="36" spans="2:26" ht="18" x14ac:dyDescent="0.35">
      <c r="B36" s="95"/>
      <c r="C36" s="96"/>
      <c r="D36" s="97"/>
      <c r="E36" s="98"/>
      <c r="F36" s="90"/>
      <c r="G36" s="91"/>
      <c r="H36" s="92"/>
      <c r="I36" s="93"/>
      <c r="J36" s="83"/>
      <c r="K36" s="83"/>
      <c r="L36" s="12"/>
      <c r="M36" s="13"/>
      <c r="N36" s="14"/>
      <c r="O36" s="11"/>
      <c r="P36" s="15"/>
      <c r="Q36" s="16"/>
      <c r="R36" s="2"/>
      <c r="S36" s="12"/>
      <c r="T36" s="17"/>
      <c r="U36" s="2"/>
      <c r="V36" s="18"/>
      <c r="W36" s="8"/>
      <c r="Y36" s="149" t="s">
        <v>30</v>
      </c>
      <c r="Z36" s="152">
        <f t="shared" si="1"/>
        <v>0</v>
      </c>
    </row>
    <row r="37" spans="2:26" ht="18" x14ac:dyDescent="0.35">
      <c r="B37" s="95"/>
      <c r="C37" s="96"/>
      <c r="D37" s="97"/>
      <c r="E37" s="98"/>
      <c r="F37" s="90"/>
      <c r="G37" s="91"/>
      <c r="H37" s="92"/>
      <c r="I37" s="93"/>
      <c r="J37" s="83"/>
      <c r="K37" s="83"/>
      <c r="L37" s="12"/>
      <c r="M37" s="13"/>
      <c r="N37" s="14"/>
      <c r="O37" s="11"/>
      <c r="P37" s="15"/>
      <c r="Q37" s="16"/>
      <c r="R37" s="2"/>
      <c r="S37" s="12"/>
      <c r="T37" s="17"/>
      <c r="U37" s="2"/>
      <c r="V37" s="18"/>
      <c r="W37" s="8"/>
      <c r="Y37" s="149" t="s">
        <v>31</v>
      </c>
      <c r="Z37" s="152">
        <f t="shared" si="1"/>
        <v>0</v>
      </c>
    </row>
    <row r="38" spans="2:26" ht="18" x14ac:dyDescent="0.35">
      <c r="B38" s="95"/>
      <c r="C38" s="96"/>
      <c r="D38" s="97"/>
      <c r="E38" s="98"/>
      <c r="F38" s="90"/>
      <c r="G38" s="91"/>
      <c r="H38" s="92"/>
      <c r="I38" s="93"/>
      <c r="J38" s="83"/>
      <c r="K38" s="83"/>
      <c r="L38" s="12"/>
      <c r="M38" s="13"/>
      <c r="N38" s="14"/>
      <c r="O38" s="11"/>
      <c r="P38" s="15"/>
      <c r="Q38" s="16"/>
      <c r="R38" s="2"/>
      <c r="S38" s="12"/>
      <c r="T38" s="17"/>
      <c r="U38" s="2"/>
      <c r="V38" s="18"/>
      <c r="W38" s="8"/>
      <c r="Y38" s="149" t="s">
        <v>84</v>
      </c>
      <c r="Z38" s="152">
        <f t="shared" si="1"/>
        <v>0</v>
      </c>
    </row>
    <row r="39" spans="2:26" ht="18" x14ac:dyDescent="0.35">
      <c r="B39" s="95"/>
      <c r="C39" s="96"/>
      <c r="D39" s="97"/>
      <c r="E39" s="98"/>
      <c r="F39" s="90"/>
      <c r="G39" s="91"/>
      <c r="H39" s="92"/>
      <c r="I39" s="93"/>
      <c r="J39" s="83"/>
      <c r="K39" s="83"/>
      <c r="L39" s="12"/>
      <c r="M39" s="13"/>
      <c r="N39" s="14"/>
      <c r="O39" s="11"/>
      <c r="P39" s="15"/>
      <c r="Q39" s="16"/>
      <c r="R39" s="2"/>
      <c r="S39" s="12"/>
      <c r="T39" s="17"/>
      <c r="U39" s="2"/>
      <c r="V39" s="18"/>
      <c r="W39" s="8"/>
      <c r="Y39" s="149" t="s">
        <v>85</v>
      </c>
      <c r="Z39" s="152">
        <f t="shared" si="1"/>
        <v>0</v>
      </c>
    </row>
    <row r="40" spans="2:26" ht="18" x14ac:dyDescent="0.35">
      <c r="B40" s="95"/>
      <c r="C40" s="96"/>
      <c r="D40" s="97"/>
      <c r="E40" s="98"/>
      <c r="F40" s="90"/>
      <c r="G40" s="91"/>
      <c r="H40" s="92"/>
      <c r="I40" s="93"/>
      <c r="J40" s="83"/>
      <c r="K40" s="83"/>
      <c r="L40" s="12"/>
      <c r="M40" s="13"/>
      <c r="N40" s="14"/>
      <c r="O40" s="11"/>
      <c r="P40" s="15"/>
      <c r="Q40" s="16"/>
      <c r="R40" s="2"/>
      <c r="S40" s="12"/>
      <c r="T40" s="17"/>
      <c r="U40" s="2"/>
      <c r="V40" s="18"/>
      <c r="W40" s="8"/>
      <c r="Y40" s="149" t="s">
        <v>86</v>
      </c>
      <c r="Z40" s="152">
        <f t="shared" si="1"/>
        <v>0</v>
      </c>
    </row>
    <row r="41" spans="2:26" ht="18" x14ac:dyDescent="0.35">
      <c r="B41" s="95"/>
      <c r="C41" s="96"/>
      <c r="D41" s="97"/>
      <c r="E41" s="98"/>
      <c r="F41" s="90"/>
      <c r="G41" s="91"/>
      <c r="H41" s="92"/>
      <c r="I41" s="93"/>
      <c r="J41" s="83"/>
      <c r="K41" s="83"/>
      <c r="L41" s="12"/>
      <c r="M41" s="13"/>
      <c r="N41" s="14"/>
      <c r="O41" s="11"/>
      <c r="P41" s="15"/>
      <c r="Q41" s="16"/>
      <c r="R41" s="2"/>
      <c r="S41" s="12"/>
      <c r="T41" s="17"/>
      <c r="U41" s="2"/>
      <c r="V41" s="18"/>
      <c r="W41" s="8"/>
      <c r="Y41" s="149" t="s">
        <v>87</v>
      </c>
      <c r="Z41" s="152">
        <f t="shared" si="1"/>
        <v>0</v>
      </c>
    </row>
    <row r="42" spans="2:26" ht="18" x14ac:dyDescent="0.35">
      <c r="B42" s="95"/>
      <c r="C42" s="96"/>
      <c r="D42" s="97"/>
      <c r="E42" s="98"/>
      <c r="F42" s="90"/>
      <c r="G42" s="91"/>
      <c r="H42" s="92"/>
      <c r="I42" s="93"/>
      <c r="J42" s="83"/>
      <c r="K42" s="83"/>
      <c r="L42" s="12"/>
      <c r="M42" s="13"/>
      <c r="N42" s="14"/>
      <c r="O42" s="11"/>
      <c r="P42" s="15"/>
      <c r="Q42" s="16"/>
      <c r="R42" s="2"/>
      <c r="S42" s="12"/>
      <c r="T42" s="17"/>
      <c r="U42" s="2"/>
      <c r="V42" s="18"/>
      <c r="W42" s="8"/>
      <c r="Y42" s="149" t="s">
        <v>46</v>
      </c>
      <c r="Z42" s="152">
        <f t="shared" si="1"/>
        <v>0</v>
      </c>
    </row>
    <row r="43" spans="2:26" ht="18" x14ac:dyDescent="0.35">
      <c r="B43" s="95"/>
      <c r="C43" s="96"/>
      <c r="D43" s="97"/>
      <c r="E43" s="98"/>
      <c r="F43" s="90"/>
      <c r="G43" s="91"/>
      <c r="H43" s="92"/>
      <c r="I43" s="93"/>
      <c r="J43" s="83"/>
      <c r="K43" s="83"/>
      <c r="L43" s="12"/>
      <c r="M43" s="13"/>
      <c r="N43" s="14"/>
      <c r="O43" s="11"/>
      <c r="P43" s="15"/>
      <c r="Q43" s="16"/>
      <c r="R43" s="2"/>
      <c r="S43" s="12"/>
      <c r="T43" s="17"/>
      <c r="U43" s="2"/>
      <c r="V43" s="18"/>
      <c r="W43" s="8"/>
      <c r="Y43" s="149" t="s">
        <v>47</v>
      </c>
      <c r="Z43" s="152">
        <f t="shared" si="1"/>
        <v>0</v>
      </c>
    </row>
    <row r="44" spans="2:26" ht="18" x14ac:dyDescent="0.35">
      <c r="B44" s="95"/>
      <c r="C44" s="96"/>
      <c r="D44" s="97"/>
      <c r="E44" s="98"/>
      <c r="F44" s="90"/>
      <c r="G44" s="91"/>
      <c r="H44" s="92"/>
      <c r="I44" s="93"/>
      <c r="J44" s="83"/>
      <c r="K44" s="83"/>
      <c r="L44" s="12"/>
      <c r="M44" s="13"/>
      <c r="N44" s="14"/>
      <c r="O44" s="11"/>
      <c r="P44" s="15"/>
      <c r="Q44" s="16"/>
      <c r="R44" s="2"/>
      <c r="S44" s="12"/>
      <c r="T44" s="17"/>
      <c r="U44" s="2"/>
      <c r="V44" s="18"/>
      <c r="W44" s="8"/>
      <c r="Y44" s="149" t="s">
        <v>48</v>
      </c>
      <c r="Z44" s="152">
        <f t="shared" si="1"/>
        <v>0</v>
      </c>
    </row>
    <row r="45" spans="2:26" ht="18" x14ac:dyDescent="0.35">
      <c r="B45" s="95"/>
      <c r="C45" s="96"/>
      <c r="D45" s="97"/>
      <c r="E45" s="98"/>
      <c r="F45" s="90"/>
      <c r="G45" s="91"/>
      <c r="H45" s="92"/>
      <c r="I45" s="93"/>
      <c r="J45" s="83"/>
      <c r="K45" s="83"/>
      <c r="L45" s="12"/>
      <c r="M45" s="13"/>
      <c r="N45" s="14"/>
      <c r="O45" s="11"/>
      <c r="P45" s="15"/>
      <c r="Q45" s="16"/>
      <c r="R45" s="2"/>
      <c r="S45" s="12"/>
      <c r="T45" s="17"/>
      <c r="U45" s="2"/>
      <c r="V45" s="18"/>
      <c r="W45" s="8"/>
      <c r="Y45" s="149" t="s">
        <v>83</v>
      </c>
      <c r="Z45" s="152">
        <f t="shared" si="1"/>
        <v>0</v>
      </c>
    </row>
    <row r="46" spans="2:26" ht="18" x14ac:dyDescent="0.35">
      <c r="B46" s="95"/>
      <c r="C46" s="96"/>
      <c r="D46" s="97"/>
      <c r="E46" s="98"/>
      <c r="F46" s="90"/>
      <c r="G46" s="91"/>
      <c r="H46" s="92"/>
      <c r="I46" s="93"/>
      <c r="J46" s="83"/>
      <c r="K46" s="83"/>
      <c r="L46" s="12"/>
      <c r="M46" s="13"/>
      <c r="N46" s="14"/>
      <c r="O46" s="11"/>
      <c r="P46" s="15"/>
      <c r="Q46" s="16"/>
      <c r="R46" s="2"/>
      <c r="S46" s="12"/>
      <c r="T46" s="17"/>
      <c r="U46" s="2"/>
      <c r="V46" s="18"/>
      <c r="W46" s="8"/>
      <c r="Y46" s="149" t="s">
        <v>96</v>
      </c>
      <c r="Z46" s="152">
        <f t="shared" si="1"/>
        <v>0</v>
      </c>
    </row>
    <row r="47" spans="2:26" ht="18" x14ac:dyDescent="0.35">
      <c r="B47" s="95"/>
      <c r="C47" s="96"/>
      <c r="D47" s="97"/>
      <c r="E47" s="98"/>
      <c r="F47" s="90"/>
      <c r="G47" s="91"/>
      <c r="H47" s="92"/>
      <c r="I47" s="93"/>
      <c r="J47" s="83"/>
      <c r="K47" s="83"/>
      <c r="L47" s="12"/>
      <c r="M47" s="13"/>
      <c r="N47" s="14"/>
      <c r="O47" s="11"/>
      <c r="P47" s="15"/>
      <c r="Q47" s="16"/>
      <c r="R47" s="2"/>
      <c r="S47" s="12"/>
      <c r="T47" s="17"/>
      <c r="U47" s="2"/>
      <c r="V47" s="18"/>
      <c r="W47" s="8"/>
      <c r="Y47" s="149" t="s">
        <v>73</v>
      </c>
      <c r="Z47" s="152">
        <f t="shared" si="1"/>
        <v>0</v>
      </c>
    </row>
    <row r="48" spans="2:26" ht="18" x14ac:dyDescent="0.35">
      <c r="B48" s="95"/>
      <c r="C48" s="96"/>
      <c r="D48" s="97"/>
      <c r="E48" s="98"/>
      <c r="F48" s="90"/>
      <c r="G48" s="91"/>
      <c r="H48" s="92"/>
      <c r="I48" s="93"/>
      <c r="J48" s="83"/>
      <c r="K48" s="83"/>
      <c r="L48" s="12"/>
      <c r="M48" s="13"/>
      <c r="N48" s="14"/>
      <c r="O48" s="11"/>
      <c r="P48" s="15"/>
      <c r="Q48" s="16"/>
      <c r="R48" s="2"/>
      <c r="S48" s="12"/>
      <c r="T48" s="17"/>
      <c r="U48" s="2"/>
      <c r="V48" s="18"/>
      <c r="W48" s="8"/>
      <c r="Y48" s="149" t="s">
        <v>74</v>
      </c>
      <c r="Z48" s="152">
        <f t="shared" si="1"/>
        <v>0</v>
      </c>
    </row>
    <row r="49" spans="2:26" ht="18" x14ac:dyDescent="0.35">
      <c r="B49" s="95"/>
      <c r="C49" s="96"/>
      <c r="D49" s="97"/>
      <c r="E49" s="98"/>
      <c r="F49" s="90"/>
      <c r="G49" s="91"/>
      <c r="H49" s="92"/>
      <c r="I49" s="93"/>
      <c r="J49" s="83"/>
      <c r="K49" s="83"/>
      <c r="L49" s="12"/>
      <c r="M49" s="13"/>
      <c r="N49" s="14"/>
      <c r="O49" s="11"/>
      <c r="P49" s="15"/>
      <c r="Q49" s="16"/>
      <c r="R49" s="2"/>
      <c r="S49" s="12"/>
      <c r="T49" s="17"/>
      <c r="U49" s="2"/>
      <c r="V49" s="18"/>
      <c r="W49" s="8"/>
      <c r="Y49" s="149" t="s">
        <v>70</v>
      </c>
      <c r="Z49" s="152">
        <f t="shared" si="1"/>
        <v>0</v>
      </c>
    </row>
    <row r="50" spans="2:26" ht="18" x14ac:dyDescent="0.35">
      <c r="B50" s="95"/>
      <c r="C50" s="96"/>
      <c r="D50" s="97"/>
      <c r="E50" s="98"/>
      <c r="F50" s="90"/>
      <c r="G50" s="91"/>
      <c r="H50" s="92"/>
      <c r="I50" s="93"/>
      <c r="J50" s="83"/>
      <c r="K50" s="83"/>
      <c r="L50" s="12"/>
      <c r="M50" s="13"/>
      <c r="N50" s="14"/>
      <c r="O50" s="11"/>
      <c r="P50" s="15"/>
      <c r="Q50" s="16"/>
      <c r="R50" s="2"/>
      <c r="S50" s="12"/>
      <c r="T50" s="17"/>
      <c r="U50" s="2"/>
      <c r="V50" s="18"/>
      <c r="W50" s="8"/>
      <c r="Y50" s="149" t="s">
        <v>64</v>
      </c>
      <c r="Z50" s="152">
        <f t="shared" si="1"/>
        <v>0</v>
      </c>
    </row>
    <row r="51" spans="2:26" ht="18" x14ac:dyDescent="0.35">
      <c r="B51" s="95"/>
      <c r="C51" s="96"/>
      <c r="D51" s="97"/>
      <c r="E51" s="98"/>
      <c r="F51" s="90"/>
      <c r="G51" s="91"/>
      <c r="H51" s="92"/>
      <c r="I51" s="93"/>
      <c r="J51" s="83"/>
      <c r="K51" s="83"/>
      <c r="L51" s="12"/>
      <c r="M51" s="13"/>
      <c r="N51" s="14"/>
      <c r="O51" s="11"/>
      <c r="P51" s="15"/>
      <c r="Q51" s="16"/>
      <c r="R51" s="2"/>
      <c r="S51" s="12"/>
      <c r="T51" s="17"/>
      <c r="U51" s="2"/>
      <c r="V51" s="18"/>
      <c r="W51" s="8"/>
      <c r="Y51" s="149" t="s">
        <v>65</v>
      </c>
      <c r="Z51" s="152">
        <f t="shared" si="1"/>
        <v>0</v>
      </c>
    </row>
    <row r="52" spans="2:26" ht="18" x14ac:dyDescent="0.35">
      <c r="B52" s="95"/>
      <c r="C52" s="96"/>
      <c r="D52" s="97"/>
      <c r="E52" s="98"/>
      <c r="F52" s="90"/>
      <c r="G52" s="91"/>
      <c r="H52" s="92"/>
      <c r="I52" s="93"/>
      <c r="J52" s="83"/>
      <c r="K52" s="83"/>
      <c r="L52" s="12"/>
      <c r="M52" s="13"/>
      <c r="N52" s="14"/>
      <c r="O52" s="11"/>
      <c r="P52" s="15"/>
      <c r="Q52" s="16"/>
      <c r="R52" s="2"/>
      <c r="S52" s="12"/>
      <c r="T52" s="17"/>
      <c r="U52" s="2"/>
      <c r="V52" s="18"/>
      <c r="W52" s="8"/>
      <c r="Y52" s="149" t="s">
        <v>66</v>
      </c>
      <c r="Z52" s="152">
        <f t="shared" si="1"/>
        <v>0</v>
      </c>
    </row>
    <row r="53" spans="2:26" ht="18" x14ac:dyDescent="0.35">
      <c r="B53" s="95"/>
      <c r="C53" s="96"/>
      <c r="D53" s="97"/>
      <c r="E53" s="98"/>
      <c r="F53" s="90"/>
      <c r="G53" s="91"/>
      <c r="H53" s="92"/>
      <c r="I53" s="93"/>
      <c r="J53" s="83"/>
      <c r="K53" s="83"/>
      <c r="L53" s="12"/>
      <c r="M53" s="13"/>
      <c r="N53" s="14"/>
      <c r="O53" s="11"/>
      <c r="P53" s="15"/>
      <c r="Q53" s="16"/>
      <c r="R53" s="2"/>
      <c r="S53" s="12"/>
      <c r="T53" s="17"/>
      <c r="U53" s="2"/>
      <c r="V53" s="18"/>
      <c r="W53" s="8"/>
      <c r="Y53" s="149" t="s">
        <v>100</v>
      </c>
      <c r="Z53" s="152">
        <f t="shared" si="1"/>
        <v>0</v>
      </c>
    </row>
    <row r="54" spans="2:26" ht="18" x14ac:dyDescent="0.35">
      <c r="B54" s="95"/>
      <c r="C54" s="96"/>
      <c r="D54" s="97"/>
      <c r="E54" s="98"/>
      <c r="F54" s="90"/>
      <c r="G54" s="91"/>
      <c r="H54" s="92"/>
      <c r="I54" s="93"/>
      <c r="J54" s="83"/>
      <c r="K54" s="83"/>
      <c r="L54" s="12"/>
      <c r="M54" s="13"/>
      <c r="N54" s="14"/>
      <c r="O54" s="11"/>
      <c r="P54" s="15"/>
      <c r="Q54" s="16"/>
      <c r="R54" s="2"/>
      <c r="S54" s="12"/>
      <c r="T54" s="17"/>
      <c r="U54" s="2"/>
      <c r="V54" s="18"/>
      <c r="W54" s="8"/>
      <c r="Y54" s="149" t="s">
        <v>101</v>
      </c>
      <c r="Z54" s="152">
        <f t="shared" si="1"/>
        <v>0</v>
      </c>
    </row>
    <row r="55" spans="2:26" ht="18" x14ac:dyDescent="0.35">
      <c r="B55" s="95"/>
      <c r="C55" s="96"/>
      <c r="D55" s="97"/>
      <c r="E55" s="98"/>
      <c r="F55" s="90"/>
      <c r="G55" s="91"/>
      <c r="H55" s="92"/>
      <c r="I55" s="93"/>
      <c r="J55" s="83"/>
      <c r="K55" s="83"/>
      <c r="L55" s="12"/>
      <c r="M55" s="13"/>
      <c r="N55" s="14"/>
      <c r="O55" s="11"/>
      <c r="P55" s="15"/>
      <c r="Q55" s="16"/>
      <c r="R55" s="2"/>
      <c r="S55" s="12"/>
      <c r="T55" s="17"/>
      <c r="U55" s="2"/>
      <c r="V55" s="18"/>
      <c r="W55" s="8"/>
      <c r="Y55" s="149" t="s">
        <v>102</v>
      </c>
      <c r="Z55" s="152">
        <f t="shared" si="1"/>
        <v>0</v>
      </c>
    </row>
    <row r="56" spans="2:26" ht="18" x14ac:dyDescent="0.35">
      <c r="B56" s="95"/>
      <c r="C56" s="96"/>
      <c r="D56" s="97"/>
      <c r="E56" s="98"/>
      <c r="F56" s="90"/>
      <c r="G56" s="91"/>
      <c r="H56" s="92"/>
      <c r="I56" s="93"/>
      <c r="J56" s="83"/>
      <c r="K56" s="83"/>
      <c r="L56" s="12"/>
      <c r="M56" s="13"/>
      <c r="N56" s="14"/>
      <c r="O56" s="11"/>
      <c r="P56" s="15"/>
      <c r="Q56" s="16"/>
      <c r="R56" s="2"/>
      <c r="S56" s="12"/>
      <c r="T56" s="17"/>
      <c r="U56" s="2"/>
      <c r="V56" s="18"/>
      <c r="W56" s="8"/>
      <c r="Y56" s="149" t="s">
        <v>26</v>
      </c>
      <c r="Z56" s="152">
        <f t="shared" si="1"/>
        <v>0</v>
      </c>
    </row>
    <row r="57" spans="2:26" ht="18" x14ac:dyDescent="0.35">
      <c r="B57" s="95"/>
      <c r="C57" s="96"/>
      <c r="D57" s="97"/>
      <c r="E57" s="98"/>
      <c r="F57" s="90"/>
      <c r="G57" s="91"/>
      <c r="H57" s="92"/>
      <c r="I57" s="93"/>
      <c r="J57" s="83"/>
      <c r="K57" s="83"/>
      <c r="L57" s="12"/>
      <c r="M57" s="13"/>
      <c r="N57" s="14"/>
      <c r="O57" s="11"/>
      <c r="P57" s="15"/>
      <c r="Q57" s="16"/>
      <c r="R57" s="2"/>
      <c r="S57" s="12"/>
      <c r="T57" s="17"/>
      <c r="U57" s="2"/>
      <c r="V57" s="18"/>
      <c r="W57" s="8"/>
      <c r="Y57" s="149" t="s">
        <v>27</v>
      </c>
      <c r="Z57" s="152">
        <f t="shared" si="1"/>
        <v>0</v>
      </c>
    </row>
    <row r="58" spans="2:26" ht="18" x14ac:dyDescent="0.35">
      <c r="B58" s="95"/>
      <c r="C58" s="96"/>
      <c r="D58" s="97"/>
      <c r="E58" s="98"/>
      <c r="F58" s="90"/>
      <c r="G58" s="91"/>
      <c r="H58" s="92"/>
      <c r="I58" s="93"/>
      <c r="J58" s="83"/>
      <c r="K58" s="83"/>
      <c r="L58" s="12"/>
      <c r="M58" s="13"/>
      <c r="N58" s="14"/>
      <c r="O58" s="11"/>
      <c r="P58" s="15"/>
      <c r="Q58" s="16"/>
      <c r="R58" s="2"/>
      <c r="S58" s="12"/>
      <c r="T58" s="17"/>
      <c r="U58" s="2"/>
      <c r="V58" s="18"/>
      <c r="W58" s="8"/>
      <c r="Y58" s="149" t="s">
        <v>28</v>
      </c>
      <c r="Z58" s="152">
        <f t="shared" si="1"/>
        <v>0</v>
      </c>
    </row>
    <row r="59" spans="2:26" ht="18" x14ac:dyDescent="0.35">
      <c r="B59" s="95"/>
      <c r="C59" s="96"/>
      <c r="D59" s="97"/>
      <c r="E59" s="98"/>
      <c r="F59" s="90"/>
      <c r="G59" s="91"/>
      <c r="H59" s="92"/>
      <c r="I59" s="93"/>
      <c r="J59" s="83"/>
      <c r="K59" s="83"/>
      <c r="L59" s="12"/>
      <c r="M59" s="13"/>
      <c r="N59" s="14"/>
      <c r="O59" s="11"/>
      <c r="P59" s="15"/>
      <c r="Q59" s="16"/>
      <c r="R59" s="2"/>
      <c r="S59" s="12"/>
      <c r="T59" s="17"/>
      <c r="U59" s="2"/>
      <c r="V59" s="18"/>
      <c r="W59" s="8"/>
      <c r="Y59" s="149" t="s">
        <v>29</v>
      </c>
      <c r="Z59" s="152">
        <f t="shared" si="1"/>
        <v>0</v>
      </c>
    </row>
    <row r="60" spans="2:26" ht="18" x14ac:dyDescent="0.35">
      <c r="B60" s="95"/>
      <c r="C60" s="96"/>
      <c r="D60" s="97"/>
      <c r="E60" s="98"/>
      <c r="F60" s="90"/>
      <c r="G60" s="91"/>
      <c r="H60" s="92"/>
      <c r="I60" s="93"/>
      <c r="J60" s="83"/>
      <c r="K60" s="83"/>
      <c r="L60" s="12"/>
      <c r="M60" s="13"/>
      <c r="N60" s="14"/>
      <c r="O60" s="11"/>
      <c r="P60" s="15"/>
      <c r="Q60" s="16"/>
      <c r="R60" s="2"/>
      <c r="S60" s="12"/>
      <c r="T60" s="17"/>
      <c r="U60" s="2"/>
      <c r="V60" s="18"/>
      <c r="W60" s="8"/>
      <c r="Y60" s="149" t="s">
        <v>34</v>
      </c>
      <c r="Z60" s="152">
        <f t="shared" si="1"/>
        <v>0</v>
      </c>
    </row>
    <row r="61" spans="2:26" ht="18" x14ac:dyDescent="0.35">
      <c r="B61" s="95"/>
      <c r="C61" s="96"/>
      <c r="D61" s="97"/>
      <c r="E61" s="98"/>
      <c r="F61" s="90"/>
      <c r="G61" s="91"/>
      <c r="H61" s="92"/>
      <c r="I61" s="93"/>
      <c r="J61" s="83"/>
      <c r="K61" s="83"/>
      <c r="L61" s="12"/>
      <c r="M61" s="13"/>
      <c r="N61" s="14"/>
      <c r="O61" s="11"/>
      <c r="P61" s="15"/>
      <c r="Q61" s="16"/>
      <c r="R61" s="2"/>
      <c r="S61" s="12"/>
      <c r="T61" s="17"/>
      <c r="U61" s="2"/>
      <c r="V61" s="18"/>
      <c r="W61" s="8"/>
      <c r="Y61" s="149" t="s">
        <v>35</v>
      </c>
      <c r="Z61" s="152">
        <f t="shared" si="1"/>
        <v>0</v>
      </c>
    </row>
    <row r="62" spans="2:26" ht="18" x14ac:dyDescent="0.35">
      <c r="B62" s="95"/>
      <c r="C62" s="96"/>
      <c r="D62" s="97"/>
      <c r="E62" s="98"/>
      <c r="F62" s="90"/>
      <c r="G62" s="91"/>
      <c r="H62" s="92"/>
      <c r="I62" s="93"/>
      <c r="J62" s="83"/>
      <c r="K62" s="83"/>
      <c r="L62" s="12"/>
      <c r="M62" s="13"/>
      <c r="N62" s="14"/>
      <c r="O62" s="11"/>
      <c r="P62" s="15"/>
      <c r="Q62" s="16"/>
      <c r="R62" s="2"/>
      <c r="S62" s="12"/>
      <c r="T62" s="17"/>
      <c r="U62" s="2"/>
      <c r="V62" s="18"/>
      <c r="W62" s="8"/>
      <c r="Y62" s="149" t="s">
        <v>36</v>
      </c>
      <c r="Z62" s="152">
        <f t="shared" si="1"/>
        <v>0</v>
      </c>
    </row>
    <row r="63" spans="2:26" ht="18" x14ac:dyDescent="0.35">
      <c r="B63" s="95"/>
      <c r="C63" s="96"/>
      <c r="D63" s="97"/>
      <c r="E63" s="98"/>
      <c r="F63" s="90"/>
      <c r="G63" s="91"/>
      <c r="H63" s="92"/>
      <c r="I63" s="93"/>
      <c r="J63" s="83"/>
      <c r="K63" s="83"/>
      <c r="L63" s="12"/>
      <c r="M63" s="13"/>
      <c r="N63" s="14"/>
      <c r="O63" s="11"/>
      <c r="P63" s="15"/>
      <c r="Q63" s="16"/>
      <c r="R63" s="2"/>
      <c r="S63" s="12"/>
      <c r="T63" s="17"/>
      <c r="U63" s="2"/>
      <c r="V63" s="18"/>
      <c r="W63" s="8"/>
      <c r="Y63" s="149" t="s">
        <v>37</v>
      </c>
      <c r="Z63" s="152">
        <f t="shared" si="1"/>
        <v>0</v>
      </c>
    </row>
    <row r="64" spans="2:26" ht="18" x14ac:dyDescent="0.35">
      <c r="B64" s="95"/>
      <c r="C64" s="96"/>
      <c r="D64" s="97"/>
      <c r="E64" s="98"/>
      <c r="F64" s="90"/>
      <c r="G64" s="91"/>
      <c r="H64" s="92"/>
      <c r="I64" s="93"/>
      <c r="J64" s="83"/>
      <c r="K64" s="83"/>
      <c r="L64" s="12"/>
      <c r="M64" s="13"/>
      <c r="N64" s="14"/>
      <c r="O64" s="11"/>
      <c r="P64" s="15"/>
      <c r="Q64" s="16"/>
      <c r="R64" s="2"/>
      <c r="S64" s="12"/>
      <c r="T64" s="17"/>
      <c r="U64" s="2"/>
      <c r="V64" s="18"/>
      <c r="W64" s="8"/>
      <c r="Y64" s="149" t="s">
        <v>38</v>
      </c>
      <c r="Z64" s="152">
        <f t="shared" si="1"/>
        <v>0</v>
      </c>
    </row>
    <row r="65" spans="2:26" ht="18" x14ac:dyDescent="0.35">
      <c r="B65" s="95"/>
      <c r="C65" s="96"/>
      <c r="D65" s="97"/>
      <c r="E65" s="98"/>
      <c r="F65" s="99"/>
      <c r="G65" s="100"/>
      <c r="H65" s="101"/>
      <c r="I65" s="102"/>
      <c r="J65" s="83"/>
      <c r="K65" s="83"/>
      <c r="L65" s="12"/>
      <c r="M65" s="13"/>
      <c r="N65" s="14"/>
      <c r="O65" s="11"/>
      <c r="P65" s="15"/>
      <c r="Q65" s="16"/>
      <c r="R65" s="2"/>
      <c r="S65" s="12"/>
      <c r="T65" s="17"/>
      <c r="U65" s="2"/>
      <c r="V65" s="18"/>
      <c r="W65" s="8"/>
      <c r="Y65" s="149" t="s">
        <v>40</v>
      </c>
      <c r="Z65" s="152">
        <f t="shared" si="1"/>
        <v>0</v>
      </c>
    </row>
    <row r="66" spans="2:26" ht="18" x14ac:dyDescent="0.35">
      <c r="B66" s="95"/>
      <c r="C66" s="96"/>
      <c r="D66" s="97"/>
      <c r="E66" s="98"/>
      <c r="F66" s="90"/>
      <c r="G66" s="91"/>
      <c r="H66" s="92"/>
      <c r="I66" s="93"/>
      <c r="J66" s="83"/>
      <c r="K66" s="83"/>
      <c r="L66" s="12"/>
      <c r="M66" s="13"/>
      <c r="N66" s="14"/>
      <c r="O66" s="11"/>
      <c r="P66" s="15"/>
      <c r="Q66" s="16"/>
      <c r="R66" s="2"/>
      <c r="S66" s="12"/>
      <c r="T66" s="17"/>
      <c r="U66" s="2"/>
      <c r="V66" s="18"/>
      <c r="W66" s="8"/>
      <c r="Y66" s="149" t="s">
        <v>41</v>
      </c>
      <c r="Z66" s="152">
        <f t="shared" si="1"/>
        <v>0</v>
      </c>
    </row>
    <row r="67" spans="2:26" ht="18" x14ac:dyDescent="0.35">
      <c r="B67" s="95"/>
      <c r="C67" s="96"/>
      <c r="D67" s="97"/>
      <c r="E67" s="98"/>
      <c r="F67" s="103"/>
      <c r="G67" s="94"/>
      <c r="H67" s="104"/>
      <c r="I67" s="105"/>
      <c r="J67" s="83"/>
      <c r="K67" s="83"/>
      <c r="L67" s="12"/>
      <c r="M67" s="13"/>
      <c r="N67" s="14"/>
      <c r="O67" s="11"/>
      <c r="P67" s="15"/>
      <c r="Q67" s="16"/>
      <c r="R67" s="2"/>
      <c r="S67" s="12"/>
      <c r="T67" s="17"/>
      <c r="U67" s="2"/>
      <c r="V67" s="18"/>
      <c r="W67" s="8"/>
      <c r="Y67" s="149" t="s">
        <v>69</v>
      </c>
      <c r="Z67" s="152">
        <f t="shared" si="1"/>
        <v>0</v>
      </c>
    </row>
    <row r="68" spans="2:26" ht="18" x14ac:dyDescent="0.35">
      <c r="B68" s="95"/>
      <c r="C68" s="96"/>
      <c r="D68" s="97"/>
      <c r="E68" s="98"/>
      <c r="F68" s="90"/>
      <c r="G68" s="91"/>
      <c r="H68" s="92"/>
      <c r="I68" s="105"/>
      <c r="J68" s="83"/>
      <c r="K68" s="83"/>
      <c r="L68" s="12"/>
      <c r="M68" s="13"/>
      <c r="N68" s="14"/>
      <c r="O68" s="11"/>
      <c r="P68" s="15"/>
      <c r="Q68" s="16"/>
      <c r="R68" s="2"/>
      <c r="S68" s="12"/>
      <c r="T68" s="17"/>
      <c r="U68" s="2"/>
      <c r="V68" s="18"/>
      <c r="W68" s="8"/>
      <c r="Y68" s="149" t="s">
        <v>108</v>
      </c>
      <c r="Z68" s="152">
        <f t="shared" si="1"/>
        <v>0</v>
      </c>
    </row>
    <row r="69" spans="2:26" ht="18" x14ac:dyDescent="0.35">
      <c r="B69" s="95"/>
      <c r="C69" s="96"/>
      <c r="D69" s="97"/>
      <c r="E69" s="98"/>
      <c r="F69" s="90"/>
      <c r="G69" s="91"/>
      <c r="H69" s="92"/>
      <c r="I69" s="105"/>
      <c r="J69" s="83"/>
      <c r="K69" s="83"/>
      <c r="L69" s="12"/>
      <c r="M69" s="13"/>
      <c r="N69" s="14"/>
      <c r="O69" s="11"/>
      <c r="P69" s="15"/>
      <c r="Q69" s="16"/>
      <c r="R69" s="2"/>
      <c r="S69" s="12"/>
      <c r="T69" s="17"/>
      <c r="U69" s="2"/>
      <c r="V69" s="18"/>
      <c r="W69" s="8"/>
      <c r="Y69" s="149" t="s">
        <v>44</v>
      </c>
      <c r="Z69" s="152">
        <f t="shared" si="1"/>
        <v>0</v>
      </c>
    </row>
    <row r="70" spans="2:26" ht="18" x14ac:dyDescent="0.35">
      <c r="B70" s="95"/>
      <c r="C70" s="96"/>
      <c r="D70" s="97"/>
      <c r="E70" s="98"/>
      <c r="F70" s="90"/>
      <c r="G70" s="91"/>
      <c r="H70" s="92"/>
      <c r="I70" s="105"/>
      <c r="J70" s="83"/>
      <c r="K70" s="83"/>
      <c r="L70" s="12"/>
      <c r="M70" s="13"/>
      <c r="N70" s="14"/>
      <c r="O70" s="11"/>
      <c r="P70" s="15"/>
      <c r="Q70" s="16"/>
      <c r="R70" s="2"/>
      <c r="S70" s="12"/>
      <c r="T70" s="17"/>
      <c r="U70" s="2"/>
      <c r="V70" s="18"/>
      <c r="W70" s="8"/>
      <c r="Y70" s="149" t="s">
        <v>45</v>
      </c>
      <c r="Z70" s="152">
        <f t="shared" si="1"/>
        <v>0</v>
      </c>
    </row>
    <row r="71" spans="2:26" ht="18" x14ac:dyDescent="0.35">
      <c r="B71" s="95"/>
      <c r="C71" s="96"/>
      <c r="D71" s="97"/>
      <c r="E71" s="98"/>
      <c r="F71" s="90"/>
      <c r="G71" s="91"/>
      <c r="H71" s="92"/>
      <c r="I71" s="105"/>
      <c r="J71" s="83"/>
      <c r="K71" s="83"/>
      <c r="L71" s="12"/>
      <c r="M71" s="13"/>
      <c r="N71" s="14"/>
      <c r="O71" s="11"/>
      <c r="P71" s="15"/>
      <c r="Q71" s="16"/>
      <c r="R71" s="2"/>
      <c r="S71" s="12"/>
      <c r="T71" s="17"/>
      <c r="U71" s="2"/>
      <c r="V71" s="18"/>
      <c r="W71" s="8"/>
      <c r="Y71" s="149" t="s">
        <v>49</v>
      </c>
      <c r="Z71" s="152">
        <f t="shared" si="1"/>
        <v>0</v>
      </c>
    </row>
    <row r="72" spans="2:26" ht="18" x14ac:dyDescent="0.35">
      <c r="B72" s="106"/>
      <c r="C72" s="107"/>
      <c r="D72" s="108"/>
      <c r="E72" s="109"/>
      <c r="F72" s="90"/>
      <c r="G72" s="91"/>
      <c r="H72" s="92"/>
      <c r="I72" s="105"/>
      <c r="J72" s="83"/>
      <c r="K72" s="83"/>
      <c r="L72" s="12"/>
      <c r="M72" s="13"/>
      <c r="N72" s="14"/>
      <c r="O72" s="11"/>
      <c r="P72" s="15"/>
      <c r="Q72" s="16"/>
      <c r="R72" s="2"/>
      <c r="S72" s="12"/>
      <c r="T72" s="17"/>
      <c r="U72" s="2"/>
      <c r="V72" s="18"/>
      <c r="W72" s="8"/>
      <c r="Y72" s="149" t="s">
        <v>50</v>
      </c>
      <c r="Z72" s="152">
        <f t="shared" si="1"/>
        <v>0</v>
      </c>
    </row>
    <row r="73" spans="2:26" ht="18" x14ac:dyDescent="0.35">
      <c r="B73" s="95"/>
      <c r="C73" s="96"/>
      <c r="D73" s="97"/>
      <c r="E73" s="98"/>
      <c r="F73" s="90"/>
      <c r="G73" s="91"/>
      <c r="H73" s="92"/>
      <c r="I73" s="105"/>
      <c r="J73" s="83"/>
      <c r="K73" s="83"/>
      <c r="L73" s="20"/>
      <c r="M73" s="21"/>
      <c r="N73" s="22"/>
      <c r="O73" s="19"/>
      <c r="P73" s="23"/>
      <c r="Q73" s="24"/>
      <c r="R73" s="2"/>
      <c r="S73" s="20"/>
      <c r="T73" s="25"/>
      <c r="U73" s="2"/>
      <c r="V73" s="26"/>
      <c r="W73" s="27"/>
      <c r="Y73" s="149" t="s">
        <v>51</v>
      </c>
      <c r="Z73" s="152">
        <f t="shared" si="1"/>
        <v>0</v>
      </c>
    </row>
    <row r="74" spans="2:26" ht="18" x14ac:dyDescent="0.35">
      <c r="B74" s="110"/>
      <c r="C74" s="111"/>
      <c r="D74" s="112"/>
      <c r="E74" s="113"/>
      <c r="F74" s="90"/>
      <c r="G74" s="91"/>
      <c r="H74" s="92"/>
      <c r="I74" s="105"/>
      <c r="J74" s="83"/>
      <c r="K74" s="83"/>
      <c r="L74" s="12"/>
      <c r="M74" s="28"/>
      <c r="N74" s="14"/>
      <c r="O74" s="11"/>
      <c r="P74" s="11"/>
      <c r="Q74" s="16"/>
      <c r="R74" s="2"/>
      <c r="S74" s="12"/>
      <c r="T74" s="17"/>
      <c r="U74" s="2"/>
      <c r="V74" s="18"/>
      <c r="W74" s="16"/>
      <c r="Y74" s="149" t="s">
        <v>52</v>
      </c>
      <c r="Z74" s="152">
        <f t="shared" si="1"/>
        <v>0</v>
      </c>
    </row>
    <row r="75" spans="2:26" ht="18" x14ac:dyDescent="0.35">
      <c r="B75" s="95"/>
      <c r="C75" s="96"/>
      <c r="D75" s="97"/>
      <c r="E75" s="113"/>
      <c r="F75" s="90"/>
      <c r="G75" s="91"/>
      <c r="H75" s="92"/>
      <c r="I75" s="105"/>
      <c r="J75" s="83"/>
      <c r="K75" s="83"/>
      <c r="L75" s="12"/>
      <c r="M75" s="28"/>
      <c r="N75" s="14"/>
      <c r="O75" s="11"/>
      <c r="P75" s="11"/>
      <c r="Q75" s="16"/>
      <c r="R75" s="2"/>
      <c r="S75" s="12"/>
      <c r="T75" s="17"/>
      <c r="U75" s="2"/>
      <c r="V75" s="18"/>
      <c r="W75" s="16"/>
      <c r="Y75" s="149" t="s">
        <v>72</v>
      </c>
      <c r="Z75" s="152">
        <f t="shared" si="1"/>
        <v>0</v>
      </c>
    </row>
    <row r="76" spans="2:26" ht="18" x14ac:dyDescent="0.35">
      <c r="B76" s="95"/>
      <c r="C76" s="96"/>
      <c r="D76" s="97"/>
      <c r="E76" s="113"/>
      <c r="F76" s="90"/>
      <c r="G76" s="91"/>
      <c r="H76" s="92"/>
      <c r="I76" s="105"/>
      <c r="J76" s="83"/>
      <c r="K76" s="83"/>
      <c r="L76" s="12"/>
      <c r="M76" s="28"/>
      <c r="N76" s="14"/>
      <c r="O76" s="11"/>
      <c r="P76" s="11"/>
      <c r="Q76" s="16"/>
      <c r="R76" s="2"/>
      <c r="S76" s="12"/>
      <c r="T76" s="17"/>
      <c r="U76" s="2"/>
      <c r="V76" s="18"/>
      <c r="W76" s="16"/>
      <c r="Y76" s="149" t="s">
        <v>71</v>
      </c>
      <c r="Z76" s="152">
        <f t="shared" si="1"/>
        <v>0</v>
      </c>
    </row>
    <row r="77" spans="2:26" ht="18" x14ac:dyDescent="0.35">
      <c r="B77" s="95"/>
      <c r="C77" s="96"/>
      <c r="D77" s="97"/>
      <c r="E77" s="113"/>
      <c r="F77" s="90"/>
      <c r="G77" s="91"/>
      <c r="H77" s="92"/>
      <c r="I77" s="105"/>
      <c r="J77" s="83"/>
      <c r="K77" s="83"/>
      <c r="L77" s="12"/>
      <c r="M77" s="28"/>
      <c r="N77" s="14"/>
      <c r="O77" s="11"/>
      <c r="P77" s="11"/>
      <c r="Q77" s="16"/>
      <c r="R77" s="2"/>
      <c r="S77" s="12"/>
      <c r="T77" s="17"/>
      <c r="U77" s="2"/>
      <c r="V77" s="18"/>
      <c r="W77" s="16"/>
      <c r="Y77" s="149" t="s">
        <v>53</v>
      </c>
      <c r="Z77" s="152">
        <f t="shared" ref="Z77:Z79" si="2">SUMIF($G$9:$G$129, Y77, $F$9:$F$129)</f>
        <v>0</v>
      </c>
    </row>
    <row r="78" spans="2:26" ht="18" x14ac:dyDescent="0.35">
      <c r="B78" s="95"/>
      <c r="C78" s="96"/>
      <c r="D78" s="97"/>
      <c r="E78" s="113"/>
      <c r="F78" s="90"/>
      <c r="G78" s="91"/>
      <c r="H78" s="92"/>
      <c r="I78" s="105"/>
      <c r="J78" s="83"/>
      <c r="K78" s="83"/>
      <c r="L78" s="12"/>
      <c r="M78" s="28"/>
      <c r="N78" s="14"/>
      <c r="O78" s="11"/>
      <c r="P78" s="11"/>
      <c r="Q78" s="16"/>
      <c r="R78" s="2"/>
      <c r="S78" s="12"/>
      <c r="T78" s="17"/>
      <c r="U78" s="2"/>
      <c r="V78" s="18"/>
      <c r="W78" s="16"/>
      <c r="Y78" s="149" t="s">
        <v>54</v>
      </c>
      <c r="Z78" s="152">
        <f t="shared" si="2"/>
        <v>0</v>
      </c>
    </row>
    <row r="79" spans="2:26" ht="18.600000000000001" thickBot="1" x14ac:dyDescent="0.4">
      <c r="B79" s="95"/>
      <c r="C79" s="96"/>
      <c r="D79" s="97"/>
      <c r="E79" s="113"/>
      <c r="F79" s="90"/>
      <c r="G79" s="91"/>
      <c r="H79" s="92"/>
      <c r="I79" s="105"/>
      <c r="J79" s="83"/>
      <c r="K79" s="83"/>
      <c r="L79" s="12"/>
      <c r="M79" s="28"/>
      <c r="N79" s="14"/>
      <c r="O79" s="11"/>
      <c r="P79" s="11"/>
      <c r="Q79" s="16"/>
      <c r="R79" s="2"/>
      <c r="S79" s="12"/>
      <c r="T79" s="17"/>
      <c r="U79" s="2"/>
      <c r="V79" s="18"/>
      <c r="W79" s="16"/>
      <c r="Y79" s="150" t="s">
        <v>55</v>
      </c>
      <c r="Z79" s="153">
        <f t="shared" si="2"/>
        <v>0</v>
      </c>
    </row>
    <row r="80" spans="2:26" ht="18" x14ac:dyDescent="0.35">
      <c r="B80" s="95"/>
      <c r="C80" s="96"/>
      <c r="D80" s="97"/>
      <c r="E80" s="113"/>
      <c r="F80" s="90"/>
      <c r="G80" s="91"/>
      <c r="H80" s="92"/>
      <c r="I80" s="105"/>
      <c r="J80" s="83"/>
      <c r="K80" s="83"/>
      <c r="L80" s="12"/>
      <c r="M80" s="28"/>
      <c r="N80" s="14"/>
      <c r="O80" s="11"/>
      <c r="P80" s="11"/>
      <c r="Q80" s="16"/>
      <c r="R80" s="2"/>
      <c r="S80" s="12"/>
      <c r="T80" s="17"/>
      <c r="U80" s="2"/>
      <c r="V80" s="18"/>
      <c r="W80" s="16"/>
    </row>
    <row r="81" spans="2:23" ht="18" x14ac:dyDescent="0.35">
      <c r="B81" s="95"/>
      <c r="C81" s="96"/>
      <c r="D81" s="97"/>
      <c r="E81" s="113"/>
      <c r="F81" s="90"/>
      <c r="G81" s="91"/>
      <c r="H81" s="92"/>
      <c r="I81" s="105"/>
      <c r="J81" s="83"/>
      <c r="K81" s="83"/>
      <c r="L81" s="12"/>
      <c r="M81" s="28"/>
      <c r="N81" s="14"/>
      <c r="O81" s="11"/>
      <c r="P81" s="11"/>
      <c r="Q81" s="16"/>
      <c r="R81" s="2"/>
      <c r="S81" s="12"/>
      <c r="T81" s="17"/>
      <c r="U81" s="2"/>
      <c r="V81" s="18"/>
      <c r="W81" s="16"/>
    </row>
    <row r="82" spans="2:23" ht="18" x14ac:dyDescent="0.35">
      <c r="B82" s="95"/>
      <c r="C82" s="96"/>
      <c r="D82" s="97"/>
      <c r="E82" s="113"/>
      <c r="F82" s="90"/>
      <c r="G82" s="91"/>
      <c r="H82" s="92"/>
      <c r="I82" s="105"/>
      <c r="J82" s="83"/>
      <c r="K82" s="83"/>
      <c r="L82" s="12"/>
      <c r="M82" s="28"/>
      <c r="N82" s="14"/>
      <c r="O82" s="11"/>
      <c r="P82" s="11"/>
      <c r="Q82" s="16"/>
      <c r="R82" s="2"/>
      <c r="S82" s="12"/>
      <c r="T82" s="17"/>
      <c r="U82" s="2"/>
      <c r="V82" s="18"/>
      <c r="W82" s="16"/>
    </row>
    <row r="83" spans="2:23" ht="18" x14ac:dyDescent="0.35">
      <c r="B83" s="95"/>
      <c r="C83" s="96"/>
      <c r="D83" s="97"/>
      <c r="E83" s="113"/>
      <c r="F83" s="90"/>
      <c r="G83" s="91"/>
      <c r="H83" s="92"/>
      <c r="I83" s="105"/>
      <c r="J83" s="83"/>
      <c r="K83" s="83"/>
      <c r="L83" s="12"/>
      <c r="M83" s="28"/>
      <c r="N83" s="14"/>
      <c r="O83" s="11"/>
      <c r="P83" s="11"/>
      <c r="Q83" s="16"/>
      <c r="R83" s="2"/>
      <c r="S83" s="12"/>
      <c r="T83" s="17"/>
      <c r="U83" s="2"/>
      <c r="V83" s="18"/>
      <c r="W83" s="16"/>
    </row>
    <row r="84" spans="2:23" ht="18" x14ac:dyDescent="0.35">
      <c r="B84" s="95"/>
      <c r="C84" s="96"/>
      <c r="D84" s="97"/>
      <c r="E84" s="113"/>
      <c r="F84" s="90"/>
      <c r="G84" s="91"/>
      <c r="H84" s="92"/>
      <c r="I84" s="105"/>
      <c r="J84" s="83"/>
      <c r="K84" s="83"/>
      <c r="L84" s="12"/>
      <c r="M84" s="28"/>
      <c r="N84" s="14"/>
      <c r="O84" s="11"/>
      <c r="P84" s="11"/>
      <c r="Q84" s="16"/>
      <c r="R84" s="2"/>
      <c r="S84" s="12"/>
      <c r="T84" s="17"/>
      <c r="U84" s="2"/>
      <c r="V84" s="18"/>
      <c r="W84" s="16"/>
    </row>
    <row r="85" spans="2:23" ht="18" x14ac:dyDescent="0.35">
      <c r="B85" s="95"/>
      <c r="C85" s="96"/>
      <c r="D85" s="97"/>
      <c r="E85" s="113"/>
      <c r="F85" s="90"/>
      <c r="G85" s="91"/>
      <c r="H85" s="92"/>
      <c r="I85" s="105"/>
      <c r="J85" s="83"/>
      <c r="K85" s="83"/>
      <c r="L85" s="12"/>
      <c r="M85" s="28"/>
      <c r="N85" s="14"/>
      <c r="O85" s="11"/>
      <c r="P85" s="11"/>
      <c r="Q85" s="16"/>
      <c r="R85" s="2"/>
      <c r="S85" s="12"/>
      <c r="T85" s="17"/>
      <c r="U85" s="2"/>
      <c r="V85" s="18"/>
      <c r="W85" s="16"/>
    </row>
    <row r="86" spans="2:23" ht="18" x14ac:dyDescent="0.35">
      <c r="B86" s="95"/>
      <c r="C86" s="96"/>
      <c r="D86" s="97"/>
      <c r="E86" s="113"/>
      <c r="F86" s="90"/>
      <c r="G86" s="91"/>
      <c r="H86" s="92"/>
      <c r="I86" s="105"/>
      <c r="J86" s="83"/>
      <c r="K86" s="83"/>
      <c r="L86" s="12"/>
      <c r="M86" s="28"/>
      <c r="N86" s="14"/>
      <c r="O86" s="11"/>
      <c r="P86" s="11"/>
      <c r="Q86" s="16"/>
      <c r="R86" s="2"/>
      <c r="S86" s="12"/>
      <c r="T86" s="17"/>
      <c r="U86" s="2"/>
      <c r="V86" s="18"/>
      <c r="W86" s="16"/>
    </row>
    <row r="87" spans="2:23" ht="18" x14ac:dyDescent="0.35">
      <c r="B87" s="95"/>
      <c r="C87" s="96"/>
      <c r="D87" s="97"/>
      <c r="E87" s="113"/>
      <c r="F87" s="90"/>
      <c r="G87" s="91"/>
      <c r="H87" s="92"/>
      <c r="I87" s="105"/>
      <c r="J87" s="83"/>
      <c r="K87" s="83"/>
      <c r="L87" s="12"/>
      <c r="M87" s="28"/>
      <c r="N87" s="14"/>
      <c r="O87" s="11"/>
      <c r="P87" s="11"/>
      <c r="Q87" s="16"/>
      <c r="R87" s="2"/>
      <c r="S87" s="12"/>
      <c r="T87" s="17"/>
      <c r="U87" s="2"/>
      <c r="V87" s="18"/>
      <c r="W87" s="16"/>
    </row>
    <row r="88" spans="2:23" ht="18" x14ac:dyDescent="0.35">
      <c r="B88" s="95"/>
      <c r="C88" s="96"/>
      <c r="D88" s="97"/>
      <c r="E88" s="113"/>
      <c r="F88" s="90"/>
      <c r="G88" s="91"/>
      <c r="H88" s="92"/>
      <c r="I88" s="105"/>
      <c r="J88" s="83"/>
      <c r="K88" s="83"/>
      <c r="L88" s="12"/>
      <c r="M88" s="28"/>
      <c r="N88" s="14"/>
      <c r="O88" s="11"/>
      <c r="P88" s="11"/>
      <c r="Q88" s="16"/>
      <c r="R88" s="2"/>
      <c r="S88" s="12"/>
      <c r="T88" s="17"/>
      <c r="U88" s="2"/>
      <c r="V88" s="18"/>
      <c r="W88" s="16"/>
    </row>
    <row r="89" spans="2:23" ht="18" x14ac:dyDescent="0.35">
      <c r="B89" s="95"/>
      <c r="C89" s="96"/>
      <c r="D89" s="97"/>
      <c r="E89" s="113"/>
      <c r="F89" s="90"/>
      <c r="G89" s="91"/>
      <c r="H89" s="92"/>
      <c r="I89" s="105"/>
      <c r="J89" s="83"/>
      <c r="K89" s="83"/>
      <c r="L89" s="12"/>
      <c r="M89" s="28"/>
      <c r="N89" s="14"/>
      <c r="O89" s="11"/>
      <c r="P89" s="11"/>
      <c r="Q89" s="16"/>
      <c r="R89" s="2"/>
      <c r="S89" s="12"/>
      <c r="T89" s="17"/>
      <c r="U89" s="2"/>
      <c r="V89" s="18"/>
      <c r="W89" s="16"/>
    </row>
    <row r="90" spans="2:23" ht="18" x14ac:dyDescent="0.35">
      <c r="B90" s="95"/>
      <c r="C90" s="96"/>
      <c r="D90" s="97"/>
      <c r="E90" s="113"/>
      <c r="F90" s="90"/>
      <c r="G90" s="91"/>
      <c r="H90" s="92"/>
      <c r="I90" s="105"/>
      <c r="J90" s="83"/>
      <c r="K90" s="83"/>
      <c r="L90" s="12"/>
      <c r="M90" s="28"/>
      <c r="N90" s="14"/>
      <c r="O90" s="11"/>
      <c r="P90" s="11"/>
      <c r="Q90" s="16"/>
      <c r="R90" s="2"/>
      <c r="S90" s="12"/>
      <c r="T90" s="17"/>
      <c r="U90" s="2"/>
      <c r="V90" s="18"/>
      <c r="W90" s="16"/>
    </row>
    <row r="91" spans="2:23" ht="18" x14ac:dyDescent="0.35">
      <c r="B91" s="95"/>
      <c r="C91" s="96"/>
      <c r="D91" s="97"/>
      <c r="E91" s="113"/>
      <c r="F91" s="90"/>
      <c r="G91" s="91"/>
      <c r="H91" s="92"/>
      <c r="I91" s="105"/>
      <c r="J91" s="83"/>
      <c r="K91" s="83"/>
      <c r="L91" s="12"/>
      <c r="M91" s="28"/>
      <c r="N91" s="14"/>
      <c r="O91" s="11"/>
      <c r="P91" s="11"/>
      <c r="Q91" s="16"/>
      <c r="R91" s="2"/>
      <c r="S91" s="12"/>
      <c r="T91" s="17"/>
      <c r="U91" s="2"/>
      <c r="V91" s="18"/>
      <c r="W91" s="16"/>
    </row>
    <row r="92" spans="2:23" ht="18" x14ac:dyDescent="0.35">
      <c r="B92" s="95"/>
      <c r="C92" s="96"/>
      <c r="D92" s="97"/>
      <c r="E92" s="113"/>
      <c r="F92" s="90"/>
      <c r="G92" s="91"/>
      <c r="H92" s="92"/>
      <c r="I92" s="105"/>
      <c r="J92" s="83"/>
      <c r="K92" s="83"/>
      <c r="L92" s="12"/>
      <c r="M92" s="28"/>
      <c r="N92" s="14"/>
      <c r="O92" s="11"/>
      <c r="P92" s="11"/>
      <c r="Q92" s="16"/>
      <c r="R92" s="2"/>
      <c r="S92" s="12"/>
      <c r="T92" s="17"/>
      <c r="U92" s="2"/>
      <c r="V92" s="18"/>
      <c r="W92" s="16"/>
    </row>
    <row r="93" spans="2:23" ht="18" x14ac:dyDescent="0.35">
      <c r="B93" s="95"/>
      <c r="C93" s="96"/>
      <c r="D93" s="97"/>
      <c r="E93" s="113"/>
      <c r="F93" s="90"/>
      <c r="G93" s="91"/>
      <c r="H93" s="92"/>
      <c r="I93" s="105"/>
      <c r="J93" s="83"/>
      <c r="K93" s="83"/>
      <c r="L93" s="12"/>
      <c r="M93" s="28"/>
      <c r="N93" s="14"/>
      <c r="O93" s="11"/>
      <c r="P93" s="11"/>
      <c r="Q93" s="16"/>
      <c r="R93" s="2"/>
      <c r="S93" s="12"/>
      <c r="T93" s="17"/>
      <c r="U93" s="2"/>
      <c r="V93" s="18"/>
      <c r="W93" s="16"/>
    </row>
    <row r="94" spans="2:23" ht="18" x14ac:dyDescent="0.35">
      <c r="B94" s="95"/>
      <c r="C94" s="96"/>
      <c r="D94" s="97"/>
      <c r="E94" s="113"/>
      <c r="F94" s="90"/>
      <c r="G94" s="91"/>
      <c r="H94" s="92"/>
      <c r="I94" s="105"/>
      <c r="J94" s="83"/>
      <c r="K94" s="83"/>
      <c r="L94" s="12"/>
      <c r="M94" s="28"/>
      <c r="N94" s="14"/>
      <c r="O94" s="11"/>
      <c r="P94" s="11"/>
      <c r="Q94" s="16"/>
      <c r="R94" s="2"/>
      <c r="S94" s="12"/>
      <c r="T94" s="17"/>
      <c r="U94" s="2"/>
      <c r="V94" s="18"/>
      <c r="W94" s="16"/>
    </row>
    <row r="95" spans="2:23" ht="18" x14ac:dyDescent="0.35">
      <c r="B95" s="95"/>
      <c r="C95" s="96"/>
      <c r="D95" s="97"/>
      <c r="E95" s="113"/>
      <c r="F95" s="90"/>
      <c r="G95" s="91"/>
      <c r="H95" s="92"/>
      <c r="I95" s="105"/>
      <c r="J95" s="83"/>
      <c r="K95" s="83"/>
      <c r="L95" s="12"/>
      <c r="M95" s="28"/>
      <c r="N95" s="14"/>
      <c r="O95" s="11"/>
      <c r="P95" s="11"/>
      <c r="Q95" s="16"/>
      <c r="R95" s="2"/>
      <c r="S95" s="12"/>
      <c r="T95" s="17"/>
      <c r="U95" s="2"/>
      <c r="V95" s="18"/>
      <c r="W95" s="16"/>
    </row>
    <row r="96" spans="2:23" ht="18" x14ac:dyDescent="0.35">
      <c r="B96" s="95"/>
      <c r="C96" s="96"/>
      <c r="D96" s="97"/>
      <c r="E96" s="113"/>
      <c r="F96" s="90"/>
      <c r="G96" s="91"/>
      <c r="H96" s="92"/>
      <c r="I96" s="105"/>
      <c r="J96" s="83"/>
      <c r="K96" s="83"/>
      <c r="L96" s="12"/>
      <c r="M96" s="28"/>
      <c r="N96" s="14"/>
      <c r="O96" s="11"/>
      <c r="P96" s="11"/>
      <c r="Q96" s="16"/>
      <c r="R96" s="2"/>
      <c r="S96" s="12"/>
      <c r="T96" s="17"/>
      <c r="U96" s="2"/>
      <c r="V96" s="18"/>
      <c r="W96" s="16"/>
    </row>
    <row r="97" spans="2:23" ht="18" x14ac:dyDescent="0.35">
      <c r="B97" s="95"/>
      <c r="C97" s="96"/>
      <c r="D97" s="97"/>
      <c r="E97" s="113"/>
      <c r="F97" s="90"/>
      <c r="G97" s="91"/>
      <c r="H97" s="92"/>
      <c r="I97" s="105"/>
      <c r="J97" s="83"/>
      <c r="K97" s="83"/>
      <c r="L97" s="12"/>
      <c r="M97" s="28"/>
      <c r="N97" s="14"/>
      <c r="O97" s="11"/>
      <c r="P97" s="11"/>
      <c r="Q97" s="16"/>
      <c r="R97" s="2"/>
      <c r="S97" s="12"/>
      <c r="T97" s="17"/>
      <c r="U97" s="2"/>
      <c r="V97" s="18"/>
      <c r="W97" s="16"/>
    </row>
    <row r="98" spans="2:23" ht="18" x14ac:dyDescent="0.35">
      <c r="B98" s="95"/>
      <c r="C98" s="96"/>
      <c r="D98" s="97"/>
      <c r="E98" s="113"/>
      <c r="F98" s="90"/>
      <c r="G98" s="91"/>
      <c r="H98" s="92"/>
      <c r="I98" s="105"/>
      <c r="J98" s="83"/>
      <c r="K98" s="83"/>
      <c r="L98" s="12"/>
      <c r="M98" s="28"/>
      <c r="N98" s="14"/>
      <c r="O98" s="11"/>
      <c r="P98" s="11"/>
      <c r="Q98" s="16"/>
      <c r="R98" s="2"/>
      <c r="S98" s="12"/>
      <c r="T98" s="17"/>
      <c r="U98" s="2"/>
      <c r="V98" s="18"/>
      <c r="W98" s="16"/>
    </row>
    <row r="99" spans="2:23" ht="18" x14ac:dyDescent="0.35">
      <c r="B99" s="95"/>
      <c r="C99" s="96"/>
      <c r="D99" s="97"/>
      <c r="E99" s="113"/>
      <c r="F99" s="90"/>
      <c r="G99" s="91"/>
      <c r="H99" s="92"/>
      <c r="I99" s="105"/>
      <c r="J99" s="83"/>
      <c r="K99" s="83"/>
      <c r="L99" s="12"/>
      <c r="M99" s="28"/>
      <c r="N99" s="14"/>
      <c r="O99" s="11"/>
      <c r="P99" s="11"/>
      <c r="Q99" s="16"/>
      <c r="R99" s="2"/>
      <c r="S99" s="12"/>
      <c r="T99" s="17"/>
      <c r="U99" s="2"/>
      <c r="V99" s="18"/>
      <c r="W99" s="16"/>
    </row>
    <row r="100" spans="2:23" ht="18" x14ac:dyDescent="0.35">
      <c r="B100" s="95"/>
      <c r="C100" s="96"/>
      <c r="D100" s="97"/>
      <c r="E100" s="113"/>
      <c r="F100" s="90"/>
      <c r="G100" s="91"/>
      <c r="H100" s="92"/>
      <c r="I100" s="105"/>
      <c r="J100" s="83"/>
      <c r="K100" s="83"/>
      <c r="L100" s="12"/>
      <c r="M100" s="28"/>
      <c r="N100" s="14"/>
      <c r="O100" s="11"/>
      <c r="P100" s="11"/>
      <c r="Q100" s="16"/>
      <c r="R100" s="2"/>
      <c r="S100" s="12"/>
      <c r="T100" s="17"/>
      <c r="U100" s="2"/>
      <c r="V100" s="18"/>
      <c r="W100" s="16"/>
    </row>
    <row r="101" spans="2:23" ht="18" x14ac:dyDescent="0.35">
      <c r="B101" s="95"/>
      <c r="C101" s="96"/>
      <c r="D101" s="97"/>
      <c r="E101" s="113"/>
      <c r="F101" s="90"/>
      <c r="G101" s="91"/>
      <c r="H101" s="92"/>
      <c r="I101" s="105"/>
      <c r="J101" s="83"/>
      <c r="K101" s="83"/>
      <c r="L101" s="12"/>
      <c r="M101" s="28"/>
      <c r="N101" s="14"/>
      <c r="O101" s="11"/>
      <c r="P101" s="11"/>
      <c r="Q101" s="16"/>
      <c r="R101" s="2"/>
      <c r="S101" s="12"/>
      <c r="T101" s="17"/>
      <c r="U101" s="2"/>
      <c r="V101" s="18"/>
      <c r="W101" s="16"/>
    </row>
    <row r="102" spans="2:23" ht="18" x14ac:dyDescent="0.35">
      <c r="B102" s="95"/>
      <c r="C102" s="96"/>
      <c r="D102" s="97"/>
      <c r="E102" s="113"/>
      <c r="F102" s="90"/>
      <c r="G102" s="91"/>
      <c r="H102" s="92"/>
      <c r="I102" s="105"/>
      <c r="J102" s="83"/>
      <c r="K102" s="83"/>
      <c r="L102" s="12"/>
      <c r="M102" s="28"/>
      <c r="N102" s="14"/>
      <c r="O102" s="11"/>
      <c r="P102" s="11"/>
      <c r="Q102" s="16"/>
      <c r="R102" s="2"/>
      <c r="S102" s="12"/>
      <c r="T102" s="17"/>
      <c r="U102" s="2"/>
      <c r="V102" s="18"/>
      <c r="W102" s="16"/>
    </row>
    <row r="103" spans="2:23" ht="18" x14ac:dyDescent="0.35">
      <c r="B103" s="95"/>
      <c r="C103" s="96"/>
      <c r="D103" s="97"/>
      <c r="E103" s="113"/>
      <c r="F103" s="90"/>
      <c r="G103" s="91"/>
      <c r="H103" s="92"/>
      <c r="I103" s="105"/>
      <c r="J103" s="83"/>
      <c r="K103" s="83"/>
      <c r="L103" s="12"/>
      <c r="M103" s="28"/>
      <c r="N103" s="14"/>
      <c r="O103" s="11"/>
      <c r="P103" s="11"/>
      <c r="Q103" s="16"/>
      <c r="R103" s="2"/>
      <c r="S103" s="12"/>
      <c r="T103" s="17"/>
      <c r="U103" s="2"/>
      <c r="V103" s="18"/>
      <c r="W103" s="16"/>
    </row>
    <row r="104" spans="2:23" ht="18" x14ac:dyDescent="0.35">
      <c r="B104" s="95"/>
      <c r="C104" s="96"/>
      <c r="D104" s="97"/>
      <c r="E104" s="113"/>
      <c r="F104" s="90"/>
      <c r="G104" s="91"/>
      <c r="H104" s="92"/>
      <c r="I104" s="105"/>
      <c r="J104" s="83"/>
      <c r="K104" s="83"/>
      <c r="L104" s="12"/>
      <c r="M104" s="28"/>
      <c r="N104" s="14"/>
      <c r="O104" s="11"/>
      <c r="P104" s="11"/>
      <c r="Q104" s="16"/>
      <c r="R104" s="2"/>
      <c r="S104" s="12"/>
      <c r="T104" s="17"/>
      <c r="U104" s="2"/>
      <c r="V104" s="18"/>
      <c r="W104" s="16"/>
    </row>
    <row r="105" spans="2:23" ht="18" x14ac:dyDescent="0.35">
      <c r="B105" s="95"/>
      <c r="C105" s="96"/>
      <c r="D105" s="97"/>
      <c r="E105" s="113"/>
      <c r="F105" s="90"/>
      <c r="G105" s="91"/>
      <c r="H105" s="92"/>
      <c r="I105" s="105"/>
      <c r="J105" s="83"/>
      <c r="K105" s="83"/>
      <c r="L105" s="12"/>
      <c r="M105" s="28"/>
      <c r="N105" s="14"/>
      <c r="O105" s="11"/>
      <c r="P105" s="11"/>
      <c r="Q105" s="16"/>
      <c r="R105" s="2"/>
      <c r="S105" s="12"/>
      <c r="T105" s="17"/>
      <c r="U105" s="2"/>
      <c r="V105" s="18"/>
      <c r="W105" s="16"/>
    </row>
    <row r="106" spans="2:23" ht="18" x14ac:dyDescent="0.35">
      <c r="B106" s="95"/>
      <c r="C106" s="96"/>
      <c r="D106" s="97"/>
      <c r="E106" s="113"/>
      <c r="F106" s="90"/>
      <c r="G106" s="91"/>
      <c r="H106" s="92"/>
      <c r="I106" s="105"/>
      <c r="J106" s="83"/>
      <c r="K106" s="83"/>
      <c r="L106" s="12"/>
      <c r="M106" s="28"/>
      <c r="N106" s="14"/>
      <c r="O106" s="11"/>
      <c r="P106" s="11"/>
      <c r="Q106" s="16"/>
      <c r="R106" s="2"/>
      <c r="S106" s="12"/>
      <c r="T106" s="17"/>
      <c r="U106" s="2"/>
      <c r="V106" s="18"/>
      <c r="W106" s="16"/>
    </row>
    <row r="107" spans="2:23" ht="18" x14ac:dyDescent="0.35">
      <c r="B107" s="95"/>
      <c r="C107" s="96"/>
      <c r="D107" s="97"/>
      <c r="E107" s="113"/>
      <c r="F107" s="90"/>
      <c r="G107" s="91"/>
      <c r="H107" s="92"/>
      <c r="I107" s="105"/>
      <c r="J107" s="83"/>
      <c r="K107" s="83"/>
      <c r="L107" s="12"/>
      <c r="M107" s="28"/>
      <c r="N107" s="14"/>
      <c r="O107" s="11"/>
      <c r="P107" s="11"/>
      <c r="Q107" s="16"/>
      <c r="R107" s="2"/>
      <c r="S107" s="12"/>
      <c r="T107" s="17"/>
      <c r="U107" s="2"/>
      <c r="V107" s="18"/>
      <c r="W107" s="16"/>
    </row>
    <row r="108" spans="2:23" ht="18" x14ac:dyDescent="0.35">
      <c r="B108" s="95"/>
      <c r="C108" s="96"/>
      <c r="D108" s="97"/>
      <c r="E108" s="113"/>
      <c r="F108" s="90"/>
      <c r="G108" s="91"/>
      <c r="H108" s="92"/>
      <c r="I108" s="105"/>
      <c r="J108" s="83"/>
      <c r="K108" s="83"/>
      <c r="L108" s="12"/>
      <c r="M108" s="28"/>
      <c r="N108" s="14"/>
      <c r="O108" s="11"/>
      <c r="P108" s="11"/>
      <c r="Q108" s="16"/>
      <c r="R108" s="2"/>
      <c r="S108" s="12"/>
      <c r="T108" s="17"/>
      <c r="U108" s="2"/>
      <c r="V108" s="18"/>
      <c r="W108" s="16"/>
    </row>
    <row r="109" spans="2:23" ht="18" x14ac:dyDescent="0.35">
      <c r="B109" s="95"/>
      <c r="C109" s="96"/>
      <c r="D109" s="97"/>
      <c r="E109" s="113"/>
      <c r="F109" s="90"/>
      <c r="G109" s="91"/>
      <c r="H109" s="92"/>
      <c r="I109" s="105"/>
      <c r="J109" s="83"/>
      <c r="K109" s="83"/>
      <c r="L109" s="12"/>
      <c r="M109" s="28"/>
      <c r="N109" s="14"/>
      <c r="O109" s="11"/>
      <c r="P109" s="11"/>
      <c r="Q109" s="16"/>
      <c r="R109" s="2"/>
      <c r="S109" s="12"/>
      <c r="T109" s="17"/>
      <c r="U109" s="2"/>
      <c r="V109" s="18"/>
      <c r="W109" s="16"/>
    </row>
    <row r="110" spans="2:23" ht="18" x14ac:dyDescent="0.35">
      <c r="B110" s="95"/>
      <c r="C110" s="96"/>
      <c r="D110" s="97"/>
      <c r="E110" s="113"/>
      <c r="F110" s="90"/>
      <c r="G110" s="91"/>
      <c r="H110" s="92"/>
      <c r="I110" s="105"/>
      <c r="J110" s="83"/>
      <c r="K110" s="83"/>
      <c r="L110" s="12"/>
      <c r="M110" s="28"/>
      <c r="N110" s="14"/>
      <c r="O110" s="11"/>
      <c r="P110" s="11"/>
      <c r="Q110" s="16"/>
      <c r="R110" s="2"/>
      <c r="S110" s="12"/>
      <c r="T110" s="17"/>
      <c r="U110" s="2"/>
      <c r="V110" s="18"/>
      <c r="W110" s="16"/>
    </row>
    <row r="111" spans="2:23" ht="18" x14ac:dyDescent="0.35">
      <c r="B111" s="95"/>
      <c r="C111" s="96"/>
      <c r="D111" s="97"/>
      <c r="E111" s="113"/>
      <c r="F111" s="90"/>
      <c r="G111" s="91"/>
      <c r="H111" s="92"/>
      <c r="I111" s="105"/>
      <c r="J111" s="83"/>
      <c r="K111" s="83"/>
      <c r="L111" s="12"/>
      <c r="M111" s="28"/>
      <c r="N111" s="14"/>
      <c r="O111" s="11"/>
      <c r="P111" s="11"/>
      <c r="Q111" s="16"/>
      <c r="R111" s="2"/>
      <c r="S111" s="12"/>
      <c r="T111" s="17"/>
      <c r="U111" s="2"/>
      <c r="V111" s="18"/>
      <c r="W111" s="16"/>
    </row>
    <row r="112" spans="2:23" ht="18" x14ac:dyDescent="0.35">
      <c r="B112" s="95"/>
      <c r="C112" s="96"/>
      <c r="D112" s="97"/>
      <c r="E112" s="113"/>
      <c r="F112" s="90"/>
      <c r="G112" s="91"/>
      <c r="H112" s="92"/>
      <c r="I112" s="105"/>
      <c r="J112" s="83"/>
      <c r="K112" s="83"/>
      <c r="L112" s="12"/>
      <c r="M112" s="28"/>
      <c r="N112" s="14"/>
      <c r="O112" s="11"/>
      <c r="P112" s="11"/>
      <c r="Q112" s="16"/>
      <c r="R112" s="2"/>
      <c r="S112" s="12"/>
      <c r="T112" s="17"/>
      <c r="U112" s="2"/>
      <c r="V112" s="18"/>
      <c r="W112" s="16"/>
    </row>
    <row r="113" spans="2:23" ht="18" x14ac:dyDescent="0.35">
      <c r="B113" s="95"/>
      <c r="C113" s="96"/>
      <c r="D113" s="97"/>
      <c r="E113" s="113"/>
      <c r="F113" s="90"/>
      <c r="G113" s="91"/>
      <c r="H113" s="92"/>
      <c r="I113" s="105"/>
      <c r="J113" s="83"/>
      <c r="K113" s="83"/>
      <c r="L113" s="12"/>
      <c r="M113" s="28"/>
      <c r="N113" s="14"/>
      <c r="O113" s="11"/>
      <c r="P113" s="11"/>
      <c r="Q113" s="16"/>
      <c r="R113" s="2"/>
      <c r="S113" s="12"/>
      <c r="T113" s="17"/>
      <c r="U113" s="2"/>
      <c r="V113" s="18"/>
      <c r="W113" s="16"/>
    </row>
    <row r="114" spans="2:23" ht="18" x14ac:dyDescent="0.35">
      <c r="B114" s="95"/>
      <c r="C114" s="96"/>
      <c r="D114" s="97"/>
      <c r="E114" s="113"/>
      <c r="F114" s="90"/>
      <c r="G114" s="91"/>
      <c r="H114" s="92"/>
      <c r="I114" s="105"/>
      <c r="J114" s="83"/>
      <c r="K114" s="83"/>
      <c r="L114" s="12"/>
      <c r="M114" s="28"/>
      <c r="N114" s="14"/>
      <c r="O114" s="11"/>
      <c r="P114" s="11"/>
      <c r="Q114" s="16"/>
      <c r="R114" s="2"/>
      <c r="S114" s="12"/>
      <c r="T114" s="17"/>
      <c r="U114" s="2"/>
      <c r="V114" s="18"/>
      <c r="W114" s="16"/>
    </row>
    <row r="115" spans="2:23" ht="18" x14ac:dyDescent="0.35">
      <c r="B115" s="95"/>
      <c r="C115" s="96"/>
      <c r="D115" s="97"/>
      <c r="E115" s="113"/>
      <c r="F115" s="90"/>
      <c r="G115" s="91"/>
      <c r="H115" s="92"/>
      <c r="I115" s="105"/>
      <c r="J115" s="83"/>
      <c r="K115" s="83"/>
      <c r="L115" s="12"/>
      <c r="M115" s="28"/>
      <c r="N115" s="14"/>
      <c r="O115" s="11"/>
      <c r="P115" s="11"/>
      <c r="Q115" s="16"/>
      <c r="R115" s="2"/>
      <c r="S115" s="12"/>
      <c r="T115" s="17"/>
      <c r="U115" s="2"/>
      <c r="V115" s="18"/>
      <c r="W115" s="16"/>
    </row>
    <row r="116" spans="2:23" ht="18" x14ac:dyDescent="0.35">
      <c r="B116" s="95"/>
      <c r="C116" s="96"/>
      <c r="D116" s="97"/>
      <c r="E116" s="113"/>
      <c r="F116" s="90"/>
      <c r="G116" s="91"/>
      <c r="H116" s="92"/>
      <c r="I116" s="105"/>
      <c r="J116" s="83"/>
      <c r="K116" s="83"/>
      <c r="L116" s="12"/>
      <c r="M116" s="28"/>
      <c r="N116" s="14"/>
      <c r="O116" s="11"/>
      <c r="P116" s="11"/>
      <c r="Q116" s="16"/>
      <c r="R116" s="2"/>
      <c r="S116" s="12"/>
      <c r="T116" s="17"/>
      <c r="U116" s="2"/>
      <c r="V116" s="18"/>
      <c r="W116" s="16"/>
    </row>
    <row r="117" spans="2:23" ht="18" x14ac:dyDescent="0.35">
      <c r="B117" s="95"/>
      <c r="C117" s="96"/>
      <c r="D117" s="97"/>
      <c r="E117" s="113"/>
      <c r="F117" s="90"/>
      <c r="G117" s="91"/>
      <c r="H117" s="92"/>
      <c r="I117" s="105"/>
      <c r="J117" s="83"/>
      <c r="K117" s="83"/>
      <c r="L117" s="12"/>
      <c r="M117" s="28"/>
      <c r="N117" s="14"/>
      <c r="O117" s="11"/>
      <c r="P117" s="11"/>
      <c r="Q117" s="16"/>
      <c r="R117" s="2"/>
      <c r="S117" s="12"/>
      <c r="T117" s="17"/>
      <c r="U117" s="2"/>
      <c r="V117" s="18"/>
      <c r="W117" s="16"/>
    </row>
    <row r="118" spans="2:23" ht="18" x14ac:dyDescent="0.35">
      <c r="B118" s="95"/>
      <c r="C118" s="96"/>
      <c r="D118" s="97"/>
      <c r="E118" s="113"/>
      <c r="F118" s="90"/>
      <c r="G118" s="91"/>
      <c r="H118" s="92"/>
      <c r="I118" s="105"/>
      <c r="J118" s="83"/>
      <c r="K118" s="83"/>
      <c r="L118" s="12"/>
      <c r="M118" s="28"/>
      <c r="N118" s="14"/>
      <c r="O118" s="11"/>
      <c r="P118" s="11"/>
      <c r="Q118" s="16"/>
      <c r="R118" s="2"/>
      <c r="S118" s="12"/>
      <c r="T118" s="17"/>
      <c r="U118" s="2"/>
      <c r="V118" s="18"/>
      <c r="W118" s="16"/>
    </row>
    <row r="119" spans="2:23" ht="18" x14ac:dyDescent="0.35">
      <c r="B119" s="95"/>
      <c r="C119" s="96"/>
      <c r="D119" s="97"/>
      <c r="E119" s="113"/>
      <c r="F119" s="90"/>
      <c r="G119" s="91"/>
      <c r="H119" s="92"/>
      <c r="I119" s="105"/>
      <c r="J119" s="83"/>
      <c r="K119" s="83"/>
      <c r="L119" s="12"/>
      <c r="M119" s="28"/>
      <c r="N119" s="14"/>
      <c r="O119" s="11"/>
      <c r="P119" s="11"/>
      <c r="Q119" s="16"/>
      <c r="R119" s="2"/>
      <c r="S119" s="12"/>
      <c r="T119" s="17"/>
      <c r="U119" s="2"/>
      <c r="V119" s="18"/>
      <c r="W119" s="16"/>
    </row>
    <row r="120" spans="2:23" ht="18" x14ac:dyDescent="0.35">
      <c r="B120" s="95"/>
      <c r="C120" s="96"/>
      <c r="D120" s="97"/>
      <c r="E120" s="113"/>
      <c r="F120" s="90"/>
      <c r="G120" s="91"/>
      <c r="H120" s="92"/>
      <c r="I120" s="105"/>
      <c r="J120" s="83"/>
      <c r="K120" s="83"/>
      <c r="L120" s="12"/>
      <c r="M120" s="28"/>
      <c r="N120" s="14"/>
      <c r="O120" s="11"/>
      <c r="P120" s="11"/>
      <c r="Q120" s="16"/>
      <c r="R120" s="2"/>
      <c r="S120" s="12"/>
      <c r="T120" s="17"/>
      <c r="U120" s="2"/>
      <c r="V120" s="18"/>
      <c r="W120" s="16"/>
    </row>
    <row r="121" spans="2:23" ht="18" x14ac:dyDescent="0.35">
      <c r="B121" s="95"/>
      <c r="C121" s="96"/>
      <c r="D121" s="97"/>
      <c r="E121" s="113"/>
      <c r="F121" s="90"/>
      <c r="G121" s="91"/>
      <c r="H121" s="92"/>
      <c r="I121" s="105"/>
      <c r="J121" s="83"/>
      <c r="K121" s="83"/>
      <c r="L121" s="12"/>
      <c r="M121" s="28"/>
      <c r="N121" s="14"/>
      <c r="O121" s="11"/>
      <c r="P121" s="11"/>
      <c r="Q121" s="16"/>
      <c r="R121" s="2"/>
      <c r="S121" s="12"/>
      <c r="T121" s="17"/>
      <c r="U121" s="2"/>
      <c r="V121" s="18"/>
      <c r="W121" s="16"/>
    </row>
    <row r="122" spans="2:23" ht="18" x14ac:dyDescent="0.35">
      <c r="B122" s="95"/>
      <c r="C122" s="96"/>
      <c r="D122" s="97"/>
      <c r="E122" s="113"/>
      <c r="F122" s="99"/>
      <c r="G122" s="100"/>
      <c r="H122" s="101"/>
      <c r="I122" s="105"/>
      <c r="J122" s="83"/>
      <c r="K122" s="83"/>
      <c r="L122" s="12"/>
      <c r="M122" s="28"/>
      <c r="N122" s="14"/>
      <c r="O122" s="11"/>
      <c r="P122" s="11"/>
      <c r="Q122" s="16"/>
      <c r="R122" s="2"/>
      <c r="S122" s="12"/>
      <c r="T122" s="17"/>
      <c r="U122" s="2"/>
      <c r="V122" s="18"/>
      <c r="W122" s="16"/>
    </row>
    <row r="123" spans="2:23" ht="18" x14ac:dyDescent="0.35">
      <c r="B123" s="95"/>
      <c r="C123" s="96"/>
      <c r="D123" s="97"/>
      <c r="E123" s="113"/>
      <c r="F123" s="99"/>
      <c r="G123" s="100"/>
      <c r="H123" s="101"/>
      <c r="I123" s="105"/>
      <c r="J123" s="83"/>
      <c r="K123" s="83"/>
      <c r="L123" s="12"/>
      <c r="M123" s="28"/>
      <c r="N123" s="14"/>
      <c r="O123" s="11"/>
      <c r="P123" s="11"/>
      <c r="Q123" s="16"/>
      <c r="R123" s="2"/>
      <c r="S123" s="12"/>
      <c r="T123" s="17"/>
      <c r="U123" s="2"/>
      <c r="V123" s="18"/>
      <c r="W123" s="16"/>
    </row>
    <row r="124" spans="2:23" ht="18" x14ac:dyDescent="0.35">
      <c r="B124" s="95"/>
      <c r="C124" s="96"/>
      <c r="D124" s="97"/>
      <c r="E124" s="113"/>
      <c r="F124" s="99"/>
      <c r="G124" s="100"/>
      <c r="H124" s="101"/>
      <c r="I124" s="105"/>
      <c r="J124" s="83"/>
      <c r="K124" s="83"/>
      <c r="L124" s="12"/>
      <c r="M124" s="28"/>
      <c r="N124" s="14"/>
      <c r="O124" s="11"/>
      <c r="P124" s="11"/>
      <c r="Q124" s="16"/>
      <c r="R124" s="2"/>
      <c r="S124" s="12"/>
      <c r="T124" s="17"/>
      <c r="U124" s="2"/>
      <c r="V124" s="18"/>
      <c r="W124" s="16"/>
    </row>
    <row r="125" spans="2:23" ht="18" x14ac:dyDescent="0.35">
      <c r="B125" s="95"/>
      <c r="C125" s="96"/>
      <c r="D125" s="97"/>
      <c r="E125" s="113"/>
      <c r="F125" s="99"/>
      <c r="G125" s="100"/>
      <c r="H125" s="101"/>
      <c r="I125" s="105"/>
      <c r="J125" s="83"/>
      <c r="K125" s="83"/>
      <c r="L125" s="12"/>
      <c r="M125" s="28"/>
      <c r="N125" s="14"/>
      <c r="O125" s="11"/>
      <c r="P125" s="11"/>
      <c r="Q125" s="16"/>
      <c r="R125" s="2"/>
      <c r="S125" s="12"/>
      <c r="T125" s="17"/>
      <c r="U125" s="2"/>
      <c r="V125" s="18"/>
      <c r="W125" s="16"/>
    </row>
    <row r="126" spans="2:23" ht="18" x14ac:dyDescent="0.35">
      <c r="B126" s="95"/>
      <c r="C126" s="96"/>
      <c r="D126" s="97"/>
      <c r="E126" s="113"/>
      <c r="F126" s="99"/>
      <c r="G126" s="100"/>
      <c r="H126" s="101"/>
      <c r="I126" s="105"/>
      <c r="J126" s="83"/>
      <c r="K126" s="83"/>
      <c r="L126" s="12"/>
      <c r="M126" s="28"/>
      <c r="N126" s="14"/>
      <c r="O126" s="11"/>
      <c r="P126" s="11"/>
      <c r="Q126" s="16"/>
      <c r="R126" s="2"/>
      <c r="S126" s="12"/>
      <c r="T126" s="17"/>
      <c r="U126" s="2"/>
      <c r="V126" s="18"/>
      <c r="W126" s="16"/>
    </row>
    <row r="127" spans="2:23" ht="18" x14ac:dyDescent="0.35">
      <c r="B127" s="95"/>
      <c r="C127" s="96"/>
      <c r="D127" s="97"/>
      <c r="E127" s="113"/>
      <c r="F127" s="99"/>
      <c r="G127" s="100"/>
      <c r="H127" s="101"/>
      <c r="I127" s="105"/>
      <c r="J127" s="83"/>
      <c r="K127" s="83"/>
      <c r="L127" s="12"/>
      <c r="M127" s="28"/>
      <c r="N127" s="14"/>
      <c r="O127" s="11"/>
      <c r="P127" s="11"/>
      <c r="Q127" s="16"/>
      <c r="R127" s="2"/>
      <c r="S127" s="12"/>
      <c r="T127" s="17"/>
      <c r="U127" s="2"/>
      <c r="V127" s="18"/>
      <c r="W127" s="16"/>
    </row>
    <row r="128" spans="2:23" ht="18" x14ac:dyDescent="0.35">
      <c r="B128" s="95"/>
      <c r="C128" s="96"/>
      <c r="D128" s="97"/>
      <c r="E128" s="113"/>
      <c r="F128" s="99"/>
      <c r="G128" s="100"/>
      <c r="H128" s="101"/>
      <c r="I128" s="105"/>
      <c r="J128" s="83"/>
      <c r="K128" s="83"/>
      <c r="L128" s="12"/>
      <c r="M128" s="28"/>
      <c r="N128" s="14"/>
      <c r="O128" s="11"/>
      <c r="P128" s="11"/>
      <c r="Q128" s="16"/>
      <c r="R128" s="2"/>
      <c r="S128" s="12"/>
      <c r="T128" s="17"/>
      <c r="U128" s="2"/>
      <c r="V128" s="18"/>
      <c r="W128" s="16"/>
    </row>
    <row r="129" spans="1:23" ht="18.600000000000001" thickBot="1" x14ac:dyDescent="0.4">
      <c r="B129" s="114"/>
      <c r="C129" s="115"/>
      <c r="D129" s="116"/>
      <c r="E129" s="113"/>
      <c r="F129" s="117"/>
      <c r="G129" s="118"/>
      <c r="H129" s="119"/>
      <c r="I129" s="105"/>
      <c r="J129" s="83"/>
      <c r="K129" s="83"/>
      <c r="L129" s="30"/>
      <c r="M129" s="31"/>
      <c r="N129" s="32"/>
      <c r="O129" s="29"/>
      <c r="P129" s="29"/>
      <c r="Q129" s="33"/>
      <c r="R129" s="2"/>
      <c r="S129" s="30"/>
      <c r="T129" s="34"/>
      <c r="U129" s="2"/>
      <c r="V129" s="35"/>
      <c r="W129" s="33"/>
    </row>
    <row r="130" spans="1:23" ht="18.600000000000001" thickBot="1" x14ac:dyDescent="0.4">
      <c r="A130" s="120" t="s">
        <v>15</v>
      </c>
      <c r="B130" s="121">
        <f>SUM(B9:B129)</f>
        <v>1140</v>
      </c>
      <c r="C130" s="122"/>
      <c r="D130" s="121"/>
      <c r="E130" s="123">
        <f>SUM(E9:E129)</f>
        <v>2400</v>
      </c>
      <c r="F130" s="124">
        <f>SUM(F9:F129)</f>
        <v>1033</v>
      </c>
      <c r="G130" s="82"/>
      <c r="H130" s="125"/>
      <c r="I130" s="125">
        <f>SUM(I9:I129)</f>
        <v>2136</v>
      </c>
      <c r="J130" s="83"/>
      <c r="K130" s="83"/>
      <c r="L130" s="126"/>
      <c r="M130" s="126">
        <f>SUM(M9:M129)</f>
        <v>0</v>
      </c>
      <c r="N130" s="127">
        <f>SUM(N9:N129)</f>
        <v>0</v>
      </c>
      <c r="O130" s="82"/>
      <c r="P130" s="82">
        <f>SUM(P9:P129)</f>
        <v>0</v>
      </c>
      <c r="Q130" s="128">
        <f>SUM(Q9:Q129)</f>
        <v>0</v>
      </c>
      <c r="R130" s="83"/>
      <c r="S130" s="84"/>
      <c r="T130" s="129">
        <f>SUM(T9:T129)</f>
        <v>0</v>
      </c>
      <c r="U130" s="83"/>
      <c r="V130" s="82"/>
      <c r="W130" s="130">
        <f>SUM(W9:W129)</f>
        <v>0</v>
      </c>
    </row>
  </sheetData>
  <sheetProtection algorithmName="SHA-512" hashValue="m//sGIa5apQPT0FwW3B6oD5Md6u7rrioXlOiUo2syj8MKaYMLXbSG5BMkxC1ahhVcr1G/72CWJ25HpQYj0149g==" saltValue="IMdnOuKHyf/x3l2RoLJAfg==" spinCount="100000" sheet="1" objects="1" scenarios="1"/>
  <mergeCells count="8">
    <mergeCell ref="V5:W5"/>
    <mergeCell ref="Y5:Z5"/>
    <mergeCell ref="E1:G1"/>
    <mergeCell ref="B2:C2"/>
    <mergeCell ref="B3:C3"/>
    <mergeCell ref="B5:I5"/>
    <mergeCell ref="L5:Q5"/>
    <mergeCell ref="S5:T5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5FBCB5-CD67-4F16-A3BB-79D16E94C15E}">
  <sheetPr codeName="Sheet45"/>
  <dimension ref="A1:Z130"/>
  <sheetViews>
    <sheetView zoomScale="80" zoomScaleNormal="80" workbookViewId="0">
      <selection activeCell="E15" sqref="E15"/>
    </sheetView>
  </sheetViews>
  <sheetFormatPr defaultColWidth="9.109375" defaultRowHeight="14.4" x14ac:dyDescent="0.3"/>
  <cols>
    <col min="1" max="1" width="15.5546875" style="36" customWidth="1"/>
    <col min="2" max="2" width="15.88671875" style="36" customWidth="1"/>
    <col min="3" max="3" width="20" style="76" customWidth="1"/>
    <col min="4" max="4" width="20.33203125" style="36" customWidth="1"/>
    <col min="5" max="5" width="22.33203125" style="36" customWidth="1"/>
    <col min="6" max="6" width="14.6640625" style="36" customWidth="1"/>
    <col min="7" max="7" width="22" style="76" customWidth="1"/>
    <col min="8" max="8" width="18.88671875" style="36" customWidth="1"/>
    <col min="9" max="9" width="23" style="36" customWidth="1"/>
    <col min="10" max="11" width="9.109375" style="36"/>
    <col min="12" max="12" width="20.6640625" style="76" customWidth="1"/>
    <col min="13" max="13" width="15.44140625" style="76" customWidth="1"/>
    <col min="14" max="14" width="22.6640625" style="36" customWidth="1"/>
    <col min="15" max="15" width="20.5546875" style="76" customWidth="1"/>
    <col min="16" max="16" width="13.33203125" style="76" customWidth="1"/>
    <col min="17" max="17" width="21.5546875" style="76" customWidth="1"/>
    <col min="18" max="18" width="9.109375" style="36"/>
    <col min="19" max="19" width="22" style="76" customWidth="1"/>
    <col min="20" max="20" width="22.33203125" style="76" customWidth="1"/>
    <col min="21" max="21" width="9.109375" style="36"/>
    <col min="22" max="22" width="21.88671875" style="76" customWidth="1"/>
    <col min="23" max="23" width="23.109375" style="76" customWidth="1"/>
    <col min="24" max="24" width="9.109375" style="36"/>
    <col min="25" max="25" width="21.33203125" style="36" customWidth="1"/>
    <col min="26" max="26" width="21.88671875" style="36" customWidth="1"/>
    <col min="27" max="16384" width="9.109375" style="36"/>
  </cols>
  <sheetData>
    <row r="1" spans="2:26" ht="21" x14ac:dyDescent="0.4">
      <c r="E1" s="189">
        <v>44181</v>
      </c>
      <c r="F1" s="189"/>
      <c r="G1" s="189"/>
    </row>
    <row r="2" spans="2:26" ht="18" x14ac:dyDescent="0.35">
      <c r="B2" s="190" t="s">
        <v>0</v>
      </c>
      <c r="C2" s="190"/>
      <c r="D2" s="1"/>
    </row>
    <row r="3" spans="2:26" ht="18" x14ac:dyDescent="0.35">
      <c r="B3" s="190" t="s">
        <v>1</v>
      </c>
      <c r="C3" s="190"/>
      <c r="D3" s="77">
        <f>(D2-E130-I130)</f>
        <v>0</v>
      </c>
    </row>
    <row r="5" spans="2:26" ht="36.6" x14ac:dyDescent="0.7">
      <c r="B5" s="187" t="s">
        <v>2</v>
      </c>
      <c r="C5" s="187"/>
      <c r="D5" s="187"/>
      <c r="E5" s="187"/>
      <c r="F5" s="187"/>
      <c r="G5" s="187"/>
      <c r="H5" s="187"/>
      <c r="I5" s="187"/>
      <c r="L5" s="187" t="s">
        <v>3</v>
      </c>
      <c r="M5" s="187"/>
      <c r="N5" s="187"/>
      <c r="O5" s="187"/>
      <c r="P5" s="187"/>
      <c r="Q5" s="187"/>
      <c r="S5" s="191" t="s">
        <v>4</v>
      </c>
      <c r="T5" s="191"/>
      <c r="V5" s="187" t="s">
        <v>5</v>
      </c>
      <c r="W5" s="187"/>
      <c r="Y5" s="188" t="s">
        <v>105</v>
      </c>
      <c r="Z5" s="187"/>
    </row>
    <row r="7" spans="2:26" ht="15" thickBot="1" x14ac:dyDescent="0.35"/>
    <row r="8" spans="2:26" ht="18.600000000000001" thickBot="1" x14ac:dyDescent="0.4">
      <c r="B8" s="78" t="s">
        <v>6</v>
      </c>
      <c r="C8" s="79" t="s">
        <v>7</v>
      </c>
      <c r="D8" s="78" t="s">
        <v>8</v>
      </c>
      <c r="E8" s="80" t="s">
        <v>9</v>
      </c>
      <c r="F8" s="81" t="s">
        <v>6</v>
      </c>
      <c r="G8" s="81" t="s">
        <v>10</v>
      </c>
      <c r="H8" s="81" t="s">
        <v>8</v>
      </c>
      <c r="I8" s="82" t="s">
        <v>9</v>
      </c>
      <c r="J8" s="83"/>
      <c r="K8" s="83"/>
      <c r="L8" s="84" t="s">
        <v>11</v>
      </c>
      <c r="M8" s="84" t="s">
        <v>6</v>
      </c>
      <c r="N8" s="84" t="s">
        <v>9</v>
      </c>
      <c r="O8" s="82" t="s">
        <v>12</v>
      </c>
      <c r="P8" s="82" t="s">
        <v>6</v>
      </c>
      <c r="Q8" s="82" t="s">
        <v>9</v>
      </c>
      <c r="R8" s="83"/>
      <c r="S8" s="84" t="s">
        <v>13</v>
      </c>
      <c r="T8" s="85" t="s">
        <v>9</v>
      </c>
      <c r="U8" s="83"/>
      <c r="V8" s="82" t="s">
        <v>14</v>
      </c>
      <c r="W8" s="82" t="s">
        <v>9</v>
      </c>
      <c r="Y8" s="146" t="s">
        <v>106</v>
      </c>
      <c r="Z8" s="147" t="s">
        <v>107</v>
      </c>
    </row>
    <row r="9" spans="2:26" ht="18" x14ac:dyDescent="0.35">
      <c r="B9" s="86"/>
      <c r="C9" s="87"/>
      <c r="D9" s="88"/>
      <c r="E9" s="89"/>
      <c r="F9" s="90"/>
      <c r="G9" s="91"/>
      <c r="H9" s="92"/>
      <c r="I9" s="93"/>
      <c r="J9" s="83"/>
      <c r="K9" s="83"/>
      <c r="L9" s="3"/>
      <c r="M9" s="4"/>
      <c r="N9" s="5"/>
      <c r="O9" s="6"/>
      <c r="P9" s="7"/>
      <c r="Q9" s="8"/>
      <c r="R9" s="2"/>
      <c r="S9" s="3"/>
      <c r="T9" s="9"/>
      <c r="U9" s="2"/>
      <c r="V9" s="10"/>
      <c r="W9" s="8"/>
      <c r="Y9" s="148" t="s">
        <v>88</v>
      </c>
      <c r="Z9" s="151">
        <f>SUMIF($C$9:$C$129, Y9, $B$9:$B$129)</f>
        <v>0</v>
      </c>
    </row>
    <row r="10" spans="2:26" ht="18" x14ac:dyDescent="0.35">
      <c r="B10" s="95"/>
      <c r="C10" s="96"/>
      <c r="D10" s="97"/>
      <c r="E10" s="98"/>
      <c r="F10" s="90"/>
      <c r="G10" s="91"/>
      <c r="H10" s="92"/>
      <c r="I10" s="93"/>
      <c r="J10" s="83"/>
      <c r="K10" s="83"/>
      <c r="L10" s="12"/>
      <c r="M10" s="13"/>
      <c r="N10" s="14"/>
      <c r="O10" s="11"/>
      <c r="P10" s="15"/>
      <c r="Q10" s="16"/>
      <c r="R10" s="2"/>
      <c r="S10" s="12"/>
      <c r="T10" s="17"/>
      <c r="U10" s="2"/>
      <c r="V10" s="18"/>
      <c r="W10" s="8"/>
      <c r="Y10" s="149" t="s">
        <v>76</v>
      </c>
      <c r="Z10" s="151">
        <f t="shared" ref="Z10:Z11" si="0">SUMIF($C$9:$C$129, Y10, $B$9:$B$129)</f>
        <v>0</v>
      </c>
    </row>
    <row r="11" spans="2:26" ht="18" x14ac:dyDescent="0.35">
      <c r="B11" s="95"/>
      <c r="C11" s="96"/>
      <c r="D11" s="97"/>
      <c r="E11" s="98"/>
      <c r="F11" s="90"/>
      <c r="G11" s="91"/>
      <c r="H11" s="92"/>
      <c r="I11" s="93"/>
      <c r="J11" s="83"/>
      <c r="K11" s="83"/>
      <c r="L11" s="12"/>
      <c r="M11" s="13"/>
      <c r="N11" s="14"/>
      <c r="O11" s="11"/>
      <c r="P11" s="15"/>
      <c r="Q11" s="16"/>
      <c r="R11" s="2"/>
      <c r="S11" s="12"/>
      <c r="T11" s="17"/>
      <c r="U11" s="2"/>
      <c r="V11" s="18"/>
      <c r="W11" s="8"/>
      <c r="Y11" s="149" t="s">
        <v>77</v>
      </c>
      <c r="Z11" s="151">
        <f t="shared" si="0"/>
        <v>0</v>
      </c>
    </row>
    <row r="12" spans="2:26" ht="18" x14ac:dyDescent="0.35">
      <c r="B12" s="95"/>
      <c r="C12" s="96"/>
      <c r="D12" s="97"/>
      <c r="E12" s="98"/>
      <c r="F12" s="90"/>
      <c r="G12" s="91"/>
      <c r="H12" s="92"/>
      <c r="I12" s="93"/>
      <c r="J12" s="83"/>
      <c r="K12" s="83"/>
      <c r="L12" s="12"/>
      <c r="M12" s="13"/>
      <c r="N12" s="14"/>
      <c r="O12" s="11"/>
      <c r="P12" s="15"/>
      <c r="Q12" s="16"/>
      <c r="R12" s="2"/>
      <c r="S12" s="12"/>
      <c r="T12" s="17"/>
      <c r="U12" s="2"/>
      <c r="V12" s="18"/>
      <c r="W12" s="8"/>
      <c r="Y12" s="149" t="s">
        <v>89</v>
      </c>
      <c r="Z12" s="152">
        <f>SUMIF($G$9:$G$129, Y12, $F$9:$F$129)</f>
        <v>0</v>
      </c>
    </row>
    <row r="13" spans="2:26" ht="18" x14ac:dyDescent="0.35">
      <c r="B13" s="95"/>
      <c r="C13" s="96"/>
      <c r="D13" s="97"/>
      <c r="E13" s="98"/>
      <c r="F13" s="90"/>
      <c r="G13" s="91"/>
      <c r="H13" s="92"/>
      <c r="I13" s="93"/>
      <c r="J13" s="83"/>
      <c r="K13" s="83"/>
      <c r="L13" s="12"/>
      <c r="M13" s="13"/>
      <c r="N13" s="14"/>
      <c r="O13" s="11"/>
      <c r="P13" s="15"/>
      <c r="Q13" s="16"/>
      <c r="R13" s="2"/>
      <c r="S13" s="12"/>
      <c r="T13" s="17"/>
      <c r="U13" s="2"/>
      <c r="V13" s="18"/>
      <c r="W13" s="8"/>
      <c r="Y13" s="149" t="s">
        <v>20</v>
      </c>
      <c r="Z13" s="152">
        <f t="shared" ref="Z13:Z76" si="1">SUMIF($G$9:$G$129, Y13, $F$9:$F$129)</f>
        <v>0</v>
      </c>
    </row>
    <row r="14" spans="2:26" ht="18" x14ac:dyDescent="0.35">
      <c r="B14" s="95"/>
      <c r="C14" s="96"/>
      <c r="D14" s="97"/>
      <c r="E14" s="98"/>
      <c r="F14" s="90"/>
      <c r="G14" s="91"/>
      <c r="H14" s="92"/>
      <c r="I14" s="93"/>
      <c r="J14" s="83"/>
      <c r="K14" s="83"/>
      <c r="L14" s="12"/>
      <c r="M14" s="13"/>
      <c r="N14" s="14"/>
      <c r="O14" s="11"/>
      <c r="P14" s="15"/>
      <c r="Q14" s="16"/>
      <c r="R14" s="2"/>
      <c r="S14" s="12"/>
      <c r="T14" s="17"/>
      <c r="U14" s="2"/>
      <c r="V14" s="18"/>
      <c r="W14" s="8"/>
      <c r="Y14" s="149" t="s">
        <v>19</v>
      </c>
      <c r="Z14" s="152">
        <f t="shared" si="1"/>
        <v>0</v>
      </c>
    </row>
    <row r="15" spans="2:26" ht="18" x14ac:dyDescent="0.35">
      <c r="B15" s="95"/>
      <c r="C15" s="96"/>
      <c r="D15" s="97"/>
      <c r="E15" s="98"/>
      <c r="F15" s="90"/>
      <c r="G15" s="91"/>
      <c r="H15" s="92"/>
      <c r="I15" s="93"/>
      <c r="J15" s="83"/>
      <c r="K15" s="83"/>
      <c r="L15" s="12"/>
      <c r="M15" s="13"/>
      <c r="N15" s="14"/>
      <c r="O15" s="11"/>
      <c r="P15" s="15"/>
      <c r="Q15" s="16"/>
      <c r="R15" s="2"/>
      <c r="S15" s="12"/>
      <c r="T15" s="17"/>
      <c r="U15" s="2"/>
      <c r="V15" s="18"/>
      <c r="W15" s="8"/>
      <c r="Y15" s="149" t="s">
        <v>18</v>
      </c>
      <c r="Z15" s="152">
        <f t="shared" si="1"/>
        <v>0</v>
      </c>
    </row>
    <row r="16" spans="2:26" ht="18" x14ac:dyDescent="0.35">
      <c r="B16" s="95"/>
      <c r="C16" s="96"/>
      <c r="D16" s="97"/>
      <c r="E16" s="98"/>
      <c r="F16" s="90"/>
      <c r="G16" s="91"/>
      <c r="H16" s="92"/>
      <c r="I16" s="93"/>
      <c r="J16" s="83"/>
      <c r="K16" s="83"/>
      <c r="L16" s="12"/>
      <c r="M16" s="13"/>
      <c r="N16" s="14"/>
      <c r="O16" s="11"/>
      <c r="P16" s="15"/>
      <c r="Q16" s="16"/>
      <c r="R16" s="2"/>
      <c r="S16" s="12"/>
      <c r="T16" s="17"/>
      <c r="U16" s="2"/>
      <c r="V16" s="18"/>
      <c r="W16" s="8"/>
      <c r="Y16" s="149" t="s">
        <v>22</v>
      </c>
      <c r="Z16" s="152">
        <f t="shared" si="1"/>
        <v>0</v>
      </c>
    </row>
    <row r="17" spans="2:26" ht="18" x14ac:dyDescent="0.35">
      <c r="B17" s="95"/>
      <c r="C17" s="96"/>
      <c r="D17" s="97"/>
      <c r="E17" s="98"/>
      <c r="F17" s="90"/>
      <c r="G17" s="91"/>
      <c r="H17" s="92"/>
      <c r="I17" s="93"/>
      <c r="J17" s="83"/>
      <c r="K17" s="83"/>
      <c r="L17" s="12"/>
      <c r="M17" s="13"/>
      <c r="N17" s="14"/>
      <c r="O17" s="11"/>
      <c r="P17" s="15"/>
      <c r="Q17" s="16"/>
      <c r="R17" s="2"/>
      <c r="S17" s="12"/>
      <c r="T17" s="17"/>
      <c r="U17" s="2"/>
      <c r="V17" s="18"/>
      <c r="W17" s="8"/>
      <c r="Y17" s="149" t="s">
        <v>67</v>
      </c>
      <c r="Z17" s="152">
        <f t="shared" si="1"/>
        <v>0</v>
      </c>
    </row>
    <row r="18" spans="2:26" ht="18" x14ac:dyDescent="0.35">
      <c r="B18" s="95"/>
      <c r="C18" s="96"/>
      <c r="D18" s="97"/>
      <c r="E18" s="98"/>
      <c r="F18" s="90"/>
      <c r="G18" s="91"/>
      <c r="H18" s="92"/>
      <c r="I18" s="93"/>
      <c r="J18" s="83"/>
      <c r="K18" s="83"/>
      <c r="L18" s="12"/>
      <c r="M18" s="13"/>
      <c r="N18" s="14"/>
      <c r="O18" s="11"/>
      <c r="P18" s="15"/>
      <c r="Q18" s="16"/>
      <c r="R18" s="2"/>
      <c r="S18" s="12"/>
      <c r="T18" s="17"/>
      <c r="U18" s="2"/>
      <c r="V18" s="18"/>
      <c r="W18" s="8"/>
      <c r="Y18" s="149" t="s">
        <v>90</v>
      </c>
      <c r="Z18" s="152">
        <f t="shared" si="1"/>
        <v>0</v>
      </c>
    </row>
    <row r="19" spans="2:26" ht="18" x14ac:dyDescent="0.35">
      <c r="B19" s="95"/>
      <c r="C19" s="96"/>
      <c r="D19" s="97"/>
      <c r="E19" s="98"/>
      <c r="F19" s="90"/>
      <c r="G19" s="91"/>
      <c r="H19" s="92"/>
      <c r="I19" s="93"/>
      <c r="J19" s="83"/>
      <c r="K19" s="83"/>
      <c r="L19" s="12"/>
      <c r="M19" s="13"/>
      <c r="N19" s="14"/>
      <c r="O19" s="11"/>
      <c r="P19" s="15"/>
      <c r="Q19" s="16"/>
      <c r="R19" s="2"/>
      <c r="S19" s="12"/>
      <c r="T19" s="17"/>
      <c r="U19" s="2"/>
      <c r="V19" s="18"/>
      <c r="W19" s="8"/>
      <c r="Y19" s="149" t="s">
        <v>91</v>
      </c>
      <c r="Z19" s="152">
        <f t="shared" si="1"/>
        <v>0</v>
      </c>
    </row>
    <row r="20" spans="2:26" ht="18" x14ac:dyDescent="0.35">
      <c r="B20" s="95"/>
      <c r="C20" s="96"/>
      <c r="D20" s="97"/>
      <c r="E20" s="98"/>
      <c r="F20" s="90"/>
      <c r="G20" s="91"/>
      <c r="H20" s="92"/>
      <c r="I20" s="93"/>
      <c r="J20" s="83"/>
      <c r="K20" s="83"/>
      <c r="L20" s="12"/>
      <c r="M20" s="13"/>
      <c r="N20" s="14"/>
      <c r="O20" s="11"/>
      <c r="P20" s="15"/>
      <c r="Q20" s="16"/>
      <c r="R20" s="2"/>
      <c r="S20" s="12"/>
      <c r="T20" s="17"/>
      <c r="U20" s="2"/>
      <c r="V20" s="18"/>
      <c r="W20" s="8"/>
      <c r="Y20" s="149" t="s">
        <v>92</v>
      </c>
      <c r="Z20" s="152">
        <f t="shared" si="1"/>
        <v>0</v>
      </c>
    </row>
    <row r="21" spans="2:26" ht="18" x14ac:dyDescent="0.35">
      <c r="B21" s="95"/>
      <c r="C21" s="96"/>
      <c r="D21" s="97"/>
      <c r="E21" s="98"/>
      <c r="F21" s="90"/>
      <c r="G21" s="91"/>
      <c r="H21" s="92"/>
      <c r="I21" s="93"/>
      <c r="J21" s="83"/>
      <c r="K21" s="83"/>
      <c r="L21" s="12"/>
      <c r="M21" s="13"/>
      <c r="N21" s="14"/>
      <c r="O21" s="11"/>
      <c r="P21" s="15"/>
      <c r="Q21" s="16"/>
      <c r="R21" s="2"/>
      <c r="S21" s="12"/>
      <c r="T21" s="17"/>
      <c r="U21" s="2"/>
      <c r="V21" s="18"/>
      <c r="W21" s="8"/>
      <c r="Y21" s="149" t="s">
        <v>68</v>
      </c>
      <c r="Z21" s="152">
        <f t="shared" si="1"/>
        <v>0</v>
      </c>
    </row>
    <row r="22" spans="2:26" ht="18" x14ac:dyDescent="0.35">
      <c r="B22" s="95"/>
      <c r="C22" s="96"/>
      <c r="D22" s="97"/>
      <c r="E22" s="98"/>
      <c r="F22" s="90"/>
      <c r="G22" s="91"/>
      <c r="H22" s="92"/>
      <c r="I22" s="93"/>
      <c r="J22" s="83"/>
      <c r="K22" s="83"/>
      <c r="L22" s="12"/>
      <c r="M22" s="13"/>
      <c r="N22" s="14"/>
      <c r="O22" s="11"/>
      <c r="P22" s="15"/>
      <c r="Q22" s="16"/>
      <c r="R22" s="2"/>
      <c r="S22" s="12"/>
      <c r="T22" s="17"/>
      <c r="U22" s="2"/>
      <c r="V22" s="18"/>
      <c r="W22" s="8"/>
      <c r="Y22" s="149" t="s">
        <v>93</v>
      </c>
      <c r="Z22" s="152">
        <f t="shared" si="1"/>
        <v>0</v>
      </c>
    </row>
    <row r="23" spans="2:26" ht="18" x14ac:dyDescent="0.35">
      <c r="B23" s="95"/>
      <c r="C23" s="96"/>
      <c r="D23" s="97"/>
      <c r="E23" s="98"/>
      <c r="F23" s="90"/>
      <c r="G23" s="91"/>
      <c r="H23" s="92"/>
      <c r="I23" s="93"/>
      <c r="J23" s="83"/>
      <c r="K23" s="83"/>
      <c r="L23" s="12"/>
      <c r="M23" s="13"/>
      <c r="N23" s="14"/>
      <c r="O23" s="11"/>
      <c r="P23" s="15"/>
      <c r="Q23" s="16"/>
      <c r="R23" s="2"/>
      <c r="S23" s="12"/>
      <c r="T23" s="17"/>
      <c r="U23" s="2"/>
      <c r="V23" s="18"/>
      <c r="W23" s="8"/>
      <c r="Y23" s="149" t="s">
        <v>23</v>
      </c>
      <c r="Z23" s="152">
        <f t="shared" si="1"/>
        <v>0</v>
      </c>
    </row>
    <row r="24" spans="2:26" ht="18" x14ac:dyDescent="0.35">
      <c r="B24" s="95"/>
      <c r="C24" s="96"/>
      <c r="D24" s="97"/>
      <c r="E24" s="98"/>
      <c r="F24" s="90"/>
      <c r="G24" s="91"/>
      <c r="H24" s="92"/>
      <c r="I24" s="93"/>
      <c r="J24" s="83"/>
      <c r="K24" s="83"/>
      <c r="L24" s="12"/>
      <c r="M24" s="13"/>
      <c r="N24" s="14"/>
      <c r="O24" s="11"/>
      <c r="P24" s="15"/>
      <c r="Q24" s="16"/>
      <c r="R24" s="2"/>
      <c r="S24" s="12"/>
      <c r="T24" s="17"/>
      <c r="U24" s="2"/>
      <c r="V24" s="18"/>
      <c r="W24" s="8"/>
      <c r="Y24" s="149" t="s">
        <v>24</v>
      </c>
      <c r="Z24" s="152">
        <f t="shared" si="1"/>
        <v>0</v>
      </c>
    </row>
    <row r="25" spans="2:26" ht="18" x14ac:dyDescent="0.35">
      <c r="B25" s="95"/>
      <c r="C25" s="96"/>
      <c r="D25" s="97"/>
      <c r="E25" s="98"/>
      <c r="F25" s="90"/>
      <c r="G25" s="91"/>
      <c r="H25" s="92"/>
      <c r="I25" s="93"/>
      <c r="J25" s="83"/>
      <c r="K25" s="83"/>
      <c r="L25" s="12"/>
      <c r="M25" s="13"/>
      <c r="N25" s="14"/>
      <c r="O25" s="11"/>
      <c r="P25" s="15"/>
      <c r="Q25" s="16"/>
      <c r="R25" s="2"/>
      <c r="S25" s="12"/>
      <c r="T25" s="17"/>
      <c r="U25" s="2"/>
      <c r="V25" s="18"/>
      <c r="W25" s="8"/>
      <c r="Y25" s="149" t="s">
        <v>25</v>
      </c>
      <c r="Z25" s="152">
        <f t="shared" si="1"/>
        <v>0</v>
      </c>
    </row>
    <row r="26" spans="2:26" ht="18" x14ac:dyDescent="0.35">
      <c r="B26" s="95"/>
      <c r="C26" s="96"/>
      <c r="D26" s="97"/>
      <c r="E26" s="98"/>
      <c r="F26" s="90"/>
      <c r="G26" s="91"/>
      <c r="H26" s="92"/>
      <c r="I26" s="93"/>
      <c r="J26" s="83"/>
      <c r="K26" s="83"/>
      <c r="L26" s="12"/>
      <c r="M26" s="13"/>
      <c r="N26" s="14"/>
      <c r="O26" s="11"/>
      <c r="P26" s="15"/>
      <c r="Q26" s="16"/>
      <c r="R26" s="2"/>
      <c r="S26" s="12"/>
      <c r="T26" s="17"/>
      <c r="U26" s="2"/>
      <c r="V26" s="18"/>
      <c r="W26" s="8"/>
      <c r="Y26" s="149" t="s">
        <v>98</v>
      </c>
      <c r="Z26" s="152">
        <f t="shared" si="1"/>
        <v>0</v>
      </c>
    </row>
    <row r="27" spans="2:26" ht="18" x14ac:dyDescent="0.35">
      <c r="B27" s="95"/>
      <c r="C27" s="96"/>
      <c r="D27" s="97"/>
      <c r="E27" s="98"/>
      <c r="F27" s="90"/>
      <c r="G27" s="91"/>
      <c r="H27" s="92"/>
      <c r="I27" s="93"/>
      <c r="J27" s="83"/>
      <c r="K27" s="83"/>
      <c r="L27" s="12"/>
      <c r="M27" s="13"/>
      <c r="N27" s="14"/>
      <c r="O27" s="11"/>
      <c r="P27" s="15"/>
      <c r="Q27" s="16"/>
      <c r="R27" s="2"/>
      <c r="S27" s="12"/>
      <c r="T27" s="17"/>
      <c r="U27" s="2"/>
      <c r="V27" s="18"/>
      <c r="W27" s="8"/>
      <c r="Y27" s="149" t="s">
        <v>94</v>
      </c>
      <c r="Z27" s="152">
        <f t="shared" si="1"/>
        <v>0</v>
      </c>
    </row>
    <row r="28" spans="2:26" ht="18" x14ac:dyDescent="0.35">
      <c r="B28" s="95"/>
      <c r="C28" s="96"/>
      <c r="D28" s="97"/>
      <c r="E28" s="98"/>
      <c r="F28" s="90"/>
      <c r="G28" s="91"/>
      <c r="H28" s="92"/>
      <c r="I28" s="93"/>
      <c r="J28" s="83"/>
      <c r="K28" s="83"/>
      <c r="L28" s="12"/>
      <c r="M28" s="13"/>
      <c r="N28" s="14"/>
      <c r="O28" s="11"/>
      <c r="P28" s="15"/>
      <c r="Q28" s="16"/>
      <c r="R28" s="2"/>
      <c r="S28" s="12"/>
      <c r="T28" s="17"/>
      <c r="U28" s="2"/>
      <c r="V28" s="18"/>
      <c r="W28" s="8"/>
      <c r="Y28" s="149" t="s">
        <v>42</v>
      </c>
      <c r="Z28" s="152">
        <f t="shared" si="1"/>
        <v>0</v>
      </c>
    </row>
    <row r="29" spans="2:26" ht="18" x14ac:dyDescent="0.35">
      <c r="B29" s="95"/>
      <c r="C29" s="96"/>
      <c r="D29" s="97"/>
      <c r="E29" s="98"/>
      <c r="F29" s="90"/>
      <c r="G29" s="91"/>
      <c r="H29" s="92"/>
      <c r="I29" s="93"/>
      <c r="J29" s="83"/>
      <c r="K29" s="83"/>
      <c r="L29" s="12"/>
      <c r="M29" s="13"/>
      <c r="N29" s="14"/>
      <c r="O29" s="11"/>
      <c r="P29" s="15"/>
      <c r="Q29" s="16"/>
      <c r="R29" s="2"/>
      <c r="S29" s="12"/>
      <c r="T29" s="17"/>
      <c r="U29" s="2"/>
      <c r="V29" s="18"/>
      <c r="W29" s="8"/>
      <c r="Y29" s="149" t="s">
        <v>39</v>
      </c>
      <c r="Z29" s="152">
        <f t="shared" si="1"/>
        <v>0</v>
      </c>
    </row>
    <row r="30" spans="2:26" ht="18" x14ac:dyDescent="0.35">
      <c r="B30" s="95"/>
      <c r="C30" s="96"/>
      <c r="D30" s="97"/>
      <c r="E30" s="98"/>
      <c r="F30" s="90"/>
      <c r="G30" s="91"/>
      <c r="H30" s="92"/>
      <c r="I30" s="93"/>
      <c r="J30" s="83"/>
      <c r="K30" s="83"/>
      <c r="L30" s="12"/>
      <c r="M30" s="13"/>
      <c r="N30" s="14"/>
      <c r="O30" s="11"/>
      <c r="P30" s="15"/>
      <c r="Q30" s="16"/>
      <c r="R30" s="2"/>
      <c r="S30" s="12"/>
      <c r="T30" s="17"/>
      <c r="U30" s="2"/>
      <c r="V30" s="18"/>
      <c r="W30" s="8"/>
      <c r="Y30" s="149" t="s">
        <v>99</v>
      </c>
      <c r="Z30" s="152">
        <f t="shared" si="1"/>
        <v>0</v>
      </c>
    </row>
    <row r="31" spans="2:26" ht="18" x14ac:dyDescent="0.35">
      <c r="B31" s="95"/>
      <c r="C31" s="96"/>
      <c r="D31" s="97"/>
      <c r="E31" s="98"/>
      <c r="F31" s="90"/>
      <c r="G31" s="91"/>
      <c r="H31" s="92"/>
      <c r="I31" s="93"/>
      <c r="J31" s="83"/>
      <c r="K31" s="83"/>
      <c r="L31" s="12"/>
      <c r="M31" s="13"/>
      <c r="N31" s="14"/>
      <c r="O31" s="11"/>
      <c r="P31" s="15"/>
      <c r="Q31" s="16"/>
      <c r="R31" s="2"/>
      <c r="S31" s="12"/>
      <c r="T31" s="17"/>
      <c r="U31" s="2"/>
      <c r="V31" s="18"/>
      <c r="W31" s="8"/>
      <c r="Y31" s="149" t="s">
        <v>95</v>
      </c>
      <c r="Z31" s="152">
        <f t="shared" si="1"/>
        <v>0</v>
      </c>
    </row>
    <row r="32" spans="2:26" ht="18" x14ac:dyDescent="0.35">
      <c r="B32" s="95"/>
      <c r="C32" s="96"/>
      <c r="D32" s="97"/>
      <c r="E32" s="98"/>
      <c r="F32" s="90"/>
      <c r="G32" s="91"/>
      <c r="H32" s="92"/>
      <c r="I32" s="93"/>
      <c r="J32" s="83"/>
      <c r="K32" s="83"/>
      <c r="L32" s="12"/>
      <c r="M32" s="13"/>
      <c r="N32" s="14"/>
      <c r="O32" s="11"/>
      <c r="P32" s="15"/>
      <c r="Q32" s="16"/>
      <c r="R32" s="2"/>
      <c r="S32" s="12"/>
      <c r="T32" s="17"/>
      <c r="U32" s="2"/>
      <c r="V32" s="18"/>
      <c r="W32" s="8"/>
      <c r="Y32" s="149" t="s">
        <v>97</v>
      </c>
      <c r="Z32" s="152">
        <f t="shared" si="1"/>
        <v>0</v>
      </c>
    </row>
    <row r="33" spans="2:26" ht="18" x14ac:dyDescent="0.35">
      <c r="B33" s="95"/>
      <c r="C33" s="96"/>
      <c r="D33" s="97"/>
      <c r="E33" s="98"/>
      <c r="F33" s="90"/>
      <c r="G33" s="91"/>
      <c r="H33" s="92"/>
      <c r="I33" s="93"/>
      <c r="J33" s="83"/>
      <c r="K33" s="83"/>
      <c r="L33" s="12"/>
      <c r="M33" s="13"/>
      <c r="N33" s="14"/>
      <c r="O33" s="11"/>
      <c r="P33" s="15"/>
      <c r="Q33" s="16"/>
      <c r="R33" s="2"/>
      <c r="S33" s="12"/>
      <c r="T33" s="17"/>
      <c r="U33" s="2"/>
      <c r="V33" s="18"/>
      <c r="W33" s="8"/>
      <c r="Y33" s="149" t="s">
        <v>43</v>
      </c>
      <c r="Z33" s="152">
        <f t="shared" si="1"/>
        <v>0</v>
      </c>
    </row>
    <row r="34" spans="2:26" ht="18" x14ac:dyDescent="0.35">
      <c r="B34" s="95"/>
      <c r="C34" s="96"/>
      <c r="D34" s="97"/>
      <c r="E34" s="98"/>
      <c r="F34" s="90"/>
      <c r="G34" s="91"/>
      <c r="H34" s="92"/>
      <c r="I34" s="93"/>
      <c r="J34" s="83"/>
      <c r="K34" s="83"/>
      <c r="L34" s="12"/>
      <c r="M34" s="13"/>
      <c r="N34" s="14"/>
      <c r="O34" s="11"/>
      <c r="P34" s="15"/>
      <c r="Q34" s="16"/>
      <c r="R34" s="2"/>
      <c r="S34" s="12"/>
      <c r="T34" s="17"/>
      <c r="U34" s="2"/>
      <c r="V34" s="18"/>
      <c r="W34" s="8"/>
      <c r="Y34" s="149" t="s">
        <v>32</v>
      </c>
      <c r="Z34" s="152">
        <f t="shared" si="1"/>
        <v>0</v>
      </c>
    </row>
    <row r="35" spans="2:26" ht="18" x14ac:dyDescent="0.35">
      <c r="B35" s="95"/>
      <c r="C35" s="96"/>
      <c r="D35" s="97"/>
      <c r="E35" s="98"/>
      <c r="F35" s="90"/>
      <c r="G35" s="91"/>
      <c r="H35" s="92"/>
      <c r="I35" s="93"/>
      <c r="J35" s="83"/>
      <c r="K35" s="83"/>
      <c r="L35" s="12"/>
      <c r="M35" s="13"/>
      <c r="N35" s="14"/>
      <c r="O35" s="11"/>
      <c r="P35" s="15"/>
      <c r="Q35" s="16"/>
      <c r="R35" s="2"/>
      <c r="S35" s="12"/>
      <c r="T35" s="17"/>
      <c r="U35" s="2"/>
      <c r="V35" s="18"/>
      <c r="W35" s="8"/>
      <c r="Y35" s="149" t="s">
        <v>33</v>
      </c>
      <c r="Z35" s="152">
        <f t="shared" si="1"/>
        <v>0</v>
      </c>
    </row>
    <row r="36" spans="2:26" ht="18" x14ac:dyDescent="0.35">
      <c r="B36" s="95"/>
      <c r="C36" s="96"/>
      <c r="D36" s="97"/>
      <c r="E36" s="98"/>
      <c r="F36" s="90"/>
      <c r="G36" s="91"/>
      <c r="H36" s="92"/>
      <c r="I36" s="93"/>
      <c r="J36" s="83"/>
      <c r="K36" s="83"/>
      <c r="L36" s="12"/>
      <c r="M36" s="13"/>
      <c r="N36" s="14"/>
      <c r="O36" s="11"/>
      <c r="P36" s="15"/>
      <c r="Q36" s="16"/>
      <c r="R36" s="2"/>
      <c r="S36" s="12"/>
      <c r="T36" s="17"/>
      <c r="U36" s="2"/>
      <c r="V36" s="18"/>
      <c r="W36" s="8"/>
      <c r="Y36" s="149" t="s">
        <v>30</v>
      </c>
      <c r="Z36" s="152">
        <f t="shared" si="1"/>
        <v>0</v>
      </c>
    </row>
    <row r="37" spans="2:26" ht="18" x14ac:dyDescent="0.35">
      <c r="B37" s="95"/>
      <c r="C37" s="96"/>
      <c r="D37" s="97"/>
      <c r="E37" s="98"/>
      <c r="F37" s="90"/>
      <c r="G37" s="91"/>
      <c r="H37" s="92"/>
      <c r="I37" s="93"/>
      <c r="J37" s="83"/>
      <c r="K37" s="83"/>
      <c r="L37" s="12"/>
      <c r="M37" s="13"/>
      <c r="N37" s="14"/>
      <c r="O37" s="11"/>
      <c r="P37" s="15"/>
      <c r="Q37" s="16"/>
      <c r="R37" s="2"/>
      <c r="S37" s="12"/>
      <c r="T37" s="17"/>
      <c r="U37" s="2"/>
      <c r="V37" s="18"/>
      <c r="W37" s="8"/>
      <c r="Y37" s="149" t="s">
        <v>31</v>
      </c>
      <c r="Z37" s="152">
        <f t="shared" si="1"/>
        <v>0</v>
      </c>
    </row>
    <row r="38" spans="2:26" ht="18" x14ac:dyDescent="0.35">
      <c r="B38" s="95"/>
      <c r="C38" s="96"/>
      <c r="D38" s="97"/>
      <c r="E38" s="98"/>
      <c r="F38" s="90"/>
      <c r="G38" s="91"/>
      <c r="H38" s="92"/>
      <c r="I38" s="93"/>
      <c r="J38" s="83"/>
      <c r="K38" s="83"/>
      <c r="L38" s="12"/>
      <c r="M38" s="13"/>
      <c r="N38" s="14"/>
      <c r="O38" s="11"/>
      <c r="P38" s="15"/>
      <c r="Q38" s="16"/>
      <c r="R38" s="2"/>
      <c r="S38" s="12"/>
      <c r="T38" s="17"/>
      <c r="U38" s="2"/>
      <c r="V38" s="18"/>
      <c r="W38" s="8"/>
      <c r="Y38" s="149" t="s">
        <v>84</v>
      </c>
      <c r="Z38" s="152">
        <f t="shared" si="1"/>
        <v>0</v>
      </c>
    </row>
    <row r="39" spans="2:26" ht="18" x14ac:dyDescent="0.35">
      <c r="B39" s="95"/>
      <c r="C39" s="96"/>
      <c r="D39" s="97"/>
      <c r="E39" s="98"/>
      <c r="F39" s="90"/>
      <c r="G39" s="91"/>
      <c r="H39" s="92"/>
      <c r="I39" s="93"/>
      <c r="J39" s="83"/>
      <c r="K39" s="83"/>
      <c r="L39" s="12"/>
      <c r="M39" s="13"/>
      <c r="N39" s="14"/>
      <c r="O39" s="11"/>
      <c r="P39" s="15"/>
      <c r="Q39" s="16"/>
      <c r="R39" s="2"/>
      <c r="S39" s="12"/>
      <c r="T39" s="17"/>
      <c r="U39" s="2"/>
      <c r="V39" s="18"/>
      <c r="W39" s="8"/>
      <c r="Y39" s="149" t="s">
        <v>85</v>
      </c>
      <c r="Z39" s="152">
        <f t="shared" si="1"/>
        <v>0</v>
      </c>
    </row>
    <row r="40" spans="2:26" ht="18" x14ac:dyDescent="0.35">
      <c r="B40" s="95"/>
      <c r="C40" s="96"/>
      <c r="D40" s="97"/>
      <c r="E40" s="98"/>
      <c r="F40" s="90"/>
      <c r="G40" s="91"/>
      <c r="H40" s="92"/>
      <c r="I40" s="93"/>
      <c r="J40" s="83"/>
      <c r="K40" s="83"/>
      <c r="L40" s="12"/>
      <c r="M40" s="13"/>
      <c r="N40" s="14"/>
      <c r="O40" s="11"/>
      <c r="P40" s="15"/>
      <c r="Q40" s="16"/>
      <c r="R40" s="2"/>
      <c r="S40" s="12"/>
      <c r="T40" s="17"/>
      <c r="U40" s="2"/>
      <c r="V40" s="18"/>
      <c r="W40" s="8"/>
      <c r="Y40" s="149" t="s">
        <v>86</v>
      </c>
      <c r="Z40" s="152">
        <f t="shared" si="1"/>
        <v>0</v>
      </c>
    </row>
    <row r="41" spans="2:26" ht="18" x14ac:dyDescent="0.35">
      <c r="B41" s="95"/>
      <c r="C41" s="96"/>
      <c r="D41" s="97"/>
      <c r="E41" s="98"/>
      <c r="F41" s="90"/>
      <c r="G41" s="91"/>
      <c r="H41" s="92"/>
      <c r="I41" s="93"/>
      <c r="J41" s="83"/>
      <c r="K41" s="83"/>
      <c r="L41" s="12"/>
      <c r="M41" s="13"/>
      <c r="N41" s="14"/>
      <c r="O41" s="11"/>
      <c r="P41" s="15"/>
      <c r="Q41" s="16"/>
      <c r="R41" s="2"/>
      <c r="S41" s="12"/>
      <c r="T41" s="17"/>
      <c r="U41" s="2"/>
      <c r="V41" s="18"/>
      <c r="W41" s="8"/>
      <c r="Y41" s="149" t="s">
        <v>87</v>
      </c>
      <c r="Z41" s="152">
        <f t="shared" si="1"/>
        <v>0</v>
      </c>
    </row>
    <row r="42" spans="2:26" ht="18" x14ac:dyDescent="0.35">
      <c r="B42" s="95"/>
      <c r="C42" s="96"/>
      <c r="D42" s="97"/>
      <c r="E42" s="98"/>
      <c r="F42" s="90"/>
      <c r="G42" s="91"/>
      <c r="H42" s="92"/>
      <c r="I42" s="93"/>
      <c r="J42" s="83"/>
      <c r="K42" s="83"/>
      <c r="L42" s="12"/>
      <c r="M42" s="13"/>
      <c r="N42" s="14"/>
      <c r="O42" s="11"/>
      <c r="P42" s="15"/>
      <c r="Q42" s="16"/>
      <c r="R42" s="2"/>
      <c r="S42" s="12"/>
      <c r="T42" s="17"/>
      <c r="U42" s="2"/>
      <c r="V42" s="18"/>
      <c r="W42" s="8"/>
      <c r="Y42" s="149" t="s">
        <v>46</v>
      </c>
      <c r="Z42" s="152">
        <f t="shared" si="1"/>
        <v>0</v>
      </c>
    </row>
    <row r="43" spans="2:26" ht="18" x14ac:dyDescent="0.35">
      <c r="B43" s="95"/>
      <c r="C43" s="96"/>
      <c r="D43" s="97"/>
      <c r="E43" s="98"/>
      <c r="F43" s="90"/>
      <c r="G43" s="91"/>
      <c r="H43" s="92"/>
      <c r="I43" s="93"/>
      <c r="J43" s="83"/>
      <c r="K43" s="83"/>
      <c r="L43" s="12"/>
      <c r="M43" s="13"/>
      <c r="N43" s="14"/>
      <c r="O43" s="11"/>
      <c r="P43" s="15"/>
      <c r="Q43" s="16"/>
      <c r="R43" s="2"/>
      <c r="S43" s="12"/>
      <c r="T43" s="17"/>
      <c r="U43" s="2"/>
      <c r="V43" s="18"/>
      <c r="W43" s="8"/>
      <c r="Y43" s="149" t="s">
        <v>47</v>
      </c>
      <c r="Z43" s="152">
        <f t="shared" si="1"/>
        <v>0</v>
      </c>
    </row>
    <row r="44" spans="2:26" ht="18" x14ac:dyDescent="0.35">
      <c r="B44" s="95"/>
      <c r="C44" s="96"/>
      <c r="D44" s="97"/>
      <c r="E44" s="98"/>
      <c r="F44" s="90"/>
      <c r="G44" s="91"/>
      <c r="H44" s="92"/>
      <c r="I44" s="93"/>
      <c r="J44" s="83"/>
      <c r="K44" s="83"/>
      <c r="L44" s="12"/>
      <c r="M44" s="13"/>
      <c r="N44" s="14"/>
      <c r="O44" s="11"/>
      <c r="P44" s="15"/>
      <c r="Q44" s="16"/>
      <c r="R44" s="2"/>
      <c r="S44" s="12"/>
      <c r="T44" s="17"/>
      <c r="U44" s="2"/>
      <c r="V44" s="18"/>
      <c r="W44" s="8"/>
      <c r="Y44" s="149" t="s">
        <v>48</v>
      </c>
      <c r="Z44" s="152">
        <f t="shared" si="1"/>
        <v>0</v>
      </c>
    </row>
    <row r="45" spans="2:26" ht="18" x14ac:dyDescent="0.35">
      <c r="B45" s="95"/>
      <c r="C45" s="96"/>
      <c r="D45" s="97"/>
      <c r="E45" s="98"/>
      <c r="F45" s="90"/>
      <c r="G45" s="91"/>
      <c r="H45" s="92"/>
      <c r="I45" s="93"/>
      <c r="J45" s="83"/>
      <c r="K45" s="83"/>
      <c r="L45" s="12"/>
      <c r="M45" s="13"/>
      <c r="N45" s="14"/>
      <c r="O45" s="11"/>
      <c r="P45" s="15"/>
      <c r="Q45" s="16"/>
      <c r="R45" s="2"/>
      <c r="S45" s="12"/>
      <c r="T45" s="17"/>
      <c r="U45" s="2"/>
      <c r="V45" s="18"/>
      <c r="W45" s="8"/>
      <c r="Y45" s="149" t="s">
        <v>83</v>
      </c>
      <c r="Z45" s="152">
        <f t="shared" si="1"/>
        <v>0</v>
      </c>
    </row>
    <row r="46" spans="2:26" ht="18" x14ac:dyDescent="0.35">
      <c r="B46" s="95"/>
      <c r="C46" s="96"/>
      <c r="D46" s="97"/>
      <c r="E46" s="98"/>
      <c r="F46" s="90"/>
      <c r="G46" s="91"/>
      <c r="H46" s="92"/>
      <c r="I46" s="93"/>
      <c r="J46" s="83"/>
      <c r="K46" s="83"/>
      <c r="L46" s="12"/>
      <c r="M46" s="13"/>
      <c r="N46" s="14"/>
      <c r="O46" s="11"/>
      <c r="P46" s="15"/>
      <c r="Q46" s="16"/>
      <c r="R46" s="2"/>
      <c r="S46" s="12"/>
      <c r="T46" s="17"/>
      <c r="U46" s="2"/>
      <c r="V46" s="18"/>
      <c r="W46" s="8"/>
      <c r="Y46" s="149" t="s">
        <v>96</v>
      </c>
      <c r="Z46" s="152">
        <f t="shared" si="1"/>
        <v>0</v>
      </c>
    </row>
    <row r="47" spans="2:26" ht="18" x14ac:dyDescent="0.35">
      <c r="B47" s="95"/>
      <c r="C47" s="96"/>
      <c r="D47" s="97"/>
      <c r="E47" s="98"/>
      <c r="F47" s="90"/>
      <c r="G47" s="91"/>
      <c r="H47" s="92"/>
      <c r="I47" s="93"/>
      <c r="J47" s="83"/>
      <c r="K47" s="83"/>
      <c r="L47" s="12"/>
      <c r="M47" s="13"/>
      <c r="N47" s="14"/>
      <c r="O47" s="11"/>
      <c r="P47" s="15"/>
      <c r="Q47" s="16"/>
      <c r="R47" s="2"/>
      <c r="S47" s="12"/>
      <c r="T47" s="17"/>
      <c r="U47" s="2"/>
      <c r="V47" s="18"/>
      <c r="W47" s="8"/>
      <c r="Y47" s="149" t="s">
        <v>73</v>
      </c>
      <c r="Z47" s="152">
        <f t="shared" si="1"/>
        <v>0</v>
      </c>
    </row>
    <row r="48" spans="2:26" ht="18" x14ac:dyDescent="0.35">
      <c r="B48" s="95"/>
      <c r="C48" s="96"/>
      <c r="D48" s="97"/>
      <c r="E48" s="98"/>
      <c r="F48" s="90"/>
      <c r="G48" s="91"/>
      <c r="H48" s="92"/>
      <c r="I48" s="93"/>
      <c r="J48" s="83"/>
      <c r="K48" s="83"/>
      <c r="L48" s="12"/>
      <c r="M48" s="13"/>
      <c r="N48" s="14"/>
      <c r="O48" s="11"/>
      <c r="P48" s="15"/>
      <c r="Q48" s="16"/>
      <c r="R48" s="2"/>
      <c r="S48" s="12"/>
      <c r="T48" s="17"/>
      <c r="U48" s="2"/>
      <c r="V48" s="18"/>
      <c r="W48" s="8"/>
      <c r="Y48" s="149" t="s">
        <v>74</v>
      </c>
      <c r="Z48" s="152">
        <f t="shared" si="1"/>
        <v>0</v>
      </c>
    </row>
    <row r="49" spans="2:26" ht="18" x14ac:dyDescent="0.35">
      <c r="B49" s="95"/>
      <c r="C49" s="96"/>
      <c r="D49" s="97"/>
      <c r="E49" s="98"/>
      <c r="F49" s="90"/>
      <c r="G49" s="91"/>
      <c r="H49" s="92"/>
      <c r="I49" s="93"/>
      <c r="J49" s="83"/>
      <c r="K49" s="83"/>
      <c r="L49" s="12"/>
      <c r="M49" s="13"/>
      <c r="N49" s="14"/>
      <c r="O49" s="11"/>
      <c r="P49" s="15"/>
      <c r="Q49" s="16"/>
      <c r="R49" s="2"/>
      <c r="S49" s="12"/>
      <c r="T49" s="17"/>
      <c r="U49" s="2"/>
      <c r="V49" s="18"/>
      <c r="W49" s="8"/>
      <c r="Y49" s="149" t="s">
        <v>70</v>
      </c>
      <c r="Z49" s="152">
        <f t="shared" si="1"/>
        <v>0</v>
      </c>
    </row>
    <row r="50" spans="2:26" ht="18" x14ac:dyDescent="0.35">
      <c r="B50" s="95"/>
      <c r="C50" s="96"/>
      <c r="D50" s="97"/>
      <c r="E50" s="98"/>
      <c r="F50" s="90"/>
      <c r="G50" s="91"/>
      <c r="H50" s="92"/>
      <c r="I50" s="93"/>
      <c r="J50" s="83"/>
      <c r="K50" s="83"/>
      <c r="L50" s="12"/>
      <c r="M50" s="13"/>
      <c r="N50" s="14"/>
      <c r="O50" s="11"/>
      <c r="P50" s="15"/>
      <c r="Q50" s="16"/>
      <c r="R50" s="2"/>
      <c r="S50" s="12"/>
      <c r="T50" s="17"/>
      <c r="U50" s="2"/>
      <c r="V50" s="18"/>
      <c r="W50" s="8"/>
      <c r="Y50" s="149" t="s">
        <v>64</v>
      </c>
      <c r="Z50" s="152">
        <f t="shared" si="1"/>
        <v>0</v>
      </c>
    </row>
    <row r="51" spans="2:26" ht="18" x14ac:dyDescent="0.35">
      <c r="B51" s="95"/>
      <c r="C51" s="96"/>
      <c r="D51" s="97"/>
      <c r="E51" s="98"/>
      <c r="F51" s="90"/>
      <c r="G51" s="91"/>
      <c r="H51" s="92"/>
      <c r="I51" s="93"/>
      <c r="J51" s="83"/>
      <c r="K51" s="83"/>
      <c r="L51" s="12"/>
      <c r="M51" s="13"/>
      <c r="N51" s="14"/>
      <c r="O51" s="11"/>
      <c r="P51" s="15"/>
      <c r="Q51" s="16"/>
      <c r="R51" s="2"/>
      <c r="S51" s="12"/>
      <c r="T51" s="17"/>
      <c r="U51" s="2"/>
      <c r="V51" s="18"/>
      <c r="W51" s="8"/>
      <c r="Y51" s="149" t="s">
        <v>65</v>
      </c>
      <c r="Z51" s="152">
        <f t="shared" si="1"/>
        <v>0</v>
      </c>
    </row>
    <row r="52" spans="2:26" ht="18" x14ac:dyDescent="0.35">
      <c r="B52" s="95"/>
      <c r="C52" s="96"/>
      <c r="D52" s="97"/>
      <c r="E52" s="98"/>
      <c r="F52" s="90"/>
      <c r="G52" s="91"/>
      <c r="H52" s="92"/>
      <c r="I52" s="93"/>
      <c r="J52" s="83"/>
      <c r="K52" s="83"/>
      <c r="L52" s="12"/>
      <c r="M52" s="13"/>
      <c r="N52" s="14"/>
      <c r="O52" s="11"/>
      <c r="P52" s="15"/>
      <c r="Q52" s="16"/>
      <c r="R52" s="2"/>
      <c r="S52" s="12"/>
      <c r="T52" s="17"/>
      <c r="U52" s="2"/>
      <c r="V52" s="18"/>
      <c r="W52" s="8"/>
      <c r="Y52" s="149" t="s">
        <v>66</v>
      </c>
      <c r="Z52" s="152">
        <f t="shared" si="1"/>
        <v>0</v>
      </c>
    </row>
    <row r="53" spans="2:26" ht="18" x14ac:dyDescent="0.35">
      <c r="B53" s="95"/>
      <c r="C53" s="96"/>
      <c r="D53" s="97"/>
      <c r="E53" s="98"/>
      <c r="F53" s="90"/>
      <c r="G53" s="91"/>
      <c r="H53" s="92"/>
      <c r="I53" s="93"/>
      <c r="J53" s="83"/>
      <c r="K53" s="83"/>
      <c r="L53" s="12"/>
      <c r="M53" s="13"/>
      <c r="N53" s="14"/>
      <c r="O53" s="11"/>
      <c r="P53" s="15"/>
      <c r="Q53" s="16"/>
      <c r="R53" s="2"/>
      <c r="S53" s="12"/>
      <c r="T53" s="17"/>
      <c r="U53" s="2"/>
      <c r="V53" s="18"/>
      <c r="W53" s="8"/>
      <c r="Y53" s="149" t="s">
        <v>100</v>
      </c>
      <c r="Z53" s="152">
        <f t="shared" si="1"/>
        <v>0</v>
      </c>
    </row>
    <row r="54" spans="2:26" ht="18" x14ac:dyDescent="0.35">
      <c r="B54" s="95"/>
      <c r="C54" s="96"/>
      <c r="D54" s="97"/>
      <c r="E54" s="98"/>
      <c r="F54" s="90"/>
      <c r="G54" s="91"/>
      <c r="H54" s="92"/>
      <c r="I54" s="93"/>
      <c r="J54" s="83"/>
      <c r="K54" s="83"/>
      <c r="L54" s="12"/>
      <c r="M54" s="13"/>
      <c r="N54" s="14"/>
      <c r="O54" s="11"/>
      <c r="P54" s="15"/>
      <c r="Q54" s="16"/>
      <c r="R54" s="2"/>
      <c r="S54" s="12"/>
      <c r="T54" s="17"/>
      <c r="U54" s="2"/>
      <c r="V54" s="18"/>
      <c r="W54" s="8"/>
      <c r="Y54" s="149" t="s">
        <v>101</v>
      </c>
      <c r="Z54" s="152">
        <f t="shared" si="1"/>
        <v>0</v>
      </c>
    </row>
    <row r="55" spans="2:26" ht="18" x14ac:dyDescent="0.35">
      <c r="B55" s="95"/>
      <c r="C55" s="96"/>
      <c r="D55" s="97"/>
      <c r="E55" s="98"/>
      <c r="F55" s="90"/>
      <c r="G55" s="91"/>
      <c r="H55" s="92"/>
      <c r="I55" s="93"/>
      <c r="J55" s="83"/>
      <c r="K55" s="83"/>
      <c r="L55" s="12"/>
      <c r="M55" s="13"/>
      <c r="N55" s="14"/>
      <c r="O55" s="11"/>
      <c r="P55" s="15"/>
      <c r="Q55" s="16"/>
      <c r="R55" s="2"/>
      <c r="S55" s="12"/>
      <c r="T55" s="17"/>
      <c r="U55" s="2"/>
      <c r="V55" s="18"/>
      <c r="W55" s="8"/>
      <c r="Y55" s="149" t="s">
        <v>102</v>
      </c>
      <c r="Z55" s="152">
        <f t="shared" si="1"/>
        <v>0</v>
      </c>
    </row>
    <row r="56" spans="2:26" ht="18" x14ac:dyDescent="0.35">
      <c r="B56" s="95"/>
      <c r="C56" s="96"/>
      <c r="D56" s="97"/>
      <c r="E56" s="98"/>
      <c r="F56" s="90"/>
      <c r="G56" s="91"/>
      <c r="H56" s="92"/>
      <c r="I56" s="93"/>
      <c r="J56" s="83"/>
      <c r="K56" s="83"/>
      <c r="L56" s="12"/>
      <c r="M56" s="13"/>
      <c r="N56" s="14"/>
      <c r="O56" s="11"/>
      <c r="P56" s="15"/>
      <c r="Q56" s="16"/>
      <c r="R56" s="2"/>
      <c r="S56" s="12"/>
      <c r="T56" s="17"/>
      <c r="U56" s="2"/>
      <c r="V56" s="18"/>
      <c r="W56" s="8"/>
      <c r="Y56" s="149" t="s">
        <v>26</v>
      </c>
      <c r="Z56" s="152">
        <f t="shared" si="1"/>
        <v>0</v>
      </c>
    </row>
    <row r="57" spans="2:26" ht="18" x14ac:dyDescent="0.35">
      <c r="B57" s="95"/>
      <c r="C57" s="96"/>
      <c r="D57" s="97"/>
      <c r="E57" s="98"/>
      <c r="F57" s="90"/>
      <c r="G57" s="91"/>
      <c r="H57" s="92"/>
      <c r="I57" s="93"/>
      <c r="J57" s="83"/>
      <c r="K57" s="83"/>
      <c r="L57" s="12"/>
      <c r="M57" s="13"/>
      <c r="N57" s="14"/>
      <c r="O57" s="11"/>
      <c r="P57" s="15"/>
      <c r="Q57" s="16"/>
      <c r="R57" s="2"/>
      <c r="S57" s="12"/>
      <c r="T57" s="17"/>
      <c r="U57" s="2"/>
      <c r="V57" s="18"/>
      <c r="W57" s="8"/>
      <c r="Y57" s="149" t="s">
        <v>27</v>
      </c>
      <c r="Z57" s="152">
        <f t="shared" si="1"/>
        <v>0</v>
      </c>
    </row>
    <row r="58" spans="2:26" ht="18" x14ac:dyDescent="0.35">
      <c r="B58" s="95"/>
      <c r="C58" s="96"/>
      <c r="D58" s="97"/>
      <c r="E58" s="98"/>
      <c r="F58" s="90"/>
      <c r="G58" s="91"/>
      <c r="H58" s="92"/>
      <c r="I58" s="93"/>
      <c r="J58" s="83"/>
      <c r="K58" s="83"/>
      <c r="L58" s="12"/>
      <c r="M58" s="13"/>
      <c r="N58" s="14"/>
      <c r="O58" s="11"/>
      <c r="P58" s="15"/>
      <c r="Q58" s="16"/>
      <c r="R58" s="2"/>
      <c r="S58" s="12"/>
      <c r="T58" s="17"/>
      <c r="U58" s="2"/>
      <c r="V58" s="18"/>
      <c r="W58" s="8"/>
      <c r="Y58" s="149" t="s">
        <v>28</v>
      </c>
      <c r="Z58" s="152">
        <f t="shared" si="1"/>
        <v>0</v>
      </c>
    </row>
    <row r="59" spans="2:26" ht="18" x14ac:dyDescent="0.35">
      <c r="B59" s="95"/>
      <c r="C59" s="96"/>
      <c r="D59" s="97"/>
      <c r="E59" s="98"/>
      <c r="F59" s="90"/>
      <c r="G59" s="91"/>
      <c r="H59" s="92"/>
      <c r="I59" s="93"/>
      <c r="J59" s="83"/>
      <c r="K59" s="83"/>
      <c r="L59" s="12"/>
      <c r="M59" s="13"/>
      <c r="N59" s="14"/>
      <c r="O59" s="11"/>
      <c r="P59" s="15"/>
      <c r="Q59" s="16"/>
      <c r="R59" s="2"/>
      <c r="S59" s="12"/>
      <c r="T59" s="17"/>
      <c r="U59" s="2"/>
      <c r="V59" s="18"/>
      <c r="W59" s="8"/>
      <c r="Y59" s="149" t="s">
        <v>29</v>
      </c>
      <c r="Z59" s="152">
        <f t="shared" si="1"/>
        <v>0</v>
      </c>
    </row>
    <row r="60" spans="2:26" ht="18" x14ac:dyDescent="0.35">
      <c r="B60" s="95"/>
      <c r="C60" s="96"/>
      <c r="D60" s="97"/>
      <c r="E60" s="98"/>
      <c r="F60" s="90"/>
      <c r="G60" s="91"/>
      <c r="H60" s="92"/>
      <c r="I60" s="93"/>
      <c r="J60" s="83"/>
      <c r="K60" s="83"/>
      <c r="L60" s="12"/>
      <c r="M60" s="13"/>
      <c r="N60" s="14"/>
      <c r="O60" s="11"/>
      <c r="P60" s="15"/>
      <c r="Q60" s="16"/>
      <c r="R60" s="2"/>
      <c r="S60" s="12"/>
      <c r="T60" s="17"/>
      <c r="U60" s="2"/>
      <c r="V60" s="18"/>
      <c r="W60" s="8"/>
      <c r="Y60" s="149" t="s">
        <v>34</v>
      </c>
      <c r="Z60" s="152">
        <f t="shared" si="1"/>
        <v>0</v>
      </c>
    </row>
    <row r="61" spans="2:26" ht="18" x14ac:dyDescent="0.35">
      <c r="B61" s="95"/>
      <c r="C61" s="96"/>
      <c r="D61" s="97"/>
      <c r="E61" s="98"/>
      <c r="F61" s="90"/>
      <c r="G61" s="91"/>
      <c r="H61" s="92"/>
      <c r="I61" s="93"/>
      <c r="J61" s="83"/>
      <c r="K61" s="83"/>
      <c r="L61" s="12"/>
      <c r="M61" s="13"/>
      <c r="N61" s="14"/>
      <c r="O61" s="11"/>
      <c r="P61" s="15"/>
      <c r="Q61" s="16"/>
      <c r="R61" s="2"/>
      <c r="S61" s="12"/>
      <c r="T61" s="17"/>
      <c r="U61" s="2"/>
      <c r="V61" s="18"/>
      <c r="W61" s="8"/>
      <c r="Y61" s="149" t="s">
        <v>35</v>
      </c>
      <c r="Z61" s="152">
        <f t="shared" si="1"/>
        <v>0</v>
      </c>
    </row>
    <row r="62" spans="2:26" ht="18" x14ac:dyDescent="0.35">
      <c r="B62" s="95"/>
      <c r="C62" s="96"/>
      <c r="D62" s="97"/>
      <c r="E62" s="98"/>
      <c r="F62" s="90"/>
      <c r="G62" s="91"/>
      <c r="H62" s="92"/>
      <c r="I62" s="93"/>
      <c r="J62" s="83"/>
      <c r="K62" s="83"/>
      <c r="L62" s="12"/>
      <c r="M62" s="13"/>
      <c r="N62" s="14"/>
      <c r="O62" s="11"/>
      <c r="P62" s="15"/>
      <c r="Q62" s="16"/>
      <c r="R62" s="2"/>
      <c r="S62" s="12"/>
      <c r="T62" s="17"/>
      <c r="U62" s="2"/>
      <c r="V62" s="18"/>
      <c r="W62" s="8"/>
      <c r="Y62" s="149" t="s">
        <v>36</v>
      </c>
      <c r="Z62" s="152">
        <f t="shared" si="1"/>
        <v>0</v>
      </c>
    </row>
    <row r="63" spans="2:26" ht="18" x14ac:dyDescent="0.35">
      <c r="B63" s="95"/>
      <c r="C63" s="96"/>
      <c r="D63" s="97"/>
      <c r="E63" s="98"/>
      <c r="F63" s="90"/>
      <c r="G63" s="91"/>
      <c r="H63" s="92"/>
      <c r="I63" s="93"/>
      <c r="J63" s="83"/>
      <c r="K63" s="83"/>
      <c r="L63" s="12"/>
      <c r="M63" s="13"/>
      <c r="N63" s="14"/>
      <c r="O63" s="11"/>
      <c r="P63" s="15"/>
      <c r="Q63" s="16"/>
      <c r="R63" s="2"/>
      <c r="S63" s="12"/>
      <c r="T63" s="17"/>
      <c r="U63" s="2"/>
      <c r="V63" s="18"/>
      <c r="W63" s="8"/>
      <c r="Y63" s="149" t="s">
        <v>37</v>
      </c>
      <c r="Z63" s="152">
        <f t="shared" si="1"/>
        <v>0</v>
      </c>
    </row>
    <row r="64" spans="2:26" ht="18" x14ac:dyDescent="0.35">
      <c r="B64" s="95"/>
      <c r="C64" s="96"/>
      <c r="D64" s="97"/>
      <c r="E64" s="98"/>
      <c r="F64" s="90"/>
      <c r="G64" s="91"/>
      <c r="H64" s="92"/>
      <c r="I64" s="93"/>
      <c r="J64" s="83"/>
      <c r="K64" s="83"/>
      <c r="L64" s="12"/>
      <c r="M64" s="13"/>
      <c r="N64" s="14"/>
      <c r="O64" s="11"/>
      <c r="P64" s="15"/>
      <c r="Q64" s="16"/>
      <c r="R64" s="2"/>
      <c r="S64" s="12"/>
      <c r="T64" s="17"/>
      <c r="U64" s="2"/>
      <c r="V64" s="18"/>
      <c r="W64" s="8"/>
      <c r="Y64" s="149" t="s">
        <v>38</v>
      </c>
      <c r="Z64" s="152">
        <f t="shared" si="1"/>
        <v>0</v>
      </c>
    </row>
    <row r="65" spans="2:26" ht="18" x14ac:dyDescent="0.35">
      <c r="B65" s="95"/>
      <c r="C65" s="96"/>
      <c r="D65" s="97"/>
      <c r="E65" s="98"/>
      <c r="F65" s="99"/>
      <c r="G65" s="100"/>
      <c r="H65" s="101"/>
      <c r="I65" s="102"/>
      <c r="J65" s="83"/>
      <c r="K65" s="83"/>
      <c r="L65" s="12"/>
      <c r="M65" s="13"/>
      <c r="N65" s="14"/>
      <c r="O65" s="11"/>
      <c r="P65" s="15"/>
      <c r="Q65" s="16"/>
      <c r="R65" s="2"/>
      <c r="S65" s="12"/>
      <c r="T65" s="17"/>
      <c r="U65" s="2"/>
      <c r="V65" s="18"/>
      <c r="W65" s="8"/>
      <c r="Y65" s="149" t="s">
        <v>40</v>
      </c>
      <c r="Z65" s="152">
        <f t="shared" si="1"/>
        <v>0</v>
      </c>
    </row>
    <row r="66" spans="2:26" ht="18" x14ac:dyDescent="0.35">
      <c r="B66" s="95"/>
      <c r="C66" s="96"/>
      <c r="D66" s="97"/>
      <c r="E66" s="98"/>
      <c r="F66" s="90"/>
      <c r="G66" s="91"/>
      <c r="H66" s="92"/>
      <c r="I66" s="93"/>
      <c r="J66" s="83"/>
      <c r="K66" s="83"/>
      <c r="L66" s="12"/>
      <c r="M66" s="13"/>
      <c r="N66" s="14"/>
      <c r="O66" s="11"/>
      <c r="P66" s="15"/>
      <c r="Q66" s="16"/>
      <c r="R66" s="2"/>
      <c r="S66" s="12"/>
      <c r="T66" s="17"/>
      <c r="U66" s="2"/>
      <c r="V66" s="18"/>
      <c r="W66" s="8"/>
      <c r="Y66" s="149" t="s">
        <v>41</v>
      </c>
      <c r="Z66" s="152">
        <f t="shared" si="1"/>
        <v>0</v>
      </c>
    </row>
    <row r="67" spans="2:26" ht="18" x14ac:dyDescent="0.35">
      <c r="B67" s="95"/>
      <c r="C67" s="96"/>
      <c r="D67" s="97"/>
      <c r="E67" s="98"/>
      <c r="F67" s="103"/>
      <c r="G67" s="94"/>
      <c r="H67" s="104"/>
      <c r="I67" s="105"/>
      <c r="J67" s="83"/>
      <c r="K67" s="83"/>
      <c r="L67" s="12"/>
      <c r="M67" s="13"/>
      <c r="N67" s="14"/>
      <c r="O67" s="11"/>
      <c r="P67" s="15"/>
      <c r="Q67" s="16"/>
      <c r="R67" s="2"/>
      <c r="S67" s="12"/>
      <c r="T67" s="17"/>
      <c r="U67" s="2"/>
      <c r="V67" s="18"/>
      <c r="W67" s="8"/>
      <c r="Y67" s="149" t="s">
        <v>69</v>
      </c>
      <c r="Z67" s="152">
        <f t="shared" si="1"/>
        <v>0</v>
      </c>
    </row>
    <row r="68" spans="2:26" ht="18" x14ac:dyDescent="0.35">
      <c r="B68" s="95"/>
      <c r="C68" s="96"/>
      <c r="D68" s="97"/>
      <c r="E68" s="98"/>
      <c r="F68" s="90"/>
      <c r="G68" s="91"/>
      <c r="H68" s="92"/>
      <c r="I68" s="105"/>
      <c r="J68" s="83"/>
      <c r="K68" s="83"/>
      <c r="L68" s="12"/>
      <c r="M68" s="13"/>
      <c r="N68" s="14"/>
      <c r="O68" s="11"/>
      <c r="P68" s="15"/>
      <c r="Q68" s="16"/>
      <c r="R68" s="2"/>
      <c r="S68" s="12"/>
      <c r="T68" s="17"/>
      <c r="U68" s="2"/>
      <c r="V68" s="18"/>
      <c r="W68" s="8"/>
      <c r="Y68" s="149" t="s">
        <v>108</v>
      </c>
      <c r="Z68" s="152">
        <f t="shared" si="1"/>
        <v>0</v>
      </c>
    </row>
    <row r="69" spans="2:26" ht="18" x14ac:dyDescent="0.35">
      <c r="B69" s="95"/>
      <c r="C69" s="96"/>
      <c r="D69" s="97"/>
      <c r="E69" s="98"/>
      <c r="F69" s="90"/>
      <c r="G69" s="91"/>
      <c r="H69" s="92"/>
      <c r="I69" s="105"/>
      <c r="J69" s="83"/>
      <c r="K69" s="83"/>
      <c r="L69" s="12"/>
      <c r="M69" s="13"/>
      <c r="N69" s="14"/>
      <c r="O69" s="11"/>
      <c r="P69" s="15"/>
      <c r="Q69" s="16"/>
      <c r="R69" s="2"/>
      <c r="S69" s="12"/>
      <c r="T69" s="17"/>
      <c r="U69" s="2"/>
      <c r="V69" s="18"/>
      <c r="W69" s="8"/>
      <c r="Y69" s="149" t="s">
        <v>44</v>
      </c>
      <c r="Z69" s="152">
        <f t="shared" si="1"/>
        <v>0</v>
      </c>
    </row>
    <row r="70" spans="2:26" ht="18" x14ac:dyDescent="0.35">
      <c r="B70" s="95"/>
      <c r="C70" s="96"/>
      <c r="D70" s="97"/>
      <c r="E70" s="98"/>
      <c r="F70" s="90"/>
      <c r="G70" s="91"/>
      <c r="H70" s="92"/>
      <c r="I70" s="105"/>
      <c r="J70" s="83"/>
      <c r="K70" s="83"/>
      <c r="L70" s="12"/>
      <c r="M70" s="13"/>
      <c r="N70" s="14"/>
      <c r="O70" s="11"/>
      <c r="P70" s="15"/>
      <c r="Q70" s="16"/>
      <c r="R70" s="2"/>
      <c r="S70" s="12"/>
      <c r="T70" s="17"/>
      <c r="U70" s="2"/>
      <c r="V70" s="18"/>
      <c r="W70" s="8"/>
      <c r="Y70" s="149" t="s">
        <v>45</v>
      </c>
      <c r="Z70" s="152">
        <f t="shared" si="1"/>
        <v>0</v>
      </c>
    </row>
    <row r="71" spans="2:26" ht="18" x14ac:dyDescent="0.35">
      <c r="B71" s="95"/>
      <c r="C71" s="96"/>
      <c r="D71" s="97"/>
      <c r="E71" s="98"/>
      <c r="F71" s="90"/>
      <c r="G71" s="91"/>
      <c r="H71" s="92"/>
      <c r="I71" s="105"/>
      <c r="J71" s="83"/>
      <c r="K71" s="83"/>
      <c r="L71" s="12"/>
      <c r="M71" s="13"/>
      <c r="N71" s="14"/>
      <c r="O71" s="11"/>
      <c r="P71" s="15"/>
      <c r="Q71" s="16"/>
      <c r="R71" s="2"/>
      <c r="S71" s="12"/>
      <c r="T71" s="17"/>
      <c r="U71" s="2"/>
      <c r="V71" s="18"/>
      <c r="W71" s="8"/>
      <c r="Y71" s="149" t="s">
        <v>49</v>
      </c>
      <c r="Z71" s="152">
        <f t="shared" si="1"/>
        <v>0</v>
      </c>
    </row>
    <row r="72" spans="2:26" ht="18" x14ac:dyDescent="0.35">
      <c r="B72" s="106"/>
      <c r="C72" s="107"/>
      <c r="D72" s="108"/>
      <c r="E72" s="109"/>
      <c r="F72" s="90"/>
      <c r="G72" s="91"/>
      <c r="H72" s="92"/>
      <c r="I72" s="105"/>
      <c r="J72" s="83"/>
      <c r="K72" s="83"/>
      <c r="L72" s="12"/>
      <c r="M72" s="13"/>
      <c r="N72" s="14"/>
      <c r="O72" s="11"/>
      <c r="P72" s="15"/>
      <c r="Q72" s="16"/>
      <c r="R72" s="2"/>
      <c r="S72" s="12"/>
      <c r="T72" s="17"/>
      <c r="U72" s="2"/>
      <c r="V72" s="18"/>
      <c r="W72" s="8"/>
      <c r="Y72" s="149" t="s">
        <v>50</v>
      </c>
      <c r="Z72" s="152">
        <f t="shared" si="1"/>
        <v>0</v>
      </c>
    </row>
    <row r="73" spans="2:26" ht="18" x14ac:dyDescent="0.35">
      <c r="B73" s="95"/>
      <c r="C73" s="96"/>
      <c r="D73" s="97"/>
      <c r="E73" s="98"/>
      <c r="F73" s="90"/>
      <c r="G73" s="91"/>
      <c r="H73" s="92"/>
      <c r="I73" s="105"/>
      <c r="J73" s="83"/>
      <c r="K73" s="83"/>
      <c r="L73" s="20"/>
      <c r="M73" s="21"/>
      <c r="N73" s="22"/>
      <c r="O73" s="19"/>
      <c r="P73" s="23"/>
      <c r="Q73" s="24"/>
      <c r="R73" s="2"/>
      <c r="S73" s="20"/>
      <c r="T73" s="25"/>
      <c r="U73" s="2"/>
      <c r="V73" s="26"/>
      <c r="W73" s="27"/>
      <c r="Y73" s="149" t="s">
        <v>51</v>
      </c>
      <c r="Z73" s="152">
        <f t="shared" si="1"/>
        <v>0</v>
      </c>
    </row>
    <row r="74" spans="2:26" ht="18" x14ac:dyDescent="0.35">
      <c r="B74" s="110"/>
      <c r="C74" s="111"/>
      <c r="D74" s="112"/>
      <c r="E74" s="113"/>
      <c r="F74" s="90"/>
      <c r="G74" s="91"/>
      <c r="H74" s="92"/>
      <c r="I74" s="105"/>
      <c r="J74" s="83"/>
      <c r="K74" s="83"/>
      <c r="L74" s="12"/>
      <c r="M74" s="28"/>
      <c r="N74" s="14"/>
      <c r="O74" s="11"/>
      <c r="P74" s="11"/>
      <c r="Q74" s="16"/>
      <c r="R74" s="2"/>
      <c r="S74" s="12"/>
      <c r="T74" s="17"/>
      <c r="U74" s="2"/>
      <c r="V74" s="18"/>
      <c r="W74" s="16"/>
      <c r="Y74" s="149" t="s">
        <v>52</v>
      </c>
      <c r="Z74" s="152">
        <f t="shared" si="1"/>
        <v>0</v>
      </c>
    </row>
    <row r="75" spans="2:26" ht="18" x14ac:dyDescent="0.35">
      <c r="B75" s="95"/>
      <c r="C75" s="96"/>
      <c r="D75" s="97"/>
      <c r="E75" s="113"/>
      <c r="F75" s="90"/>
      <c r="G75" s="91"/>
      <c r="H75" s="92"/>
      <c r="I75" s="105"/>
      <c r="J75" s="83"/>
      <c r="K75" s="83"/>
      <c r="L75" s="12"/>
      <c r="M75" s="28"/>
      <c r="N75" s="14"/>
      <c r="O75" s="11"/>
      <c r="P75" s="11"/>
      <c r="Q75" s="16"/>
      <c r="R75" s="2"/>
      <c r="S75" s="12"/>
      <c r="T75" s="17"/>
      <c r="U75" s="2"/>
      <c r="V75" s="18"/>
      <c r="W75" s="16"/>
      <c r="Y75" s="149" t="s">
        <v>72</v>
      </c>
      <c r="Z75" s="152">
        <f t="shared" si="1"/>
        <v>0</v>
      </c>
    </row>
    <row r="76" spans="2:26" ht="18" x14ac:dyDescent="0.35">
      <c r="B76" s="95"/>
      <c r="C76" s="96"/>
      <c r="D76" s="97"/>
      <c r="E76" s="113"/>
      <c r="F76" s="90"/>
      <c r="G76" s="91"/>
      <c r="H76" s="92"/>
      <c r="I76" s="105"/>
      <c r="J76" s="83"/>
      <c r="K76" s="83"/>
      <c r="L76" s="12"/>
      <c r="M76" s="28"/>
      <c r="N76" s="14"/>
      <c r="O76" s="11"/>
      <c r="P76" s="11"/>
      <c r="Q76" s="16"/>
      <c r="R76" s="2"/>
      <c r="S76" s="12"/>
      <c r="T76" s="17"/>
      <c r="U76" s="2"/>
      <c r="V76" s="18"/>
      <c r="W76" s="16"/>
      <c r="Y76" s="149" t="s">
        <v>71</v>
      </c>
      <c r="Z76" s="152">
        <f t="shared" si="1"/>
        <v>0</v>
      </c>
    </row>
    <row r="77" spans="2:26" ht="18" x14ac:dyDescent="0.35">
      <c r="B77" s="95"/>
      <c r="C77" s="96"/>
      <c r="D77" s="97"/>
      <c r="E77" s="113"/>
      <c r="F77" s="90"/>
      <c r="G77" s="91"/>
      <c r="H77" s="92"/>
      <c r="I77" s="105"/>
      <c r="J77" s="83"/>
      <c r="K77" s="83"/>
      <c r="L77" s="12"/>
      <c r="M77" s="28"/>
      <c r="N77" s="14"/>
      <c r="O77" s="11"/>
      <c r="P77" s="11"/>
      <c r="Q77" s="16"/>
      <c r="R77" s="2"/>
      <c r="S77" s="12"/>
      <c r="T77" s="17"/>
      <c r="U77" s="2"/>
      <c r="V77" s="18"/>
      <c r="W77" s="16"/>
      <c r="Y77" s="149" t="s">
        <v>53</v>
      </c>
      <c r="Z77" s="152">
        <f t="shared" ref="Z77:Z79" si="2">SUMIF($G$9:$G$129, Y77, $F$9:$F$129)</f>
        <v>0</v>
      </c>
    </row>
    <row r="78" spans="2:26" ht="18" x14ac:dyDescent="0.35">
      <c r="B78" s="95"/>
      <c r="C78" s="96"/>
      <c r="D78" s="97"/>
      <c r="E78" s="113"/>
      <c r="F78" s="90"/>
      <c r="G78" s="91"/>
      <c r="H78" s="92"/>
      <c r="I78" s="105"/>
      <c r="J78" s="83"/>
      <c r="K78" s="83"/>
      <c r="L78" s="12"/>
      <c r="M78" s="28"/>
      <c r="N78" s="14"/>
      <c r="O78" s="11"/>
      <c r="P78" s="11"/>
      <c r="Q78" s="16"/>
      <c r="R78" s="2"/>
      <c r="S78" s="12"/>
      <c r="T78" s="17"/>
      <c r="U78" s="2"/>
      <c r="V78" s="18"/>
      <c r="W78" s="16"/>
      <c r="Y78" s="149" t="s">
        <v>54</v>
      </c>
      <c r="Z78" s="152">
        <f t="shared" si="2"/>
        <v>0</v>
      </c>
    </row>
    <row r="79" spans="2:26" ht="18.600000000000001" thickBot="1" x14ac:dyDescent="0.4">
      <c r="B79" s="95"/>
      <c r="C79" s="96"/>
      <c r="D79" s="97"/>
      <c r="E79" s="113"/>
      <c r="F79" s="90"/>
      <c r="G79" s="91"/>
      <c r="H79" s="92"/>
      <c r="I79" s="105"/>
      <c r="J79" s="83"/>
      <c r="K79" s="83"/>
      <c r="L79" s="12"/>
      <c r="M79" s="28"/>
      <c r="N79" s="14"/>
      <c r="O79" s="11"/>
      <c r="P79" s="11"/>
      <c r="Q79" s="16"/>
      <c r="R79" s="2"/>
      <c r="S79" s="12"/>
      <c r="T79" s="17"/>
      <c r="U79" s="2"/>
      <c r="V79" s="18"/>
      <c r="W79" s="16"/>
      <c r="Y79" s="150" t="s">
        <v>55</v>
      </c>
      <c r="Z79" s="153">
        <f t="shared" si="2"/>
        <v>0</v>
      </c>
    </row>
    <row r="80" spans="2:26" ht="18" x14ac:dyDescent="0.35">
      <c r="B80" s="95"/>
      <c r="C80" s="96"/>
      <c r="D80" s="97"/>
      <c r="E80" s="113"/>
      <c r="F80" s="90"/>
      <c r="G80" s="91"/>
      <c r="H80" s="92"/>
      <c r="I80" s="105"/>
      <c r="J80" s="83"/>
      <c r="K80" s="83"/>
      <c r="L80" s="12"/>
      <c r="M80" s="28"/>
      <c r="N80" s="14"/>
      <c r="O80" s="11"/>
      <c r="P80" s="11"/>
      <c r="Q80" s="16"/>
      <c r="R80" s="2"/>
      <c r="S80" s="12"/>
      <c r="T80" s="17"/>
      <c r="U80" s="2"/>
      <c r="V80" s="18"/>
      <c r="W80" s="16"/>
    </row>
    <row r="81" spans="2:23" ht="18" x14ac:dyDescent="0.35">
      <c r="B81" s="95"/>
      <c r="C81" s="96"/>
      <c r="D81" s="97"/>
      <c r="E81" s="113"/>
      <c r="F81" s="90"/>
      <c r="G81" s="91"/>
      <c r="H81" s="92"/>
      <c r="I81" s="105"/>
      <c r="J81" s="83"/>
      <c r="K81" s="83"/>
      <c r="L81" s="12"/>
      <c r="M81" s="28"/>
      <c r="N81" s="14"/>
      <c r="O81" s="11"/>
      <c r="P81" s="11"/>
      <c r="Q81" s="16"/>
      <c r="R81" s="2"/>
      <c r="S81" s="12"/>
      <c r="T81" s="17"/>
      <c r="U81" s="2"/>
      <c r="V81" s="18"/>
      <c r="W81" s="16"/>
    </row>
    <row r="82" spans="2:23" ht="18" x14ac:dyDescent="0.35">
      <c r="B82" s="95"/>
      <c r="C82" s="96"/>
      <c r="D82" s="97"/>
      <c r="E82" s="113"/>
      <c r="F82" s="90"/>
      <c r="G82" s="91"/>
      <c r="H82" s="92"/>
      <c r="I82" s="105"/>
      <c r="J82" s="83"/>
      <c r="K82" s="83"/>
      <c r="L82" s="12"/>
      <c r="M82" s="28"/>
      <c r="N82" s="14"/>
      <c r="O82" s="11"/>
      <c r="P82" s="11"/>
      <c r="Q82" s="16"/>
      <c r="R82" s="2"/>
      <c r="S82" s="12"/>
      <c r="T82" s="17"/>
      <c r="U82" s="2"/>
      <c r="V82" s="18"/>
      <c r="W82" s="16"/>
    </row>
    <row r="83" spans="2:23" ht="18" x14ac:dyDescent="0.35">
      <c r="B83" s="95"/>
      <c r="C83" s="96"/>
      <c r="D83" s="97"/>
      <c r="E83" s="113"/>
      <c r="F83" s="90"/>
      <c r="G83" s="91"/>
      <c r="H83" s="92"/>
      <c r="I83" s="105"/>
      <c r="J83" s="83"/>
      <c r="K83" s="83"/>
      <c r="L83" s="12"/>
      <c r="M83" s="28"/>
      <c r="N83" s="14"/>
      <c r="O83" s="11"/>
      <c r="P83" s="11"/>
      <c r="Q83" s="16"/>
      <c r="R83" s="2"/>
      <c r="S83" s="12"/>
      <c r="T83" s="17"/>
      <c r="U83" s="2"/>
      <c r="V83" s="18"/>
      <c r="W83" s="16"/>
    </row>
    <row r="84" spans="2:23" ht="18" x14ac:dyDescent="0.35">
      <c r="B84" s="95"/>
      <c r="C84" s="96"/>
      <c r="D84" s="97"/>
      <c r="E84" s="113"/>
      <c r="F84" s="90"/>
      <c r="G84" s="91"/>
      <c r="H84" s="92"/>
      <c r="I84" s="105"/>
      <c r="J84" s="83"/>
      <c r="K84" s="83"/>
      <c r="L84" s="12"/>
      <c r="M84" s="28"/>
      <c r="N84" s="14"/>
      <c r="O84" s="11"/>
      <c r="P84" s="11"/>
      <c r="Q84" s="16"/>
      <c r="R84" s="2"/>
      <c r="S84" s="12"/>
      <c r="T84" s="17"/>
      <c r="U84" s="2"/>
      <c r="V84" s="18"/>
      <c r="W84" s="16"/>
    </row>
    <row r="85" spans="2:23" ht="18" x14ac:dyDescent="0.35">
      <c r="B85" s="95"/>
      <c r="C85" s="96"/>
      <c r="D85" s="97"/>
      <c r="E85" s="113"/>
      <c r="F85" s="90"/>
      <c r="G85" s="91"/>
      <c r="H85" s="92"/>
      <c r="I85" s="105"/>
      <c r="J85" s="83"/>
      <c r="K85" s="83"/>
      <c r="L85" s="12"/>
      <c r="M85" s="28"/>
      <c r="N85" s="14"/>
      <c r="O85" s="11"/>
      <c r="P85" s="11"/>
      <c r="Q85" s="16"/>
      <c r="R85" s="2"/>
      <c r="S85" s="12"/>
      <c r="T85" s="17"/>
      <c r="U85" s="2"/>
      <c r="V85" s="18"/>
      <c r="W85" s="16"/>
    </row>
    <row r="86" spans="2:23" ht="18" x14ac:dyDescent="0.35">
      <c r="B86" s="95"/>
      <c r="C86" s="96"/>
      <c r="D86" s="97"/>
      <c r="E86" s="113"/>
      <c r="F86" s="90"/>
      <c r="G86" s="91"/>
      <c r="H86" s="92"/>
      <c r="I86" s="105"/>
      <c r="J86" s="83"/>
      <c r="K86" s="83"/>
      <c r="L86" s="12"/>
      <c r="M86" s="28"/>
      <c r="N86" s="14"/>
      <c r="O86" s="11"/>
      <c r="P86" s="11"/>
      <c r="Q86" s="16"/>
      <c r="R86" s="2"/>
      <c r="S86" s="12"/>
      <c r="T86" s="17"/>
      <c r="U86" s="2"/>
      <c r="V86" s="18"/>
      <c r="W86" s="16"/>
    </row>
    <row r="87" spans="2:23" ht="18" x14ac:dyDescent="0.35">
      <c r="B87" s="95"/>
      <c r="C87" s="96"/>
      <c r="D87" s="97"/>
      <c r="E87" s="113"/>
      <c r="F87" s="90"/>
      <c r="G87" s="91"/>
      <c r="H87" s="92"/>
      <c r="I87" s="105"/>
      <c r="J87" s="83"/>
      <c r="K87" s="83"/>
      <c r="L87" s="12"/>
      <c r="M87" s="28"/>
      <c r="N87" s="14"/>
      <c r="O87" s="11"/>
      <c r="P87" s="11"/>
      <c r="Q87" s="16"/>
      <c r="R87" s="2"/>
      <c r="S87" s="12"/>
      <c r="T87" s="17"/>
      <c r="U87" s="2"/>
      <c r="V87" s="18"/>
      <c r="W87" s="16"/>
    </row>
    <row r="88" spans="2:23" ht="18" x14ac:dyDescent="0.35">
      <c r="B88" s="95"/>
      <c r="C88" s="96"/>
      <c r="D88" s="97"/>
      <c r="E88" s="113"/>
      <c r="F88" s="90"/>
      <c r="G88" s="91"/>
      <c r="H88" s="92"/>
      <c r="I88" s="105"/>
      <c r="J88" s="83"/>
      <c r="K88" s="83"/>
      <c r="L88" s="12"/>
      <c r="M88" s="28"/>
      <c r="N88" s="14"/>
      <c r="O88" s="11"/>
      <c r="P88" s="11"/>
      <c r="Q88" s="16"/>
      <c r="R88" s="2"/>
      <c r="S88" s="12"/>
      <c r="T88" s="17"/>
      <c r="U88" s="2"/>
      <c r="V88" s="18"/>
      <c r="W88" s="16"/>
    </row>
    <row r="89" spans="2:23" ht="18" x14ac:dyDescent="0.35">
      <c r="B89" s="95"/>
      <c r="C89" s="96"/>
      <c r="D89" s="97"/>
      <c r="E89" s="113"/>
      <c r="F89" s="90"/>
      <c r="G89" s="91"/>
      <c r="H89" s="92"/>
      <c r="I89" s="105"/>
      <c r="J89" s="83"/>
      <c r="K89" s="83"/>
      <c r="L89" s="12"/>
      <c r="M89" s="28"/>
      <c r="N89" s="14"/>
      <c r="O89" s="11"/>
      <c r="P89" s="11"/>
      <c r="Q89" s="16"/>
      <c r="R89" s="2"/>
      <c r="S89" s="12"/>
      <c r="T89" s="17"/>
      <c r="U89" s="2"/>
      <c r="V89" s="18"/>
      <c r="W89" s="16"/>
    </row>
    <row r="90" spans="2:23" ht="18" x14ac:dyDescent="0.35">
      <c r="B90" s="95"/>
      <c r="C90" s="96"/>
      <c r="D90" s="97"/>
      <c r="E90" s="113"/>
      <c r="F90" s="90"/>
      <c r="G90" s="91"/>
      <c r="H90" s="92"/>
      <c r="I90" s="105"/>
      <c r="J90" s="83"/>
      <c r="K90" s="83"/>
      <c r="L90" s="12"/>
      <c r="M90" s="28"/>
      <c r="N90" s="14"/>
      <c r="O90" s="11"/>
      <c r="P90" s="11"/>
      <c r="Q90" s="16"/>
      <c r="R90" s="2"/>
      <c r="S90" s="12"/>
      <c r="T90" s="17"/>
      <c r="U90" s="2"/>
      <c r="V90" s="18"/>
      <c r="W90" s="16"/>
    </row>
    <row r="91" spans="2:23" ht="18" x14ac:dyDescent="0.35">
      <c r="B91" s="95"/>
      <c r="C91" s="96"/>
      <c r="D91" s="97"/>
      <c r="E91" s="113"/>
      <c r="F91" s="90"/>
      <c r="G91" s="91"/>
      <c r="H91" s="92"/>
      <c r="I91" s="105"/>
      <c r="J91" s="83"/>
      <c r="K91" s="83"/>
      <c r="L91" s="12"/>
      <c r="M91" s="28"/>
      <c r="N91" s="14"/>
      <c r="O91" s="11"/>
      <c r="P91" s="11"/>
      <c r="Q91" s="16"/>
      <c r="R91" s="2"/>
      <c r="S91" s="12"/>
      <c r="T91" s="17"/>
      <c r="U91" s="2"/>
      <c r="V91" s="18"/>
      <c r="W91" s="16"/>
    </row>
    <row r="92" spans="2:23" ht="18" x14ac:dyDescent="0.35">
      <c r="B92" s="95"/>
      <c r="C92" s="96"/>
      <c r="D92" s="97"/>
      <c r="E92" s="113"/>
      <c r="F92" s="90"/>
      <c r="G92" s="91"/>
      <c r="H92" s="92"/>
      <c r="I92" s="105"/>
      <c r="J92" s="83"/>
      <c r="K92" s="83"/>
      <c r="L92" s="12"/>
      <c r="M92" s="28"/>
      <c r="N92" s="14"/>
      <c r="O92" s="11"/>
      <c r="P92" s="11"/>
      <c r="Q92" s="16"/>
      <c r="R92" s="2"/>
      <c r="S92" s="12"/>
      <c r="T92" s="17"/>
      <c r="U92" s="2"/>
      <c r="V92" s="18"/>
      <c r="W92" s="16"/>
    </row>
    <row r="93" spans="2:23" ht="18" x14ac:dyDescent="0.35">
      <c r="B93" s="95"/>
      <c r="C93" s="96"/>
      <c r="D93" s="97"/>
      <c r="E93" s="113"/>
      <c r="F93" s="90"/>
      <c r="G93" s="91"/>
      <c r="H93" s="92"/>
      <c r="I93" s="105"/>
      <c r="J93" s="83"/>
      <c r="K93" s="83"/>
      <c r="L93" s="12"/>
      <c r="M93" s="28"/>
      <c r="N93" s="14"/>
      <c r="O93" s="11"/>
      <c r="P93" s="11"/>
      <c r="Q93" s="16"/>
      <c r="R93" s="2"/>
      <c r="S93" s="12"/>
      <c r="T93" s="17"/>
      <c r="U93" s="2"/>
      <c r="V93" s="18"/>
      <c r="W93" s="16"/>
    </row>
    <row r="94" spans="2:23" ht="18" x14ac:dyDescent="0.35">
      <c r="B94" s="95"/>
      <c r="C94" s="96"/>
      <c r="D94" s="97"/>
      <c r="E94" s="113"/>
      <c r="F94" s="90"/>
      <c r="G94" s="91"/>
      <c r="H94" s="92"/>
      <c r="I94" s="105"/>
      <c r="J94" s="83"/>
      <c r="K94" s="83"/>
      <c r="L94" s="12"/>
      <c r="M94" s="28"/>
      <c r="N94" s="14"/>
      <c r="O94" s="11"/>
      <c r="P94" s="11"/>
      <c r="Q94" s="16"/>
      <c r="R94" s="2"/>
      <c r="S94" s="12"/>
      <c r="T94" s="17"/>
      <c r="U94" s="2"/>
      <c r="V94" s="18"/>
      <c r="W94" s="16"/>
    </row>
    <row r="95" spans="2:23" ht="18" x14ac:dyDescent="0.35">
      <c r="B95" s="95"/>
      <c r="C95" s="96"/>
      <c r="D95" s="97"/>
      <c r="E95" s="113"/>
      <c r="F95" s="90"/>
      <c r="G95" s="91"/>
      <c r="H95" s="92"/>
      <c r="I95" s="105"/>
      <c r="J95" s="83"/>
      <c r="K95" s="83"/>
      <c r="L95" s="12"/>
      <c r="M95" s="28"/>
      <c r="N95" s="14"/>
      <c r="O95" s="11"/>
      <c r="P95" s="11"/>
      <c r="Q95" s="16"/>
      <c r="R95" s="2"/>
      <c r="S95" s="12"/>
      <c r="T95" s="17"/>
      <c r="U95" s="2"/>
      <c r="V95" s="18"/>
      <c r="W95" s="16"/>
    </row>
    <row r="96" spans="2:23" ht="18" x14ac:dyDescent="0.35">
      <c r="B96" s="95"/>
      <c r="C96" s="96"/>
      <c r="D96" s="97"/>
      <c r="E96" s="113"/>
      <c r="F96" s="90"/>
      <c r="G96" s="91"/>
      <c r="H96" s="92"/>
      <c r="I96" s="105"/>
      <c r="J96" s="83"/>
      <c r="K96" s="83"/>
      <c r="L96" s="12"/>
      <c r="M96" s="28"/>
      <c r="N96" s="14"/>
      <c r="O96" s="11"/>
      <c r="P96" s="11"/>
      <c r="Q96" s="16"/>
      <c r="R96" s="2"/>
      <c r="S96" s="12"/>
      <c r="T96" s="17"/>
      <c r="U96" s="2"/>
      <c r="V96" s="18"/>
      <c r="W96" s="16"/>
    </row>
    <row r="97" spans="2:23" ht="18" x14ac:dyDescent="0.35">
      <c r="B97" s="95"/>
      <c r="C97" s="96"/>
      <c r="D97" s="97"/>
      <c r="E97" s="113"/>
      <c r="F97" s="90"/>
      <c r="G97" s="91"/>
      <c r="H97" s="92"/>
      <c r="I97" s="105"/>
      <c r="J97" s="83"/>
      <c r="K97" s="83"/>
      <c r="L97" s="12"/>
      <c r="M97" s="28"/>
      <c r="N97" s="14"/>
      <c r="O97" s="11"/>
      <c r="P97" s="11"/>
      <c r="Q97" s="16"/>
      <c r="R97" s="2"/>
      <c r="S97" s="12"/>
      <c r="T97" s="17"/>
      <c r="U97" s="2"/>
      <c r="V97" s="18"/>
      <c r="W97" s="16"/>
    </row>
    <row r="98" spans="2:23" ht="18" x14ac:dyDescent="0.35">
      <c r="B98" s="95"/>
      <c r="C98" s="96"/>
      <c r="D98" s="97"/>
      <c r="E98" s="113"/>
      <c r="F98" s="90"/>
      <c r="G98" s="91"/>
      <c r="H98" s="92"/>
      <c r="I98" s="105"/>
      <c r="J98" s="83"/>
      <c r="K98" s="83"/>
      <c r="L98" s="12"/>
      <c r="M98" s="28"/>
      <c r="N98" s="14"/>
      <c r="O98" s="11"/>
      <c r="P98" s="11"/>
      <c r="Q98" s="16"/>
      <c r="R98" s="2"/>
      <c r="S98" s="12"/>
      <c r="T98" s="17"/>
      <c r="U98" s="2"/>
      <c r="V98" s="18"/>
      <c r="W98" s="16"/>
    </row>
    <row r="99" spans="2:23" ht="18" x14ac:dyDescent="0.35">
      <c r="B99" s="95"/>
      <c r="C99" s="96"/>
      <c r="D99" s="97"/>
      <c r="E99" s="113"/>
      <c r="F99" s="90"/>
      <c r="G99" s="91"/>
      <c r="H99" s="92"/>
      <c r="I99" s="105"/>
      <c r="J99" s="83"/>
      <c r="K99" s="83"/>
      <c r="L99" s="12"/>
      <c r="M99" s="28"/>
      <c r="N99" s="14"/>
      <c r="O99" s="11"/>
      <c r="P99" s="11"/>
      <c r="Q99" s="16"/>
      <c r="R99" s="2"/>
      <c r="S99" s="12"/>
      <c r="T99" s="17"/>
      <c r="U99" s="2"/>
      <c r="V99" s="18"/>
      <c r="W99" s="16"/>
    </row>
    <row r="100" spans="2:23" ht="18" x14ac:dyDescent="0.35">
      <c r="B100" s="95"/>
      <c r="C100" s="96"/>
      <c r="D100" s="97"/>
      <c r="E100" s="113"/>
      <c r="F100" s="90"/>
      <c r="G100" s="91"/>
      <c r="H100" s="92"/>
      <c r="I100" s="105"/>
      <c r="J100" s="83"/>
      <c r="K100" s="83"/>
      <c r="L100" s="12"/>
      <c r="M100" s="28"/>
      <c r="N100" s="14"/>
      <c r="O100" s="11"/>
      <c r="P100" s="11"/>
      <c r="Q100" s="16"/>
      <c r="R100" s="2"/>
      <c r="S100" s="12"/>
      <c r="T100" s="17"/>
      <c r="U100" s="2"/>
      <c r="V100" s="18"/>
      <c r="W100" s="16"/>
    </row>
    <row r="101" spans="2:23" ht="18" x14ac:dyDescent="0.35">
      <c r="B101" s="95"/>
      <c r="C101" s="96"/>
      <c r="D101" s="97"/>
      <c r="E101" s="113"/>
      <c r="F101" s="90"/>
      <c r="G101" s="91"/>
      <c r="H101" s="92"/>
      <c r="I101" s="105"/>
      <c r="J101" s="83"/>
      <c r="K101" s="83"/>
      <c r="L101" s="12"/>
      <c r="M101" s="28"/>
      <c r="N101" s="14"/>
      <c r="O101" s="11"/>
      <c r="P101" s="11"/>
      <c r="Q101" s="16"/>
      <c r="R101" s="2"/>
      <c r="S101" s="12"/>
      <c r="T101" s="17"/>
      <c r="U101" s="2"/>
      <c r="V101" s="18"/>
      <c r="W101" s="16"/>
    </row>
    <row r="102" spans="2:23" ht="18" x14ac:dyDescent="0.35">
      <c r="B102" s="95"/>
      <c r="C102" s="96"/>
      <c r="D102" s="97"/>
      <c r="E102" s="113"/>
      <c r="F102" s="90"/>
      <c r="G102" s="91"/>
      <c r="H102" s="92"/>
      <c r="I102" s="105"/>
      <c r="J102" s="83"/>
      <c r="K102" s="83"/>
      <c r="L102" s="12"/>
      <c r="M102" s="28"/>
      <c r="N102" s="14"/>
      <c r="O102" s="11"/>
      <c r="P102" s="11"/>
      <c r="Q102" s="16"/>
      <c r="R102" s="2"/>
      <c r="S102" s="12"/>
      <c r="T102" s="17"/>
      <c r="U102" s="2"/>
      <c r="V102" s="18"/>
      <c r="W102" s="16"/>
    </row>
    <row r="103" spans="2:23" ht="18" x14ac:dyDescent="0.35">
      <c r="B103" s="95"/>
      <c r="C103" s="96"/>
      <c r="D103" s="97"/>
      <c r="E103" s="113"/>
      <c r="F103" s="90"/>
      <c r="G103" s="91"/>
      <c r="H103" s="92"/>
      <c r="I103" s="105"/>
      <c r="J103" s="83"/>
      <c r="K103" s="83"/>
      <c r="L103" s="12"/>
      <c r="M103" s="28"/>
      <c r="N103" s="14"/>
      <c r="O103" s="11"/>
      <c r="P103" s="11"/>
      <c r="Q103" s="16"/>
      <c r="R103" s="2"/>
      <c r="S103" s="12"/>
      <c r="T103" s="17"/>
      <c r="U103" s="2"/>
      <c r="V103" s="18"/>
      <c r="W103" s="16"/>
    </row>
    <row r="104" spans="2:23" ht="18" x14ac:dyDescent="0.35">
      <c r="B104" s="95"/>
      <c r="C104" s="96"/>
      <c r="D104" s="97"/>
      <c r="E104" s="113"/>
      <c r="F104" s="90"/>
      <c r="G104" s="91"/>
      <c r="H104" s="92"/>
      <c r="I104" s="105"/>
      <c r="J104" s="83"/>
      <c r="K104" s="83"/>
      <c r="L104" s="12"/>
      <c r="M104" s="28"/>
      <c r="N104" s="14"/>
      <c r="O104" s="11"/>
      <c r="P104" s="11"/>
      <c r="Q104" s="16"/>
      <c r="R104" s="2"/>
      <c r="S104" s="12"/>
      <c r="T104" s="17"/>
      <c r="U104" s="2"/>
      <c r="V104" s="18"/>
      <c r="W104" s="16"/>
    </row>
    <row r="105" spans="2:23" ht="18" x14ac:dyDescent="0.35">
      <c r="B105" s="95"/>
      <c r="C105" s="96"/>
      <c r="D105" s="97"/>
      <c r="E105" s="113"/>
      <c r="F105" s="90"/>
      <c r="G105" s="91"/>
      <c r="H105" s="92"/>
      <c r="I105" s="105"/>
      <c r="J105" s="83"/>
      <c r="K105" s="83"/>
      <c r="L105" s="12"/>
      <c r="M105" s="28"/>
      <c r="N105" s="14"/>
      <c r="O105" s="11"/>
      <c r="P105" s="11"/>
      <c r="Q105" s="16"/>
      <c r="R105" s="2"/>
      <c r="S105" s="12"/>
      <c r="T105" s="17"/>
      <c r="U105" s="2"/>
      <c r="V105" s="18"/>
      <c r="W105" s="16"/>
    </row>
    <row r="106" spans="2:23" ht="18" x14ac:dyDescent="0.35">
      <c r="B106" s="95"/>
      <c r="C106" s="96"/>
      <c r="D106" s="97"/>
      <c r="E106" s="113"/>
      <c r="F106" s="90"/>
      <c r="G106" s="91"/>
      <c r="H106" s="92"/>
      <c r="I106" s="105"/>
      <c r="J106" s="83"/>
      <c r="K106" s="83"/>
      <c r="L106" s="12"/>
      <c r="M106" s="28"/>
      <c r="N106" s="14"/>
      <c r="O106" s="11"/>
      <c r="P106" s="11"/>
      <c r="Q106" s="16"/>
      <c r="R106" s="2"/>
      <c r="S106" s="12"/>
      <c r="T106" s="17"/>
      <c r="U106" s="2"/>
      <c r="V106" s="18"/>
      <c r="W106" s="16"/>
    </row>
    <row r="107" spans="2:23" ht="18" x14ac:dyDescent="0.35">
      <c r="B107" s="95"/>
      <c r="C107" s="96"/>
      <c r="D107" s="97"/>
      <c r="E107" s="113"/>
      <c r="F107" s="90"/>
      <c r="G107" s="91"/>
      <c r="H107" s="92"/>
      <c r="I107" s="105"/>
      <c r="J107" s="83"/>
      <c r="K107" s="83"/>
      <c r="L107" s="12"/>
      <c r="M107" s="28"/>
      <c r="N107" s="14"/>
      <c r="O107" s="11"/>
      <c r="P107" s="11"/>
      <c r="Q107" s="16"/>
      <c r="R107" s="2"/>
      <c r="S107" s="12"/>
      <c r="T107" s="17"/>
      <c r="U107" s="2"/>
      <c r="V107" s="18"/>
      <c r="W107" s="16"/>
    </row>
    <row r="108" spans="2:23" ht="18" x14ac:dyDescent="0.35">
      <c r="B108" s="95"/>
      <c r="C108" s="96"/>
      <c r="D108" s="97"/>
      <c r="E108" s="113"/>
      <c r="F108" s="90"/>
      <c r="G108" s="91"/>
      <c r="H108" s="92"/>
      <c r="I108" s="105"/>
      <c r="J108" s="83"/>
      <c r="K108" s="83"/>
      <c r="L108" s="12"/>
      <c r="M108" s="28"/>
      <c r="N108" s="14"/>
      <c r="O108" s="11"/>
      <c r="P108" s="11"/>
      <c r="Q108" s="16"/>
      <c r="R108" s="2"/>
      <c r="S108" s="12"/>
      <c r="T108" s="17"/>
      <c r="U108" s="2"/>
      <c r="V108" s="18"/>
      <c r="W108" s="16"/>
    </row>
    <row r="109" spans="2:23" ht="18" x14ac:dyDescent="0.35">
      <c r="B109" s="95"/>
      <c r="C109" s="96"/>
      <c r="D109" s="97"/>
      <c r="E109" s="113"/>
      <c r="F109" s="90"/>
      <c r="G109" s="91"/>
      <c r="H109" s="92"/>
      <c r="I109" s="105"/>
      <c r="J109" s="83"/>
      <c r="K109" s="83"/>
      <c r="L109" s="12"/>
      <c r="M109" s="28"/>
      <c r="N109" s="14"/>
      <c r="O109" s="11"/>
      <c r="P109" s="11"/>
      <c r="Q109" s="16"/>
      <c r="R109" s="2"/>
      <c r="S109" s="12"/>
      <c r="T109" s="17"/>
      <c r="U109" s="2"/>
      <c r="V109" s="18"/>
      <c r="W109" s="16"/>
    </row>
    <row r="110" spans="2:23" ht="18" x14ac:dyDescent="0.35">
      <c r="B110" s="95"/>
      <c r="C110" s="96"/>
      <c r="D110" s="97"/>
      <c r="E110" s="113"/>
      <c r="F110" s="90"/>
      <c r="G110" s="91"/>
      <c r="H110" s="92"/>
      <c r="I110" s="105"/>
      <c r="J110" s="83"/>
      <c r="K110" s="83"/>
      <c r="L110" s="12"/>
      <c r="M110" s="28"/>
      <c r="N110" s="14"/>
      <c r="O110" s="11"/>
      <c r="P110" s="11"/>
      <c r="Q110" s="16"/>
      <c r="R110" s="2"/>
      <c r="S110" s="12"/>
      <c r="T110" s="17"/>
      <c r="U110" s="2"/>
      <c r="V110" s="18"/>
      <c r="W110" s="16"/>
    </row>
    <row r="111" spans="2:23" ht="18" x14ac:dyDescent="0.35">
      <c r="B111" s="95"/>
      <c r="C111" s="96"/>
      <c r="D111" s="97"/>
      <c r="E111" s="113"/>
      <c r="F111" s="90"/>
      <c r="G111" s="91"/>
      <c r="H111" s="92"/>
      <c r="I111" s="105"/>
      <c r="J111" s="83"/>
      <c r="K111" s="83"/>
      <c r="L111" s="12"/>
      <c r="M111" s="28"/>
      <c r="N111" s="14"/>
      <c r="O111" s="11"/>
      <c r="P111" s="11"/>
      <c r="Q111" s="16"/>
      <c r="R111" s="2"/>
      <c r="S111" s="12"/>
      <c r="T111" s="17"/>
      <c r="U111" s="2"/>
      <c r="V111" s="18"/>
      <c r="W111" s="16"/>
    </row>
    <row r="112" spans="2:23" ht="18" x14ac:dyDescent="0.35">
      <c r="B112" s="95"/>
      <c r="C112" s="96"/>
      <c r="D112" s="97"/>
      <c r="E112" s="113"/>
      <c r="F112" s="90"/>
      <c r="G112" s="91"/>
      <c r="H112" s="92"/>
      <c r="I112" s="105"/>
      <c r="J112" s="83"/>
      <c r="K112" s="83"/>
      <c r="L112" s="12"/>
      <c r="M112" s="28"/>
      <c r="N112" s="14"/>
      <c r="O112" s="11"/>
      <c r="P112" s="11"/>
      <c r="Q112" s="16"/>
      <c r="R112" s="2"/>
      <c r="S112" s="12"/>
      <c r="T112" s="17"/>
      <c r="U112" s="2"/>
      <c r="V112" s="18"/>
      <c r="W112" s="16"/>
    </row>
    <row r="113" spans="2:23" ht="18" x14ac:dyDescent="0.35">
      <c r="B113" s="95"/>
      <c r="C113" s="96"/>
      <c r="D113" s="97"/>
      <c r="E113" s="113"/>
      <c r="F113" s="90"/>
      <c r="G113" s="91"/>
      <c r="H113" s="92"/>
      <c r="I113" s="105"/>
      <c r="J113" s="83"/>
      <c r="K113" s="83"/>
      <c r="L113" s="12"/>
      <c r="M113" s="28"/>
      <c r="N113" s="14"/>
      <c r="O113" s="11"/>
      <c r="P113" s="11"/>
      <c r="Q113" s="16"/>
      <c r="R113" s="2"/>
      <c r="S113" s="12"/>
      <c r="T113" s="17"/>
      <c r="U113" s="2"/>
      <c r="V113" s="18"/>
      <c r="W113" s="16"/>
    </row>
    <row r="114" spans="2:23" ht="18" x14ac:dyDescent="0.35">
      <c r="B114" s="95"/>
      <c r="C114" s="96"/>
      <c r="D114" s="97"/>
      <c r="E114" s="113"/>
      <c r="F114" s="90"/>
      <c r="G114" s="91"/>
      <c r="H114" s="92"/>
      <c r="I114" s="105"/>
      <c r="J114" s="83"/>
      <c r="K114" s="83"/>
      <c r="L114" s="12"/>
      <c r="M114" s="28"/>
      <c r="N114" s="14"/>
      <c r="O114" s="11"/>
      <c r="P114" s="11"/>
      <c r="Q114" s="16"/>
      <c r="R114" s="2"/>
      <c r="S114" s="12"/>
      <c r="T114" s="17"/>
      <c r="U114" s="2"/>
      <c r="V114" s="18"/>
      <c r="W114" s="16"/>
    </row>
    <row r="115" spans="2:23" ht="18" x14ac:dyDescent="0.35">
      <c r="B115" s="95"/>
      <c r="C115" s="96"/>
      <c r="D115" s="97"/>
      <c r="E115" s="113"/>
      <c r="F115" s="90"/>
      <c r="G115" s="91"/>
      <c r="H115" s="92"/>
      <c r="I115" s="105"/>
      <c r="J115" s="83"/>
      <c r="K115" s="83"/>
      <c r="L115" s="12"/>
      <c r="M115" s="28"/>
      <c r="N115" s="14"/>
      <c r="O115" s="11"/>
      <c r="P115" s="11"/>
      <c r="Q115" s="16"/>
      <c r="R115" s="2"/>
      <c r="S115" s="12"/>
      <c r="T115" s="17"/>
      <c r="U115" s="2"/>
      <c r="V115" s="18"/>
      <c r="W115" s="16"/>
    </row>
    <row r="116" spans="2:23" ht="18" x14ac:dyDescent="0.35">
      <c r="B116" s="95"/>
      <c r="C116" s="96"/>
      <c r="D116" s="97"/>
      <c r="E116" s="113"/>
      <c r="F116" s="90"/>
      <c r="G116" s="91"/>
      <c r="H116" s="92"/>
      <c r="I116" s="105"/>
      <c r="J116" s="83"/>
      <c r="K116" s="83"/>
      <c r="L116" s="12"/>
      <c r="M116" s="28"/>
      <c r="N116" s="14"/>
      <c r="O116" s="11"/>
      <c r="P116" s="11"/>
      <c r="Q116" s="16"/>
      <c r="R116" s="2"/>
      <c r="S116" s="12"/>
      <c r="T116" s="17"/>
      <c r="U116" s="2"/>
      <c r="V116" s="18"/>
      <c r="W116" s="16"/>
    </row>
    <row r="117" spans="2:23" ht="18" x14ac:dyDescent="0.35">
      <c r="B117" s="95"/>
      <c r="C117" s="96"/>
      <c r="D117" s="97"/>
      <c r="E117" s="113"/>
      <c r="F117" s="90"/>
      <c r="G117" s="91"/>
      <c r="H117" s="92"/>
      <c r="I117" s="105"/>
      <c r="J117" s="83"/>
      <c r="K117" s="83"/>
      <c r="L117" s="12"/>
      <c r="M117" s="28"/>
      <c r="N117" s="14"/>
      <c r="O117" s="11"/>
      <c r="P117" s="11"/>
      <c r="Q117" s="16"/>
      <c r="R117" s="2"/>
      <c r="S117" s="12"/>
      <c r="T117" s="17"/>
      <c r="U117" s="2"/>
      <c r="V117" s="18"/>
      <c r="W117" s="16"/>
    </row>
    <row r="118" spans="2:23" ht="18" x14ac:dyDescent="0.35">
      <c r="B118" s="95"/>
      <c r="C118" s="96"/>
      <c r="D118" s="97"/>
      <c r="E118" s="113"/>
      <c r="F118" s="90"/>
      <c r="G118" s="91"/>
      <c r="H118" s="92"/>
      <c r="I118" s="105"/>
      <c r="J118" s="83"/>
      <c r="K118" s="83"/>
      <c r="L118" s="12"/>
      <c r="M118" s="28"/>
      <c r="N118" s="14"/>
      <c r="O118" s="11"/>
      <c r="P118" s="11"/>
      <c r="Q118" s="16"/>
      <c r="R118" s="2"/>
      <c r="S118" s="12"/>
      <c r="T118" s="17"/>
      <c r="U118" s="2"/>
      <c r="V118" s="18"/>
      <c r="W118" s="16"/>
    </row>
    <row r="119" spans="2:23" ht="18" x14ac:dyDescent="0.35">
      <c r="B119" s="95"/>
      <c r="C119" s="96"/>
      <c r="D119" s="97"/>
      <c r="E119" s="113"/>
      <c r="F119" s="90"/>
      <c r="G119" s="91"/>
      <c r="H119" s="92"/>
      <c r="I119" s="105"/>
      <c r="J119" s="83"/>
      <c r="K119" s="83"/>
      <c r="L119" s="12"/>
      <c r="M119" s="28"/>
      <c r="N119" s="14"/>
      <c r="O119" s="11"/>
      <c r="P119" s="11"/>
      <c r="Q119" s="16"/>
      <c r="R119" s="2"/>
      <c r="S119" s="12"/>
      <c r="T119" s="17"/>
      <c r="U119" s="2"/>
      <c r="V119" s="18"/>
      <c r="W119" s="16"/>
    </row>
    <row r="120" spans="2:23" ht="18" x14ac:dyDescent="0.35">
      <c r="B120" s="95"/>
      <c r="C120" s="96"/>
      <c r="D120" s="97"/>
      <c r="E120" s="113"/>
      <c r="F120" s="90"/>
      <c r="G120" s="91"/>
      <c r="H120" s="92"/>
      <c r="I120" s="105"/>
      <c r="J120" s="83"/>
      <c r="K120" s="83"/>
      <c r="L120" s="12"/>
      <c r="M120" s="28"/>
      <c r="N120" s="14"/>
      <c r="O120" s="11"/>
      <c r="P120" s="11"/>
      <c r="Q120" s="16"/>
      <c r="R120" s="2"/>
      <c r="S120" s="12"/>
      <c r="T120" s="17"/>
      <c r="U120" s="2"/>
      <c r="V120" s="18"/>
      <c r="W120" s="16"/>
    </row>
    <row r="121" spans="2:23" ht="18" x14ac:dyDescent="0.35">
      <c r="B121" s="95"/>
      <c r="C121" s="96"/>
      <c r="D121" s="97"/>
      <c r="E121" s="113"/>
      <c r="F121" s="90"/>
      <c r="G121" s="91"/>
      <c r="H121" s="92"/>
      <c r="I121" s="105"/>
      <c r="J121" s="83"/>
      <c r="K121" s="83"/>
      <c r="L121" s="12"/>
      <c r="M121" s="28"/>
      <c r="N121" s="14"/>
      <c r="O121" s="11"/>
      <c r="P121" s="11"/>
      <c r="Q121" s="16"/>
      <c r="R121" s="2"/>
      <c r="S121" s="12"/>
      <c r="T121" s="17"/>
      <c r="U121" s="2"/>
      <c r="V121" s="18"/>
      <c r="W121" s="16"/>
    </row>
    <row r="122" spans="2:23" ht="18" x14ac:dyDescent="0.35">
      <c r="B122" s="95"/>
      <c r="C122" s="96"/>
      <c r="D122" s="97"/>
      <c r="E122" s="113"/>
      <c r="F122" s="99"/>
      <c r="G122" s="100"/>
      <c r="H122" s="101"/>
      <c r="I122" s="105"/>
      <c r="J122" s="83"/>
      <c r="K122" s="83"/>
      <c r="L122" s="12"/>
      <c r="M122" s="28"/>
      <c r="N122" s="14"/>
      <c r="O122" s="11"/>
      <c r="P122" s="11"/>
      <c r="Q122" s="16"/>
      <c r="R122" s="2"/>
      <c r="S122" s="12"/>
      <c r="T122" s="17"/>
      <c r="U122" s="2"/>
      <c r="V122" s="18"/>
      <c r="W122" s="16"/>
    </row>
    <row r="123" spans="2:23" ht="18" x14ac:dyDescent="0.35">
      <c r="B123" s="95"/>
      <c r="C123" s="96"/>
      <c r="D123" s="97"/>
      <c r="E123" s="113"/>
      <c r="F123" s="99"/>
      <c r="G123" s="100"/>
      <c r="H123" s="101"/>
      <c r="I123" s="105"/>
      <c r="J123" s="83"/>
      <c r="K123" s="83"/>
      <c r="L123" s="12"/>
      <c r="M123" s="28"/>
      <c r="N123" s="14"/>
      <c r="O123" s="11"/>
      <c r="P123" s="11"/>
      <c r="Q123" s="16"/>
      <c r="R123" s="2"/>
      <c r="S123" s="12"/>
      <c r="T123" s="17"/>
      <c r="U123" s="2"/>
      <c r="V123" s="18"/>
      <c r="W123" s="16"/>
    </row>
    <row r="124" spans="2:23" ht="18" x14ac:dyDescent="0.35">
      <c r="B124" s="95"/>
      <c r="C124" s="96"/>
      <c r="D124" s="97"/>
      <c r="E124" s="113"/>
      <c r="F124" s="99"/>
      <c r="G124" s="100"/>
      <c r="H124" s="101"/>
      <c r="I124" s="105"/>
      <c r="J124" s="83"/>
      <c r="K124" s="83"/>
      <c r="L124" s="12"/>
      <c r="M124" s="28"/>
      <c r="N124" s="14"/>
      <c r="O124" s="11"/>
      <c r="P124" s="11"/>
      <c r="Q124" s="16"/>
      <c r="R124" s="2"/>
      <c r="S124" s="12"/>
      <c r="T124" s="17"/>
      <c r="U124" s="2"/>
      <c r="V124" s="18"/>
      <c r="W124" s="16"/>
    </row>
    <row r="125" spans="2:23" ht="18" x14ac:dyDescent="0.35">
      <c r="B125" s="95"/>
      <c r="C125" s="96"/>
      <c r="D125" s="97"/>
      <c r="E125" s="113"/>
      <c r="F125" s="99"/>
      <c r="G125" s="100"/>
      <c r="H125" s="101"/>
      <c r="I125" s="105"/>
      <c r="J125" s="83"/>
      <c r="K125" s="83"/>
      <c r="L125" s="12"/>
      <c r="M125" s="28"/>
      <c r="N125" s="14"/>
      <c r="O125" s="11"/>
      <c r="P125" s="11"/>
      <c r="Q125" s="16"/>
      <c r="R125" s="2"/>
      <c r="S125" s="12"/>
      <c r="T125" s="17"/>
      <c r="U125" s="2"/>
      <c r="V125" s="18"/>
      <c r="W125" s="16"/>
    </row>
    <row r="126" spans="2:23" ht="18" x14ac:dyDescent="0.35">
      <c r="B126" s="95"/>
      <c r="C126" s="96"/>
      <c r="D126" s="97"/>
      <c r="E126" s="113"/>
      <c r="F126" s="99"/>
      <c r="G126" s="100"/>
      <c r="H126" s="101"/>
      <c r="I126" s="105"/>
      <c r="J126" s="83"/>
      <c r="K126" s="83"/>
      <c r="L126" s="12"/>
      <c r="M126" s="28"/>
      <c r="N126" s="14"/>
      <c r="O126" s="11"/>
      <c r="P126" s="11"/>
      <c r="Q126" s="16"/>
      <c r="R126" s="2"/>
      <c r="S126" s="12"/>
      <c r="T126" s="17"/>
      <c r="U126" s="2"/>
      <c r="V126" s="18"/>
      <c r="W126" s="16"/>
    </row>
    <row r="127" spans="2:23" ht="18" x14ac:dyDescent="0.35">
      <c r="B127" s="95"/>
      <c r="C127" s="96"/>
      <c r="D127" s="97"/>
      <c r="E127" s="113"/>
      <c r="F127" s="99"/>
      <c r="G127" s="100"/>
      <c r="H127" s="101"/>
      <c r="I127" s="105"/>
      <c r="J127" s="83"/>
      <c r="K127" s="83"/>
      <c r="L127" s="12"/>
      <c r="M127" s="28"/>
      <c r="N127" s="14"/>
      <c r="O127" s="11"/>
      <c r="P127" s="11"/>
      <c r="Q127" s="16"/>
      <c r="R127" s="2"/>
      <c r="S127" s="12"/>
      <c r="T127" s="17"/>
      <c r="U127" s="2"/>
      <c r="V127" s="18"/>
      <c r="W127" s="16"/>
    </row>
    <row r="128" spans="2:23" ht="18" x14ac:dyDescent="0.35">
      <c r="B128" s="95"/>
      <c r="C128" s="96"/>
      <c r="D128" s="97"/>
      <c r="E128" s="113"/>
      <c r="F128" s="99"/>
      <c r="G128" s="100"/>
      <c r="H128" s="101"/>
      <c r="I128" s="105"/>
      <c r="J128" s="83"/>
      <c r="K128" s="83"/>
      <c r="L128" s="12"/>
      <c r="M128" s="28"/>
      <c r="N128" s="14"/>
      <c r="O128" s="11"/>
      <c r="P128" s="11"/>
      <c r="Q128" s="16"/>
      <c r="R128" s="2"/>
      <c r="S128" s="12"/>
      <c r="T128" s="17"/>
      <c r="U128" s="2"/>
      <c r="V128" s="18"/>
      <c r="W128" s="16"/>
    </row>
    <row r="129" spans="1:23" ht="18.600000000000001" thickBot="1" x14ac:dyDescent="0.4">
      <c r="B129" s="114"/>
      <c r="C129" s="115"/>
      <c r="D129" s="116"/>
      <c r="E129" s="113"/>
      <c r="F129" s="117"/>
      <c r="G129" s="118"/>
      <c r="H129" s="119"/>
      <c r="I129" s="105"/>
      <c r="J129" s="83"/>
      <c r="K129" s="83"/>
      <c r="L129" s="30"/>
      <c r="M129" s="31"/>
      <c r="N129" s="32"/>
      <c r="O129" s="29"/>
      <c r="P129" s="29"/>
      <c r="Q129" s="33"/>
      <c r="R129" s="2"/>
      <c r="S129" s="30"/>
      <c r="T129" s="34"/>
      <c r="U129" s="2"/>
      <c r="V129" s="35"/>
      <c r="W129" s="33"/>
    </row>
    <row r="130" spans="1:23" ht="18.600000000000001" thickBot="1" x14ac:dyDescent="0.4">
      <c r="A130" s="120" t="s">
        <v>15</v>
      </c>
      <c r="B130" s="121">
        <f>SUM(B9:B129)</f>
        <v>0</v>
      </c>
      <c r="C130" s="122"/>
      <c r="D130" s="121"/>
      <c r="E130" s="123">
        <f>SUM(E9:E129)</f>
        <v>0</v>
      </c>
      <c r="F130" s="124">
        <f>SUM(F9:F129)</f>
        <v>0</v>
      </c>
      <c r="G130" s="82"/>
      <c r="H130" s="125"/>
      <c r="I130" s="125">
        <f>SUM(I9:I129)</f>
        <v>0</v>
      </c>
      <c r="J130" s="83"/>
      <c r="K130" s="83"/>
      <c r="L130" s="126"/>
      <c r="M130" s="126">
        <f>SUM(M9:M129)</f>
        <v>0</v>
      </c>
      <c r="N130" s="127">
        <f>SUM(N9:N129)</f>
        <v>0</v>
      </c>
      <c r="O130" s="82"/>
      <c r="P130" s="82">
        <f>SUM(P9:P129)</f>
        <v>0</v>
      </c>
      <c r="Q130" s="128">
        <f>SUM(Q9:Q129)</f>
        <v>0</v>
      </c>
      <c r="R130" s="83"/>
      <c r="S130" s="84"/>
      <c r="T130" s="129">
        <f>SUM(T9:T129)</f>
        <v>0</v>
      </c>
      <c r="U130" s="83"/>
      <c r="V130" s="82"/>
      <c r="W130" s="130">
        <f>SUM(W9:W129)</f>
        <v>0</v>
      </c>
    </row>
  </sheetData>
  <mergeCells count="8">
    <mergeCell ref="V5:W5"/>
    <mergeCell ref="Y5:Z5"/>
    <mergeCell ref="E1:G1"/>
    <mergeCell ref="B2:C2"/>
    <mergeCell ref="B3:C3"/>
    <mergeCell ref="B5:I5"/>
    <mergeCell ref="L5:Q5"/>
    <mergeCell ref="S5:T5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CE560E-A100-4819-BB4D-9909E59127F5}">
  <sheetPr codeName="Sheet44"/>
  <dimension ref="A1:Z130"/>
  <sheetViews>
    <sheetView topLeftCell="K7" zoomScale="80" zoomScaleNormal="80" workbookViewId="0">
      <selection activeCell="L10" sqref="L10"/>
    </sheetView>
  </sheetViews>
  <sheetFormatPr defaultColWidth="9.109375" defaultRowHeight="14.4" x14ac:dyDescent="0.3"/>
  <cols>
    <col min="1" max="1" width="15.5546875" style="36" customWidth="1"/>
    <col min="2" max="2" width="15.88671875" style="36" customWidth="1"/>
    <col min="3" max="3" width="20" style="76" customWidth="1"/>
    <col min="4" max="4" width="20.33203125" style="36" customWidth="1"/>
    <col min="5" max="5" width="22.33203125" style="36" customWidth="1"/>
    <col min="6" max="6" width="14.6640625" style="36" customWidth="1"/>
    <col min="7" max="7" width="22" style="76" customWidth="1"/>
    <col min="8" max="8" width="18.88671875" style="36" customWidth="1"/>
    <col min="9" max="9" width="23" style="36" customWidth="1"/>
    <col min="10" max="11" width="9.109375" style="36"/>
    <col min="12" max="12" width="20.6640625" style="76" customWidth="1"/>
    <col min="13" max="13" width="15.44140625" style="76" customWidth="1"/>
    <col min="14" max="14" width="22.6640625" style="36" customWidth="1"/>
    <col min="15" max="15" width="20.5546875" style="76" customWidth="1"/>
    <col min="16" max="16" width="13.33203125" style="76" customWidth="1"/>
    <col min="17" max="17" width="21.5546875" style="76" customWidth="1"/>
    <col min="18" max="18" width="9.109375" style="36"/>
    <col min="19" max="19" width="22" style="76" customWidth="1"/>
    <col min="20" max="20" width="22.33203125" style="76" customWidth="1"/>
    <col min="21" max="21" width="9.109375" style="36"/>
    <col min="22" max="22" width="21.88671875" style="76" customWidth="1"/>
    <col min="23" max="23" width="23.109375" style="76" customWidth="1"/>
    <col min="24" max="24" width="9.109375" style="36"/>
    <col min="25" max="25" width="21.33203125" style="36" customWidth="1"/>
    <col min="26" max="26" width="21.88671875" style="36" customWidth="1"/>
    <col min="27" max="16384" width="9.109375" style="36"/>
  </cols>
  <sheetData>
    <row r="1" spans="2:26" ht="21" x14ac:dyDescent="0.4">
      <c r="E1" s="189">
        <v>44182</v>
      </c>
      <c r="F1" s="189"/>
      <c r="G1" s="189"/>
    </row>
    <row r="2" spans="2:26" ht="18" x14ac:dyDescent="0.35">
      <c r="B2" s="190" t="s">
        <v>0</v>
      </c>
      <c r="C2" s="190"/>
      <c r="D2" s="1">
        <v>20000</v>
      </c>
    </row>
    <row r="3" spans="2:26" ht="18" x14ac:dyDescent="0.35">
      <c r="B3" s="190" t="s">
        <v>1</v>
      </c>
      <c r="C3" s="190"/>
      <c r="D3" s="77">
        <f>(D2-E130-I130)</f>
        <v>13348.400000000001</v>
      </c>
    </row>
    <row r="5" spans="2:26" ht="36.6" x14ac:dyDescent="0.7">
      <c r="B5" s="187" t="s">
        <v>2</v>
      </c>
      <c r="C5" s="187"/>
      <c r="D5" s="187"/>
      <c r="E5" s="187"/>
      <c r="F5" s="187"/>
      <c r="G5" s="187"/>
      <c r="H5" s="187"/>
      <c r="I5" s="187"/>
      <c r="L5" s="187" t="s">
        <v>3</v>
      </c>
      <c r="M5" s="187"/>
      <c r="N5" s="187"/>
      <c r="O5" s="187"/>
      <c r="P5" s="187"/>
      <c r="Q5" s="187"/>
      <c r="S5" s="191" t="s">
        <v>4</v>
      </c>
      <c r="T5" s="191"/>
      <c r="V5" s="187" t="s">
        <v>5</v>
      </c>
      <c r="W5" s="187"/>
      <c r="Y5" s="188" t="s">
        <v>105</v>
      </c>
      <c r="Z5" s="187"/>
    </row>
    <row r="7" spans="2:26" ht="15" thickBot="1" x14ac:dyDescent="0.35"/>
    <row r="8" spans="2:26" ht="18.600000000000001" thickBot="1" x14ac:dyDescent="0.4">
      <c r="B8" s="78" t="s">
        <v>6</v>
      </c>
      <c r="C8" s="79" t="s">
        <v>7</v>
      </c>
      <c r="D8" s="78" t="s">
        <v>8</v>
      </c>
      <c r="E8" s="80" t="s">
        <v>9</v>
      </c>
      <c r="F8" s="81" t="s">
        <v>6</v>
      </c>
      <c r="G8" s="81" t="s">
        <v>10</v>
      </c>
      <c r="H8" s="81" t="s">
        <v>8</v>
      </c>
      <c r="I8" s="82" t="s">
        <v>9</v>
      </c>
      <c r="J8" s="83"/>
      <c r="K8" s="83"/>
      <c r="L8" s="84" t="s">
        <v>11</v>
      </c>
      <c r="M8" s="84" t="s">
        <v>6</v>
      </c>
      <c r="N8" s="84" t="s">
        <v>9</v>
      </c>
      <c r="O8" s="82" t="s">
        <v>12</v>
      </c>
      <c r="P8" s="82" t="s">
        <v>6</v>
      </c>
      <c r="Q8" s="82" t="s">
        <v>9</v>
      </c>
      <c r="R8" s="83"/>
      <c r="S8" s="84" t="s">
        <v>13</v>
      </c>
      <c r="T8" s="85" t="s">
        <v>9</v>
      </c>
      <c r="U8" s="83"/>
      <c r="V8" s="82" t="s">
        <v>14</v>
      </c>
      <c r="W8" s="82" t="s">
        <v>9</v>
      </c>
      <c r="Y8" s="146" t="s">
        <v>106</v>
      </c>
      <c r="Z8" s="147" t="s">
        <v>107</v>
      </c>
    </row>
    <row r="9" spans="2:26" ht="18" x14ac:dyDescent="0.35">
      <c r="B9" s="86">
        <v>12</v>
      </c>
      <c r="C9" s="87" t="s">
        <v>76</v>
      </c>
      <c r="D9" s="88">
        <v>2.2999999999999998</v>
      </c>
      <c r="E9" s="89">
        <v>27.599999999999998</v>
      </c>
      <c r="F9" s="90">
        <v>12</v>
      </c>
      <c r="G9" s="91" t="s">
        <v>19</v>
      </c>
      <c r="H9" s="92">
        <v>2</v>
      </c>
      <c r="I9" s="93">
        <v>24</v>
      </c>
      <c r="J9" s="83"/>
      <c r="K9" s="83"/>
      <c r="L9" s="3" t="s">
        <v>124</v>
      </c>
      <c r="M9" s="4">
        <v>600</v>
      </c>
      <c r="N9" s="5">
        <v>32000</v>
      </c>
      <c r="O9" s="6"/>
      <c r="P9" s="7"/>
      <c r="Q9" s="8"/>
      <c r="R9" s="2"/>
      <c r="S9" s="3"/>
      <c r="T9" s="9"/>
      <c r="U9" s="2"/>
      <c r="V9" s="10"/>
      <c r="W9" s="8"/>
      <c r="Y9" s="148" t="s">
        <v>88</v>
      </c>
      <c r="Z9" s="151">
        <f>SUMIF($C$9:$C$129, Y9, $B$9:$B$129)</f>
        <v>0</v>
      </c>
    </row>
    <row r="10" spans="2:26" ht="18" x14ac:dyDescent="0.35">
      <c r="B10" s="95"/>
      <c r="C10" s="96"/>
      <c r="D10" s="97"/>
      <c r="E10" s="98"/>
      <c r="F10" s="90">
        <v>70</v>
      </c>
      <c r="G10" s="91" t="s">
        <v>22</v>
      </c>
      <c r="H10" s="92">
        <v>84</v>
      </c>
      <c r="I10" s="93">
        <v>5880</v>
      </c>
      <c r="J10" s="83"/>
      <c r="K10" s="83"/>
      <c r="L10" s="12"/>
      <c r="M10" s="13"/>
      <c r="N10" s="14"/>
      <c r="O10" s="11"/>
      <c r="P10" s="15"/>
      <c r="Q10" s="16"/>
      <c r="R10" s="2"/>
      <c r="S10" s="12"/>
      <c r="T10" s="17"/>
      <c r="U10" s="2"/>
      <c r="V10" s="18"/>
      <c r="W10" s="8"/>
      <c r="Y10" s="149" t="s">
        <v>76</v>
      </c>
      <c r="Z10" s="151">
        <f t="shared" ref="Z10:Z11" si="0">SUMIF($C$9:$C$129, Y10, $B$9:$B$129)</f>
        <v>12</v>
      </c>
    </row>
    <row r="11" spans="2:26" ht="18" x14ac:dyDescent="0.35">
      <c r="B11" s="95"/>
      <c r="C11" s="96"/>
      <c r="D11" s="97"/>
      <c r="E11" s="98"/>
      <c r="F11" s="90">
        <v>9</v>
      </c>
      <c r="G11" s="91" t="s">
        <v>90</v>
      </c>
      <c r="H11" s="92">
        <v>80</v>
      </c>
      <c r="I11" s="93">
        <v>720</v>
      </c>
      <c r="J11" s="83"/>
      <c r="K11" s="83"/>
      <c r="L11" s="12"/>
      <c r="M11" s="13"/>
      <c r="N11" s="14"/>
      <c r="O11" s="11"/>
      <c r="P11" s="15"/>
      <c r="Q11" s="16"/>
      <c r="R11" s="2"/>
      <c r="S11" s="12"/>
      <c r="T11" s="17"/>
      <c r="U11" s="2"/>
      <c r="V11" s="18"/>
      <c r="W11" s="8"/>
      <c r="Y11" s="149" t="s">
        <v>77</v>
      </c>
      <c r="Z11" s="151">
        <f t="shared" si="0"/>
        <v>0</v>
      </c>
    </row>
    <row r="12" spans="2:26" ht="18" x14ac:dyDescent="0.35">
      <c r="B12" s="95"/>
      <c r="C12" s="96"/>
      <c r="D12" s="97"/>
      <c r="E12" s="98"/>
      <c r="F12" s="90"/>
      <c r="G12" s="91"/>
      <c r="H12" s="92"/>
      <c r="I12" s="93"/>
      <c r="J12" s="83"/>
      <c r="K12" s="83"/>
      <c r="L12" s="12"/>
      <c r="M12" s="13"/>
      <c r="N12" s="14"/>
      <c r="O12" s="11"/>
      <c r="P12" s="15"/>
      <c r="Q12" s="16"/>
      <c r="R12" s="2"/>
      <c r="S12" s="12"/>
      <c r="T12" s="17"/>
      <c r="U12" s="2"/>
      <c r="V12" s="18"/>
      <c r="W12" s="8"/>
      <c r="Y12" s="149" t="s">
        <v>89</v>
      </c>
      <c r="Z12" s="152">
        <f>SUMIF($G$9:$G$129, Y12, $F$9:$F$129)</f>
        <v>0</v>
      </c>
    </row>
    <row r="13" spans="2:26" ht="18" x14ac:dyDescent="0.35">
      <c r="B13" s="95"/>
      <c r="C13" s="96"/>
      <c r="D13" s="97"/>
      <c r="E13" s="98"/>
      <c r="F13" s="90"/>
      <c r="G13" s="91"/>
      <c r="H13" s="92"/>
      <c r="I13" s="93"/>
      <c r="J13" s="83"/>
      <c r="K13" s="83"/>
      <c r="L13" s="12"/>
      <c r="M13" s="13"/>
      <c r="N13" s="14"/>
      <c r="O13" s="11"/>
      <c r="P13" s="15"/>
      <c r="Q13" s="16"/>
      <c r="R13" s="2"/>
      <c r="S13" s="12"/>
      <c r="T13" s="17"/>
      <c r="U13" s="2"/>
      <c r="V13" s="18"/>
      <c r="W13" s="8"/>
      <c r="Y13" s="149" t="s">
        <v>20</v>
      </c>
      <c r="Z13" s="152">
        <f t="shared" ref="Z13:Z76" si="1">SUMIF($G$9:$G$129, Y13, $F$9:$F$129)</f>
        <v>0</v>
      </c>
    </row>
    <row r="14" spans="2:26" ht="18" x14ac:dyDescent="0.35">
      <c r="B14" s="95"/>
      <c r="C14" s="96"/>
      <c r="D14" s="97"/>
      <c r="E14" s="98"/>
      <c r="F14" s="90"/>
      <c r="G14" s="91"/>
      <c r="H14" s="92"/>
      <c r="I14" s="93"/>
      <c r="J14" s="83"/>
      <c r="K14" s="83"/>
      <c r="L14" s="12"/>
      <c r="M14" s="13"/>
      <c r="N14" s="14"/>
      <c r="O14" s="11"/>
      <c r="P14" s="15"/>
      <c r="Q14" s="16"/>
      <c r="R14" s="2"/>
      <c r="S14" s="12"/>
      <c r="T14" s="17"/>
      <c r="U14" s="2"/>
      <c r="V14" s="18"/>
      <c r="W14" s="8"/>
      <c r="Y14" s="149" t="s">
        <v>19</v>
      </c>
      <c r="Z14" s="152">
        <f t="shared" si="1"/>
        <v>12</v>
      </c>
    </row>
    <row r="15" spans="2:26" ht="18" x14ac:dyDescent="0.35">
      <c r="B15" s="95"/>
      <c r="C15" s="96"/>
      <c r="D15" s="97"/>
      <c r="E15" s="98"/>
      <c r="F15" s="90"/>
      <c r="G15" s="91"/>
      <c r="H15" s="92"/>
      <c r="I15" s="93"/>
      <c r="J15" s="83"/>
      <c r="K15" s="83"/>
      <c r="L15" s="12"/>
      <c r="M15" s="13"/>
      <c r="N15" s="14"/>
      <c r="O15" s="11"/>
      <c r="P15" s="15"/>
      <c r="Q15" s="16"/>
      <c r="R15" s="2"/>
      <c r="S15" s="12"/>
      <c r="T15" s="17"/>
      <c r="U15" s="2"/>
      <c r="V15" s="18"/>
      <c r="W15" s="8"/>
      <c r="Y15" s="149" t="s">
        <v>18</v>
      </c>
      <c r="Z15" s="152">
        <f t="shared" si="1"/>
        <v>0</v>
      </c>
    </row>
    <row r="16" spans="2:26" ht="18" x14ac:dyDescent="0.35">
      <c r="B16" s="95"/>
      <c r="C16" s="96"/>
      <c r="D16" s="97"/>
      <c r="E16" s="98"/>
      <c r="F16" s="90"/>
      <c r="G16" s="91"/>
      <c r="H16" s="92"/>
      <c r="I16" s="93"/>
      <c r="J16" s="83"/>
      <c r="K16" s="83"/>
      <c r="L16" s="12"/>
      <c r="M16" s="13"/>
      <c r="N16" s="14"/>
      <c r="O16" s="11"/>
      <c r="P16" s="15"/>
      <c r="Q16" s="16"/>
      <c r="R16" s="2"/>
      <c r="S16" s="12"/>
      <c r="T16" s="17"/>
      <c r="U16" s="2"/>
      <c r="V16" s="18"/>
      <c r="W16" s="8"/>
      <c r="Y16" s="149" t="s">
        <v>22</v>
      </c>
      <c r="Z16" s="152">
        <f t="shared" si="1"/>
        <v>70</v>
      </c>
    </row>
    <row r="17" spans="2:26" ht="18" x14ac:dyDescent="0.35">
      <c r="B17" s="95"/>
      <c r="C17" s="96"/>
      <c r="D17" s="97"/>
      <c r="E17" s="98"/>
      <c r="F17" s="90"/>
      <c r="G17" s="91"/>
      <c r="H17" s="92"/>
      <c r="I17" s="93"/>
      <c r="J17" s="83"/>
      <c r="K17" s="83"/>
      <c r="L17" s="12"/>
      <c r="M17" s="13"/>
      <c r="N17" s="14"/>
      <c r="O17" s="11"/>
      <c r="P17" s="15"/>
      <c r="Q17" s="16"/>
      <c r="R17" s="2"/>
      <c r="S17" s="12"/>
      <c r="T17" s="17"/>
      <c r="U17" s="2"/>
      <c r="V17" s="18"/>
      <c r="W17" s="8"/>
      <c r="Y17" s="149" t="s">
        <v>67</v>
      </c>
      <c r="Z17" s="152">
        <f t="shared" si="1"/>
        <v>0</v>
      </c>
    </row>
    <row r="18" spans="2:26" ht="18" x14ac:dyDescent="0.35">
      <c r="B18" s="95"/>
      <c r="C18" s="96"/>
      <c r="D18" s="97"/>
      <c r="E18" s="98"/>
      <c r="F18" s="90"/>
      <c r="G18" s="91"/>
      <c r="H18" s="92"/>
      <c r="I18" s="93"/>
      <c r="J18" s="83"/>
      <c r="K18" s="83"/>
      <c r="L18" s="12"/>
      <c r="M18" s="13"/>
      <c r="N18" s="14"/>
      <c r="O18" s="11"/>
      <c r="P18" s="15"/>
      <c r="Q18" s="16"/>
      <c r="R18" s="2"/>
      <c r="S18" s="12"/>
      <c r="T18" s="17"/>
      <c r="U18" s="2"/>
      <c r="V18" s="18"/>
      <c r="W18" s="8"/>
      <c r="Y18" s="149" t="s">
        <v>90</v>
      </c>
      <c r="Z18" s="152">
        <f t="shared" si="1"/>
        <v>9</v>
      </c>
    </row>
    <row r="19" spans="2:26" ht="18" x14ac:dyDescent="0.35">
      <c r="B19" s="95"/>
      <c r="C19" s="96"/>
      <c r="D19" s="97"/>
      <c r="E19" s="98"/>
      <c r="F19" s="90"/>
      <c r="G19" s="91"/>
      <c r="H19" s="92"/>
      <c r="I19" s="93"/>
      <c r="J19" s="83"/>
      <c r="K19" s="83"/>
      <c r="L19" s="12"/>
      <c r="M19" s="13"/>
      <c r="N19" s="14"/>
      <c r="O19" s="11"/>
      <c r="P19" s="15"/>
      <c r="Q19" s="16"/>
      <c r="R19" s="2"/>
      <c r="S19" s="12"/>
      <c r="T19" s="17"/>
      <c r="U19" s="2"/>
      <c r="V19" s="18"/>
      <c r="W19" s="8"/>
      <c r="Y19" s="149" t="s">
        <v>91</v>
      </c>
      <c r="Z19" s="152">
        <f t="shared" si="1"/>
        <v>0</v>
      </c>
    </row>
    <row r="20" spans="2:26" ht="18" x14ac:dyDescent="0.35">
      <c r="B20" s="95"/>
      <c r="C20" s="96"/>
      <c r="D20" s="97"/>
      <c r="E20" s="98"/>
      <c r="F20" s="90"/>
      <c r="G20" s="91"/>
      <c r="H20" s="92"/>
      <c r="I20" s="93"/>
      <c r="J20" s="83"/>
      <c r="K20" s="83"/>
      <c r="L20" s="12"/>
      <c r="M20" s="13"/>
      <c r="N20" s="14"/>
      <c r="O20" s="11"/>
      <c r="P20" s="15"/>
      <c r="Q20" s="16"/>
      <c r="R20" s="2"/>
      <c r="S20" s="12"/>
      <c r="T20" s="17"/>
      <c r="U20" s="2"/>
      <c r="V20" s="18"/>
      <c r="W20" s="8"/>
      <c r="Y20" s="149" t="s">
        <v>92</v>
      </c>
      <c r="Z20" s="152">
        <f t="shared" si="1"/>
        <v>0</v>
      </c>
    </row>
    <row r="21" spans="2:26" ht="18" x14ac:dyDescent="0.35">
      <c r="B21" s="95"/>
      <c r="C21" s="96"/>
      <c r="D21" s="97"/>
      <c r="E21" s="98"/>
      <c r="F21" s="90"/>
      <c r="G21" s="91"/>
      <c r="H21" s="92"/>
      <c r="I21" s="93"/>
      <c r="J21" s="83"/>
      <c r="K21" s="83"/>
      <c r="L21" s="12"/>
      <c r="M21" s="13"/>
      <c r="N21" s="14"/>
      <c r="O21" s="11"/>
      <c r="P21" s="15"/>
      <c r="Q21" s="16"/>
      <c r="R21" s="2"/>
      <c r="S21" s="12"/>
      <c r="T21" s="17"/>
      <c r="U21" s="2"/>
      <c r="V21" s="18"/>
      <c r="W21" s="8"/>
      <c r="Y21" s="149" t="s">
        <v>68</v>
      </c>
      <c r="Z21" s="152">
        <f t="shared" si="1"/>
        <v>0</v>
      </c>
    </row>
    <row r="22" spans="2:26" ht="18" x14ac:dyDescent="0.35">
      <c r="B22" s="95"/>
      <c r="C22" s="96"/>
      <c r="D22" s="97"/>
      <c r="E22" s="98"/>
      <c r="F22" s="90"/>
      <c r="G22" s="91"/>
      <c r="H22" s="92"/>
      <c r="I22" s="93"/>
      <c r="J22" s="83"/>
      <c r="K22" s="83"/>
      <c r="L22" s="12"/>
      <c r="M22" s="13"/>
      <c r="N22" s="14"/>
      <c r="O22" s="11"/>
      <c r="P22" s="15"/>
      <c r="Q22" s="16"/>
      <c r="R22" s="2"/>
      <c r="S22" s="12"/>
      <c r="T22" s="17"/>
      <c r="U22" s="2"/>
      <c r="V22" s="18"/>
      <c r="W22" s="8"/>
      <c r="Y22" s="149" t="s">
        <v>93</v>
      </c>
      <c r="Z22" s="152">
        <f t="shared" si="1"/>
        <v>0</v>
      </c>
    </row>
    <row r="23" spans="2:26" ht="18" x14ac:dyDescent="0.35">
      <c r="B23" s="95"/>
      <c r="C23" s="96"/>
      <c r="D23" s="97"/>
      <c r="E23" s="98"/>
      <c r="F23" s="90"/>
      <c r="G23" s="91"/>
      <c r="H23" s="92"/>
      <c r="I23" s="93"/>
      <c r="J23" s="83"/>
      <c r="K23" s="83"/>
      <c r="L23" s="12"/>
      <c r="M23" s="13"/>
      <c r="N23" s="14"/>
      <c r="O23" s="11"/>
      <c r="P23" s="15"/>
      <c r="Q23" s="16"/>
      <c r="R23" s="2"/>
      <c r="S23" s="12"/>
      <c r="T23" s="17"/>
      <c r="U23" s="2"/>
      <c r="V23" s="18"/>
      <c r="W23" s="8"/>
      <c r="Y23" s="149" t="s">
        <v>23</v>
      </c>
      <c r="Z23" s="152">
        <f t="shared" si="1"/>
        <v>0</v>
      </c>
    </row>
    <row r="24" spans="2:26" ht="18" x14ac:dyDescent="0.35">
      <c r="B24" s="95"/>
      <c r="C24" s="96"/>
      <c r="D24" s="97"/>
      <c r="E24" s="98"/>
      <c r="F24" s="90"/>
      <c r="G24" s="91"/>
      <c r="H24" s="92"/>
      <c r="I24" s="93"/>
      <c r="J24" s="83"/>
      <c r="K24" s="83"/>
      <c r="L24" s="12"/>
      <c r="M24" s="13"/>
      <c r="N24" s="14"/>
      <c r="O24" s="11"/>
      <c r="P24" s="15"/>
      <c r="Q24" s="16"/>
      <c r="R24" s="2"/>
      <c r="S24" s="12"/>
      <c r="T24" s="17"/>
      <c r="U24" s="2"/>
      <c r="V24" s="18"/>
      <c r="W24" s="8"/>
      <c r="Y24" s="149" t="s">
        <v>24</v>
      </c>
      <c r="Z24" s="152">
        <f t="shared" si="1"/>
        <v>0</v>
      </c>
    </row>
    <row r="25" spans="2:26" ht="18" x14ac:dyDescent="0.35">
      <c r="B25" s="95"/>
      <c r="C25" s="96"/>
      <c r="D25" s="97"/>
      <c r="E25" s="98"/>
      <c r="F25" s="90"/>
      <c r="G25" s="91"/>
      <c r="H25" s="92"/>
      <c r="I25" s="93"/>
      <c r="J25" s="83"/>
      <c r="K25" s="83"/>
      <c r="L25" s="12"/>
      <c r="M25" s="13"/>
      <c r="N25" s="14"/>
      <c r="O25" s="11"/>
      <c r="P25" s="15"/>
      <c r="Q25" s="16"/>
      <c r="R25" s="2"/>
      <c r="S25" s="12"/>
      <c r="T25" s="17"/>
      <c r="U25" s="2"/>
      <c r="V25" s="18"/>
      <c r="W25" s="8"/>
      <c r="Y25" s="149" t="s">
        <v>25</v>
      </c>
      <c r="Z25" s="152">
        <f t="shared" si="1"/>
        <v>0</v>
      </c>
    </row>
    <row r="26" spans="2:26" ht="18" x14ac:dyDescent="0.35">
      <c r="B26" s="95"/>
      <c r="C26" s="96"/>
      <c r="D26" s="97"/>
      <c r="E26" s="98"/>
      <c r="F26" s="90"/>
      <c r="G26" s="91"/>
      <c r="H26" s="92"/>
      <c r="I26" s="93"/>
      <c r="J26" s="83"/>
      <c r="K26" s="83"/>
      <c r="L26" s="12"/>
      <c r="M26" s="13"/>
      <c r="N26" s="14"/>
      <c r="O26" s="11"/>
      <c r="P26" s="15"/>
      <c r="Q26" s="16"/>
      <c r="R26" s="2"/>
      <c r="S26" s="12"/>
      <c r="T26" s="17"/>
      <c r="U26" s="2"/>
      <c r="V26" s="18"/>
      <c r="W26" s="8"/>
      <c r="Y26" s="149" t="s">
        <v>98</v>
      </c>
      <c r="Z26" s="152">
        <f t="shared" si="1"/>
        <v>0</v>
      </c>
    </row>
    <row r="27" spans="2:26" ht="18" x14ac:dyDescent="0.35">
      <c r="B27" s="95"/>
      <c r="C27" s="96"/>
      <c r="D27" s="97"/>
      <c r="E27" s="98"/>
      <c r="F27" s="90"/>
      <c r="G27" s="91"/>
      <c r="H27" s="92"/>
      <c r="I27" s="93"/>
      <c r="J27" s="83"/>
      <c r="K27" s="83"/>
      <c r="L27" s="12"/>
      <c r="M27" s="13"/>
      <c r="N27" s="14"/>
      <c r="O27" s="11"/>
      <c r="P27" s="15"/>
      <c r="Q27" s="16"/>
      <c r="R27" s="2"/>
      <c r="S27" s="12"/>
      <c r="T27" s="17"/>
      <c r="U27" s="2"/>
      <c r="V27" s="18"/>
      <c r="W27" s="8"/>
      <c r="Y27" s="149" t="s">
        <v>94</v>
      </c>
      <c r="Z27" s="152">
        <f t="shared" si="1"/>
        <v>0</v>
      </c>
    </row>
    <row r="28" spans="2:26" ht="18" x14ac:dyDescent="0.35">
      <c r="B28" s="95"/>
      <c r="C28" s="96"/>
      <c r="D28" s="97"/>
      <c r="E28" s="98"/>
      <c r="F28" s="90"/>
      <c r="G28" s="91"/>
      <c r="H28" s="92"/>
      <c r="I28" s="93"/>
      <c r="J28" s="83"/>
      <c r="K28" s="83"/>
      <c r="L28" s="12"/>
      <c r="M28" s="13"/>
      <c r="N28" s="14"/>
      <c r="O28" s="11"/>
      <c r="P28" s="15"/>
      <c r="Q28" s="16"/>
      <c r="R28" s="2"/>
      <c r="S28" s="12"/>
      <c r="T28" s="17"/>
      <c r="U28" s="2"/>
      <c r="V28" s="18"/>
      <c r="W28" s="8"/>
      <c r="Y28" s="149" t="s">
        <v>42</v>
      </c>
      <c r="Z28" s="152">
        <f t="shared" si="1"/>
        <v>0</v>
      </c>
    </row>
    <row r="29" spans="2:26" ht="18" x14ac:dyDescent="0.35">
      <c r="B29" s="95"/>
      <c r="C29" s="96"/>
      <c r="D29" s="97"/>
      <c r="E29" s="98"/>
      <c r="F29" s="90"/>
      <c r="G29" s="91"/>
      <c r="H29" s="92"/>
      <c r="I29" s="93"/>
      <c r="J29" s="83"/>
      <c r="K29" s="83"/>
      <c r="L29" s="12"/>
      <c r="M29" s="13"/>
      <c r="N29" s="14"/>
      <c r="O29" s="11"/>
      <c r="P29" s="15"/>
      <c r="Q29" s="16"/>
      <c r="R29" s="2"/>
      <c r="S29" s="12"/>
      <c r="T29" s="17"/>
      <c r="U29" s="2"/>
      <c r="V29" s="18"/>
      <c r="W29" s="8"/>
      <c r="Y29" s="149" t="s">
        <v>39</v>
      </c>
      <c r="Z29" s="152">
        <f t="shared" si="1"/>
        <v>0</v>
      </c>
    </row>
    <row r="30" spans="2:26" ht="18" x14ac:dyDescent="0.35">
      <c r="B30" s="95"/>
      <c r="C30" s="96"/>
      <c r="D30" s="97"/>
      <c r="E30" s="98"/>
      <c r="F30" s="90"/>
      <c r="G30" s="91"/>
      <c r="H30" s="92"/>
      <c r="I30" s="93"/>
      <c r="J30" s="83"/>
      <c r="K30" s="83"/>
      <c r="L30" s="12"/>
      <c r="M30" s="13"/>
      <c r="N30" s="14"/>
      <c r="O30" s="11"/>
      <c r="P30" s="15"/>
      <c r="Q30" s="16"/>
      <c r="R30" s="2"/>
      <c r="S30" s="12"/>
      <c r="T30" s="17"/>
      <c r="U30" s="2"/>
      <c r="V30" s="18"/>
      <c r="W30" s="8"/>
      <c r="Y30" s="149" t="s">
        <v>99</v>
      </c>
      <c r="Z30" s="152">
        <f t="shared" si="1"/>
        <v>0</v>
      </c>
    </row>
    <row r="31" spans="2:26" ht="18" x14ac:dyDescent="0.35">
      <c r="B31" s="95"/>
      <c r="C31" s="96"/>
      <c r="D31" s="97"/>
      <c r="E31" s="98"/>
      <c r="F31" s="90"/>
      <c r="G31" s="91"/>
      <c r="H31" s="92"/>
      <c r="I31" s="93"/>
      <c r="J31" s="83"/>
      <c r="K31" s="83"/>
      <c r="L31" s="12"/>
      <c r="M31" s="13"/>
      <c r="N31" s="14"/>
      <c r="O31" s="11"/>
      <c r="P31" s="15"/>
      <c r="Q31" s="16"/>
      <c r="R31" s="2"/>
      <c r="S31" s="12"/>
      <c r="T31" s="17"/>
      <c r="U31" s="2"/>
      <c r="V31" s="18"/>
      <c r="W31" s="8"/>
      <c r="Y31" s="149" t="s">
        <v>95</v>
      </c>
      <c r="Z31" s="152">
        <f t="shared" si="1"/>
        <v>0</v>
      </c>
    </row>
    <row r="32" spans="2:26" ht="18" x14ac:dyDescent="0.35">
      <c r="B32" s="95"/>
      <c r="C32" s="96"/>
      <c r="D32" s="97"/>
      <c r="E32" s="98"/>
      <c r="F32" s="90"/>
      <c r="G32" s="91"/>
      <c r="H32" s="92"/>
      <c r="I32" s="93"/>
      <c r="J32" s="83"/>
      <c r="K32" s="83"/>
      <c r="L32" s="12"/>
      <c r="M32" s="13"/>
      <c r="N32" s="14"/>
      <c r="O32" s="11"/>
      <c r="P32" s="15"/>
      <c r="Q32" s="16"/>
      <c r="R32" s="2"/>
      <c r="S32" s="12"/>
      <c r="T32" s="17"/>
      <c r="U32" s="2"/>
      <c r="V32" s="18"/>
      <c r="W32" s="8"/>
      <c r="Y32" s="149" t="s">
        <v>97</v>
      </c>
      <c r="Z32" s="152">
        <f t="shared" si="1"/>
        <v>0</v>
      </c>
    </row>
    <row r="33" spans="2:26" ht="18" x14ac:dyDescent="0.35">
      <c r="B33" s="95"/>
      <c r="C33" s="96"/>
      <c r="D33" s="97"/>
      <c r="E33" s="98"/>
      <c r="F33" s="90"/>
      <c r="G33" s="91"/>
      <c r="H33" s="92"/>
      <c r="I33" s="93"/>
      <c r="J33" s="83"/>
      <c r="K33" s="83"/>
      <c r="L33" s="12"/>
      <c r="M33" s="13"/>
      <c r="N33" s="14"/>
      <c r="O33" s="11"/>
      <c r="P33" s="15"/>
      <c r="Q33" s="16"/>
      <c r="R33" s="2"/>
      <c r="S33" s="12"/>
      <c r="T33" s="17"/>
      <c r="U33" s="2"/>
      <c r="V33" s="18"/>
      <c r="W33" s="8"/>
      <c r="Y33" s="149" t="s">
        <v>43</v>
      </c>
      <c r="Z33" s="152">
        <f t="shared" si="1"/>
        <v>0</v>
      </c>
    </row>
    <row r="34" spans="2:26" ht="18" x14ac:dyDescent="0.35">
      <c r="B34" s="95"/>
      <c r="C34" s="96"/>
      <c r="D34" s="97"/>
      <c r="E34" s="98"/>
      <c r="F34" s="90"/>
      <c r="G34" s="91"/>
      <c r="H34" s="92"/>
      <c r="I34" s="93"/>
      <c r="J34" s="83"/>
      <c r="K34" s="83"/>
      <c r="L34" s="12"/>
      <c r="M34" s="13"/>
      <c r="N34" s="14"/>
      <c r="O34" s="11"/>
      <c r="P34" s="15"/>
      <c r="Q34" s="16"/>
      <c r="R34" s="2"/>
      <c r="S34" s="12"/>
      <c r="T34" s="17"/>
      <c r="U34" s="2"/>
      <c r="V34" s="18"/>
      <c r="W34" s="8"/>
      <c r="Y34" s="149" t="s">
        <v>32</v>
      </c>
      <c r="Z34" s="152">
        <f t="shared" si="1"/>
        <v>0</v>
      </c>
    </row>
    <row r="35" spans="2:26" ht="18" x14ac:dyDescent="0.35">
      <c r="B35" s="95"/>
      <c r="C35" s="96"/>
      <c r="D35" s="97"/>
      <c r="E35" s="98"/>
      <c r="F35" s="90"/>
      <c r="G35" s="91"/>
      <c r="H35" s="92"/>
      <c r="I35" s="93"/>
      <c r="J35" s="83"/>
      <c r="K35" s="83"/>
      <c r="L35" s="12"/>
      <c r="M35" s="13"/>
      <c r="N35" s="14"/>
      <c r="O35" s="11"/>
      <c r="P35" s="15"/>
      <c r="Q35" s="16"/>
      <c r="R35" s="2"/>
      <c r="S35" s="12"/>
      <c r="T35" s="17"/>
      <c r="U35" s="2"/>
      <c r="V35" s="18"/>
      <c r="W35" s="8"/>
      <c r="Y35" s="149" t="s">
        <v>33</v>
      </c>
      <c r="Z35" s="152">
        <f t="shared" si="1"/>
        <v>0</v>
      </c>
    </row>
    <row r="36" spans="2:26" ht="18" x14ac:dyDescent="0.35">
      <c r="B36" s="95"/>
      <c r="C36" s="96"/>
      <c r="D36" s="97"/>
      <c r="E36" s="98"/>
      <c r="F36" s="90"/>
      <c r="G36" s="91"/>
      <c r="H36" s="92"/>
      <c r="I36" s="93"/>
      <c r="J36" s="83"/>
      <c r="K36" s="83"/>
      <c r="L36" s="12"/>
      <c r="M36" s="13"/>
      <c r="N36" s="14"/>
      <c r="O36" s="11"/>
      <c r="P36" s="15"/>
      <c r="Q36" s="16"/>
      <c r="R36" s="2"/>
      <c r="S36" s="12"/>
      <c r="T36" s="17"/>
      <c r="U36" s="2"/>
      <c r="V36" s="18"/>
      <c r="W36" s="8"/>
      <c r="Y36" s="149" t="s">
        <v>30</v>
      </c>
      <c r="Z36" s="152">
        <f t="shared" si="1"/>
        <v>0</v>
      </c>
    </row>
    <row r="37" spans="2:26" ht="18" x14ac:dyDescent="0.35">
      <c r="B37" s="95"/>
      <c r="C37" s="96"/>
      <c r="D37" s="97"/>
      <c r="E37" s="98"/>
      <c r="F37" s="90"/>
      <c r="G37" s="91"/>
      <c r="H37" s="92"/>
      <c r="I37" s="93"/>
      <c r="J37" s="83"/>
      <c r="K37" s="83"/>
      <c r="L37" s="12"/>
      <c r="M37" s="13"/>
      <c r="N37" s="14"/>
      <c r="O37" s="11"/>
      <c r="P37" s="15"/>
      <c r="Q37" s="16"/>
      <c r="R37" s="2"/>
      <c r="S37" s="12"/>
      <c r="T37" s="17"/>
      <c r="U37" s="2"/>
      <c r="V37" s="18"/>
      <c r="W37" s="8"/>
      <c r="Y37" s="149" t="s">
        <v>31</v>
      </c>
      <c r="Z37" s="152">
        <f t="shared" si="1"/>
        <v>0</v>
      </c>
    </row>
    <row r="38" spans="2:26" ht="18" x14ac:dyDescent="0.35">
      <c r="B38" s="95"/>
      <c r="C38" s="96"/>
      <c r="D38" s="97"/>
      <c r="E38" s="98"/>
      <c r="F38" s="90"/>
      <c r="G38" s="91"/>
      <c r="H38" s="92"/>
      <c r="I38" s="93"/>
      <c r="J38" s="83"/>
      <c r="K38" s="83"/>
      <c r="L38" s="12"/>
      <c r="M38" s="13"/>
      <c r="N38" s="14"/>
      <c r="O38" s="11"/>
      <c r="P38" s="15"/>
      <c r="Q38" s="16"/>
      <c r="R38" s="2"/>
      <c r="S38" s="12"/>
      <c r="T38" s="17"/>
      <c r="U38" s="2"/>
      <c r="V38" s="18"/>
      <c r="W38" s="8"/>
      <c r="Y38" s="149" t="s">
        <v>84</v>
      </c>
      <c r="Z38" s="152">
        <f t="shared" si="1"/>
        <v>0</v>
      </c>
    </row>
    <row r="39" spans="2:26" ht="18" x14ac:dyDescent="0.35">
      <c r="B39" s="95"/>
      <c r="C39" s="96"/>
      <c r="D39" s="97"/>
      <c r="E39" s="98"/>
      <c r="F39" s="90"/>
      <c r="G39" s="91"/>
      <c r="H39" s="92"/>
      <c r="I39" s="93"/>
      <c r="J39" s="83"/>
      <c r="K39" s="83"/>
      <c r="L39" s="12"/>
      <c r="M39" s="13"/>
      <c r="N39" s="14"/>
      <c r="O39" s="11"/>
      <c r="P39" s="15"/>
      <c r="Q39" s="16"/>
      <c r="R39" s="2"/>
      <c r="S39" s="12"/>
      <c r="T39" s="17"/>
      <c r="U39" s="2"/>
      <c r="V39" s="18"/>
      <c r="W39" s="8"/>
      <c r="Y39" s="149" t="s">
        <v>85</v>
      </c>
      <c r="Z39" s="152">
        <f t="shared" si="1"/>
        <v>0</v>
      </c>
    </row>
    <row r="40" spans="2:26" ht="18" x14ac:dyDescent="0.35">
      <c r="B40" s="95"/>
      <c r="C40" s="96"/>
      <c r="D40" s="97"/>
      <c r="E40" s="98"/>
      <c r="F40" s="90"/>
      <c r="G40" s="91"/>
      <c r="H40" s="92"/>
      <c r="I40" s="93"/>
      <c r="J40" s="83"/>
      <c r="K40" s="83"/>
      <c r="L40" s="12"/>
      <c r="M40" s="13"/>
      <c r="N40" s="14"/>
      <c r="O40" s="11"/>
      <c r="P40" s="15"/>
      <c r="Q40" s="16"/>
      <c r="R40" s="2"/>
      <c r="S40" s="12"/>
      <c r="T40" s="17"/>
      <c r="U40" s="2"/>
      <c r="V40" s="18"/>
      <c r="W40" s="8"/>
      <c r="Y40" s="149" t="s">
        <v>86</v>
      </c>
      <c r="Z40" s="152">
        <f t="shared" si="1"/>
        <v>0</v>
      </c>
    </row>
    <row r="41" spans="2:26" ht="18" x14ac:dyDescent="0.35">
      <c r="B41" s="95"/>
      <c r="C41" s="96"/>
      <c r="D41" s="97"/>
      <c r="E41" s="98"/>
      <c r="F41" s="90"/>
      <c r="G41" s="91"/>
      <c r="H41" s="92"/>
      <c r="I41" s="93"/>
      <c r="J41" s="83"/>
      <c r="K41" s="83"/>
      <c r="L41" s="12"/>
      <c r="M41" s="13"/>
      <c r="N41" s="14"/>
      <c r="O41" s="11"/>
      <c r="P41" s="15"/>
      <c r="Q41" s="16"/>
      <c r="R41" s="2"/>
      <c r="S41" s="12"/>
      <c r="T41" s="17"/>
      <c r="U41" s="2"/>
      <c r="V41" s="18"/>
      <c r="W41" s="8"/>
      <c r="Y41" s="149" t="s">
        <v>87</v>
      </c>
      <c r="Z41" s="152">
        <f t="shared" si="1"/>
        <v>0</v>
      </c>
    </row>
    <row r="42" spans="2:26" ht="18" x14ac:dyDescent="0.35">
      <c r="B42" s="95"/>
      <c r="C42" s="96"/>
      <c r="D42" s="97"/>
      <c r="E42" s="98"/>
      <c r="F42" s="90"/>
      <c r="G42" s="91"/>
      <c r="H42" s="92"/>
      <c r="I42" s="93"/>
      <c r="J42" s="83"/>
      <c r="K42" s="83"/>
      <c r="L42" s="12"/>
      <c r="M42" s="13"/>
      <c r="N42" s="14"/>
      <c r="O42" s="11"/>
      <c r="P42" s="15"/>
      <c r="Q42" s="16"/>
      <c r="R42" s="2"/>
      <c r="S42" s="12"/>
      <c r="T42" s="17"/>
      <c r="U42" s="2"/>
      <c r="V42" s="18"/>
      <c r="W42" s="8"/>
      <c r="Y42" s="149" t="s">
        <v>46</v>
      </c>
      <c r="Z42" s="152">
        <f t="shared" si="1"/>
        <v>0</v>
      </c>
    </row>
    <row r="43" spans="2:26" ht="18" x14ac:dyDescent="0.35">
      <c r="B43" s="95"/>
      <c r="C43" s="96"/>
      <c r="D43" s="97"/>
      <c r="E43" s="98"/>
      <c r="F43" s="90"/>
      <c r="G43" s="91"/>
      <c r="H43" s="92"/>
      <c r="I43" s="93"/>
      <c r="J43" s="83"/>
      <c r="K43" s="83"/>
      <c r="L43" s="12"/>
      <c r="M43" s="13"/>
      <c r="N43" s="14"/>
      <c r="O43" s="11"/>
      <c r="P43" s="15"/>
      <c r="Q43" s="16"/>
      <c r="R43" s="2"/>
      <c r="S43" s="12"/>
      <c r="T43" s="17"/>
      <c r="U43" s="2"/>
      <c r="V43" s="18"/>
      <c r="W43" s="8"/>
      <c r="Y43" s="149" t="s">
        <v>47</v>
      </c>
      <c r="Z43" s="152">
        <f t="shared" si="1"/>
        <v>0</v>
      </c>
    </row>
    <row r="44" spans="2:26" ht="18" x14ac:dyDescent="0.35">
      <c r="B44" s="95"/>
      <c r="C44" s="96"/>
      <c r="D44" s="97"/>
      <c r="E44" s="98"/>
      <c r="F44" s="90"/>
      <c r="G44" s="91"/>
      <c r="H44" s="92"/>
      <c r="I44" s="93"/>
      <c r="J44" s="83"/>
      <c r="K44" s="83"/>
      <c r="L44" s="12"/>
      <c r="M44" s="13"/>
      <c r="N44" s="14"/>
      <c r="O44" s="11"/>
      <c r="P44" s="15"/>
      <c r="Q44" s="16"/>
      <c r="R44" s="2"/>
      <c r="S44" s="12"/>
      <c r="T44" s="17"/>
      <c r="U44" s="2"/>
      <c r="V44" s="18"/>
      <c r="W44" s="8"/>
      <c r="Y44" s="149" t="s">
        <v>48</v>
      </c>
      <c r="Z44" s="152">
        <f t="shared" si="1"/>
        <v>0</v>
      </c>
    </row>
    <row r="45" spans="2:26" ht="18" x14ac:dyDescent="0.35">
      <c r="B45" s="95"/>
      <c r="C45" s="96"/>
      <c r="D45" s="97"/>
      <c r="E45" s="98"/>
      <c r="F45" s="90"/>
      <c r="G45" s="91"/>
      <c r="H45" s="92"/>
      <c r="I45" s="93"/>
      <c r="J45" s="83"/>
      <c r="K45" s="83"/>
      <c r="L45" s="12"/>
      <c r="M45" s="13"/>
      <c r="N45" s="14"/>
      <c r="O45" s="11"/>
      <c r="P45" s="15"/>
      <c r="Q45" s="16"/>
      <c r="R45" s="2"/>
      <c r="S45" s="12"/>
      <c r="T45" s="17"/>
      <c r="U45" s="2"/>
      <c r="V45" s="18"/>
      <c r="W45" s="8"/>
      <c r="Y45" s="149" t="s">
        <v>83</v>
      </c>
      <c r="Z45" s="152">
        <f t="shared" si="1"/>
        <v>0</v>
      </c>
    </row>
    <row r="46" spans="2:26" ht="18" x14ac:dyDescent="0.35">
      <c r="B46" s="95"/>
      <c r="C46" s="96"/>
      <c r="D46" s="97"/>
      <c r="E46" s="98"/>
      <c r="F46" s="90"/>
      <c r="G46" s="91"/>
      <c r="H46" s="92"/>
      <c r="I46" s="93"/>
      <c r="J46" s="83"/>
      <c r="K46" s="83"/>
      <c r="L46" s="12"/>
      <c r="M46" s="13"/>
      <c r="N46" s="14"/>
      <c r="O46" s="11"/>
      <c r="P46" s="15"/>
      <c r="Q46" s="16"/>
      <c r="R46" s="2"/>
      <c r="S46" s="12"/>
      <c r="T46" s="17"/>
      <c r="U46" s="2"/>
      <c r="V46" s="18"/>
      <c r="W46" s="8"/>
      <c r="Y46" s="149" t="s">
        <v>96</v>
      </c>
      <c r="Z46" s="152">
        <f t="shared" si="1"/>
        <v>0</v>
      </c>
    </row>
    <row r="47" spans="2:26" ht="18" x14ac:dyDescent="0.35">
      <c r="B47" s="95"/>
      <c r="C47" s="96"/>
      <c r="D47" s="97"/>
      <c r="E47" s="98"/>
      <c r="F47" s="90"/>
      <c r="G47" s="91"/>
      <c r="H47" s="92"/>
      <c r="I47" s="93"/>
      <c r="J47" s="83"/>
      <c r="K47" s="83"/>
      <c r="L47" s="12"/>
      <c r="M47" s="13"/>
      <c r="N47" s="14"/>
      <c r="O47" s="11"/>
      <c r="P47" s="15"/>
      <c r="Q47" s="16"/>
      <c r="R47" s="2"/>
      <c r="S47" s="12"/>
      <c r="T47" s="17"/>
      <c r="U47" s="2"/>
      <c r="V47" s="18"/>
      <c r="W47" s="8"/>
      <c r="Y47" s="149" t="s">
        <v>73</v>
      </c>
      <c r="Z47" s="152">
        <f t="shared" si="1"/>
        <v>0</v>
      </c>
    </row>
    <row r="48" spans="2:26" ht="18" x14ac:dyDescent="0.35">
      <c r="B48" s="95"/>
      <c r="C48" s="96"/>
      <c r="D48" s="97"/>
      <c r="E48" s="98"/>
      <c r="F48" s="90"/>
      <c r="G48" s="91"/>
      <c r="H48" s="92"/>
      <c r="I48" s="93"/>
      <c r="J48" s="83"/>
      <c r="K48" s="83"/>
      <c r="L48" s="12"/>
      <c r="M48" s="13"/>
      <c r="N48" s="14"/>
      <c r="O48" s="11"/>
      <c r="P48" s="15"/>
      <c r="Q48" s="16"/>
      <c r="R48" s="2"/>
      <c r="S48" s="12"/>
      <c r="T48" s="17"/>
      <c r="U48" s="2"/>
      <c r="V48" s="18"/>
      <c r="W48" s="8"/>
      <c r="Y48" s="149" t="s">
        <v>74</v>
      </c>
      <c r="Z48" s="152">
        <f t="shared" si="1"/>
        <v>0</v>
      </c>
    </row>
    <row r="49" spans="2:26" ht="18" x14ac:dyDescent="0.35">
      <c r="B49" s="95"/>
      <c r="C49" s="96"/>
      <c r="D49" s="97"/>
      <c r="E49" s="98"/>
      <c r="F49" s="90"/>
      <c r="G49" s="91"/>
      <c r="H49" s="92"/>
      <c r="I49" s="93"/>
      <c r="J49" s="83"/>
      <c r="K49" s="83"/>
      <c r="L49" s="12"/>
      <c r="M49" s="13"/>
      <c r="N49" s="14"/>
      <c r="O49" s="11"/>
      <c r="P49" s="15"/>
      <c r="Q49" s="16"/>
      <c r="R49" s="2"/>
      <c r="S49" s="12"/>
      <c r="T49" s="17"/>
      <c r="U49" s="2"/>
      <c r="V49" s="18"/>
      <c r="W49" s="8"/>
      <c r="Y49" s="149" t="s">
        <v>70</v>
      </c>
      <c r="Z49" s="152">
        <f t="shared" si="1"/>
        <v>0</v>
      </c>
    </row>
    <row r="50" spans="2:26" ht="18" x14ac:dyDescent="0.35">
      <c r="B50" s="95"/>
      <c r="C50" s="96"/>
      <c r="D50" s="97"/>
      <c r="E50" s="98"/>
      <c r="F50" s="90"/>
      <c r="G50" s="91"/>
      <c r="H50" s="92"/>
      <c r="I50" s="93"/>
      <c r="J50" s="83"/>
      <c r="K50" s="83"/>
      <c r="L50" s="12"/>
      <c r="M50" s="13"/>
      <c r="N50" s="14"/>
      <c r="O50" s="11"/>
      <c r="P50" s="15"/>
      <c r="Q50" s="16"/>
      <c r="R50" s="2"/>
      <c r="S50" s="12"/>
      <c r="T50" s="17"/>
      <c r="U50" s="2"/>
      <c r="V50" s="18"/>
      <c r="W50" s="8"/>
      <c r="Y50" s="149" t="s">
        <v>64</v>
      </c>
      <c r="Z50" s="152">
        <f t="shared" si="1"/>
        <v>0</v>
      </c>
    </row>
    <row r="51" spans="2:26" ht="18" x14ac:dyDescent="0.35">
      <c r="B51" s="95"/>
      <c r="C51" s="96"/>
      <c r="D51" s="97"/>
      <c r="E51" s="98"/>
      <c r="F51" s="90"/>
      <c r="G51" s="91"/>
      <c r="H51" s="92"/>
      <c r="I51" s="93"/>
      <c r="J51" s="83"/>
      <c r="K51" s="83"/>
      <c r="L51" s="12"/>
      <c r="M51" s="13"/>
      <c r="N51" s="14"/>
      <c r="O51" s="11"/>
      <c r="P51" s="15"/>
      <c r="Q51" s="16"/>
      <c r="R51" s="2"/>
      <c r="S51" s="12"/>
      <c r="T51" s="17"/>
      <c r="U51" s="2"/>
      <c r="V51" s="18"/>
      <c r="W51" s="8"/>
      <c r="Y51" s="149" t="s">
        <v>65</v>
      </c>
      <c r="Z51" s="152">
        <f t="shared" si="1"/>
        <v>0</v>
      </c>
    </row>
    <row r="52" spans="2:26" ht="18" x14ac:dyDescent="0.35">
      <c r="B52" s="95"/>
      <c r="C52" s="96"/>
      <c r="D52" s="97"/>
      <c r="E52" s="98"/>
      <c r="F52" s="90"/>
      <c r="G52" s="91"/>
      <c r="H52" s="92"/>
      <c r="I52" s="93"/>
      <c r="J52" s="83"/>
      <c r="K52" s="83"/>
      <c r="L52" s="12"/>
      <c r="M52" s="13"/>
      <c r="N52" s="14"/>
      <c r="O52" s="11"/>
      <c r="P52" s="15"/>
      <c r="Q52" s="16"/>
      <c r="R52" s="2"/>
      <c r="S52" s="12"/>
      <c r="T52" s="17"/>
      <c r="U52" s="2"/>
      <c r="V52" s="18"/>
      <c r="W52" s="8"/>
      <c r="Y52" s="149" t="s">
        <v>66</v>
      </c>
      <c r="Z52" s="152">
        <f t="shared" si="1"/>
        <v>0</v>
      </c>
    </row>
    <row r="53" spans="2:26" ht="18" x14ac:dyDescent="0.35">
      <c r="B53" s="95"/>
      <c r="C53" s="96"/>
      <c r="D53" s="97"/>
      <c r="E53" s="98"/>
      <c r="F53" s="90"/>
      <c r="G53" s="91"/>
      <c r="H53" s="92"/>
      <c r="I53" s="93"/>
      <c r="J53" s="83"/>
      <c r="K53" s="83"/>
      <c r="L53" s="12"/>
      <c r="M53" s="13"/>
      <c r="N53" s="14"/>
      <c r="O53" s="11"/>
      <c r="P53" s="15"/>
      <c r="Q53" s="16"/>
      <c r="R53" s="2"/>
      <c r="S53" s="12"/>
      <c r="T53" s="17"/>
      <c r="U53" s="2"/>
      <c r="V53" s="18"/>
      <c r="W53" s="8"/>
      <c r="Y53" s="149" t="s">
        <v>100</v>
      </c>
      <c r="Z53" s="152">
        <f t="shared" si="1"/>
        <v>0</v>
      </c>
    </row>
    <row r="54" spans="2:26" ht="18" x14ac:dyDescent="0.35">
      <c r="B54" s="95"/>
      <c r="C54" s="96"/>
      <c r="D54" s="97"/>
      <c r="E54" s="98"/>
      <c r="F54" s="90"/>
      <c r="G54" s="91"/>
      <c r="H54" s="92"/>
      <c r="I54" s="93"/>
      <c r="J54" s="83"/>
      <c r="K54" s="83"/>
      <c r="L54" s="12"/>
      <c r="M54" s="13"/>
      <c r="N54" s="14"/>
      <c r="O54" s="11"/>
      <c r="P54" s="15"/>
      <c r="Q54" s="16"/>
      <c r="R54" s="2"/>
      <c r="S54" s="12"/>
      <c r="T54" s="17"/>
      <c r="U54" s="2"/>
      <c r="V54" s="18"/>
      <c r="W54" s="8"/>
      <c r="Y54" s="149" t="s">
        <v>101</v>
      </c>
      <c r="Z54" s="152">
        <f t="shared" si="1"/>
        <v>0</v>
      </c>
    </row>
    <row r="55" spans="2:26" ht="18" x14ac:dyDescent="0.35">
      <c r="B55" s="95"/>
      <c r="C55" s="96"/>
      <c r="D55" s="97"/>
      <c r="E55" s="98"/>
      <c r="F55" s="90"/>
      <c r="G55" s="91"/>
      <c r="H55" s="92"/>
      <c r="I55" s="93"/>
      <c r="J55" s="83"/>
      <c r="K55" s="83"/>
      <c r="L55" s="12"/>
      <c r="M55" s="13"/>
      <c r="N55" s="14"/>
      <c r="O55" s="11"/>
      <c r="P55" s="15"/>
      <c r="Q55" s="16"/>
      <c r="R55" s="2"/>
      <c r="S55" s="12"/>
      <c r="T55" s="17"/>
      <c r="U55" s="2"/>
      <c r="V55" s="18"/>
      <c r="W55" s="8"/>
      <c r="Y55" s="149" t="s">
        <v>102</v>
      </c>
      <c r="Z55" s="152">
        <f t="shared" si="1"/>
        <v>0</v>
      </c>
    </row>
    <row r="56" spans="2:26" ht="18" x14ac:dyDescent="0.35">
      <c r="B56" s="95"/>
      <c r="C56" s="96"/>
      <c r="D56" s="97"/>
      <c r="E56" s="98"/>
      <c r="F56" s="90"/>
      <c r="G56" s="91"/>
      <c r="H56" s="92"/>
      <c r="I56" s="93"/>
      <c r="J56" s="83"/>
      <c r="K56" s="83"/>
      <c r="L56" s="12"/>
      <c r="M56" s="13"/>
      <c r="N56" s="14"/>
      <c r="O56" s="11"/>
      <c r="P56" s="15"/>
      <c r="Q56" s="16"/>
      <c r="R56" s="2"/>
      <c r="S56" s="12"/>
      <c r="T56" s="17"/>
      <c r="U56" s="2"/>
      <c r="V56" s="18"/>
      <c r="W56" s="8"/>
      <c r="Y56" s="149" t="s">
        <v>26</v>
      </c>
      <c r="Z56" s="152">
        <f t="shared" si="1"/>
        <v>0</v>
      </c>
    </row>
    <row r="57" spans="2:26" ht="18" x14ac:dyDescent="0.35">
      <c r="B57" s="95"/>
      <c r="C57" s="96"/>
      <c r="D57" s="97"/>
      <c r="E57" s="98"/>
      <c r="F57" s="90"/>
      <c r="G57" s="91"/>
      <c r="H57" s="92"/>
      <c r="I57" s="93"/>
      <c r="J57" s="83"/>
      <c r="K57" s="83"/>
      <c r="L57" s="12"/>
      <c r="M57" s="13"/>
      <c r="N57" s="14"/>
      <c r="O57" s="11"/>
      <c r="P57" s="15"/>
      <c r="Q57" s="16"/>
      <c r="R57" s="2"/>
      <c r="S57" s="12"/>
      <c r="T57" s="17"/>
      <c r="U57" s="2"/>
      <c r="V57" s="18"/>
      <c r="W57" s="8"/>
      <c r="Y57" s="149" t="s">
        <v>27</v>
      </c>
      <c r="Z57" s="152">
        <f t="shared" si="1"/>
        <v>0</v>
      </c>
    </row>
    <row r="58" spans="2:26" ht="18" x14ac:dyDescent="0.35">
      <c r="B58" s="95"/>
      <c r="C58" s="96"/>
      <c r="D58" s="97"/>
      <c r="E58" s="98"/>
      <c r="F58" s="90"/>
      <c r="G58" s="91"/>
      <c r="H58" s="92"/>
      <c r="I58" s="93"/>
      <c r="J58" s="83"/>
      <c r="K58" s="83"/>
      <c r="L58" s="12"/>
      <c r="M58" s="13"/>
      <c r="N58" s="14"/>
      <c r="O58" s="11"/>
      <c r="P58" s="15"/>
      <c r="Q58" s="16"/>
      <c r="R58" s="2"/>
      <c r="S58" s="12"/>
      <c r="T58" s="17"/>
      <c r="U58" s="2"/>
      <c r="V58" s="18"/>
      <c r="W58" s="8"/>
      <c r="Y58" s="149" t="s">
        <v>28</v>
      </c>
      <c r="Z58" s="152">
        <f t="shared" si="1"/>
        <v>0</v>
      </c>
    </row>
    <row r="59" spans="2:26" ht="18" x14ac:dyDescent="0.35">
      <c r="B59" s="95"/>
      <c r="C59" s="96"/>
      <c r="D59" s="97"/>
      <c r="E59" s="98"/>
      <c r="F59" s="90"/>
      <c r="G59" s="91"/>
      <c r="H59" s="92"/>
      <c r="I59" s="93"/>
      <c r="J59" s="83"/>
      <c r="K59" s="83"/>
      <c r="L59" s="12"/>
      <c r="M59" s="13"/>
      <c r="N59" s="14"/>
      <c r="O59" s="11"/>
      <c r="P59" s="15"/>
      <c r="Q59" s="16"/>
      <c r="R59" s="2"/>
      <c r="S59" s="12"/>
      <c r="T59" s="17"/>
      <c r="U59" s="2"/>
      <c r="V59" s="18"/>
      <c r="W59" s="8"/>
      <c r="Y59" s="149" t="s">
        <v>29</v>
      </c>
      <c r="Z59" s="152">
        <f t="shared" si="1"/>
        <v>0</v>
      </c>
    </row>
    <row r="60" spans="2:26" ht="18" x14ac:dyDescent="0.35">
      <c r="B60" s="95"/>
      <c r="C60" s="96"/>
      <c r="D60" s="97"/>
      <c r="E60" s="98"/>
      <c r="F60" s="90"/>
      <c r="G60" s="91"/>
      <c r="H60" s="92"/>
      <c r="I60" s="93"/>
      <c r="J60" s="83"/>
      <c r="K60" s="83"/>
      <c r="L60" s="12"/>
      <c r="M60" s="13"/>
      <c r="N60" s="14"/>
      <c r="O60" s="11"/>
      <c r="P60" s="15"/>
      <c r="Q60" s="16"/>
      <c r="R60" s="2"/>
      <c r="S60" s="12"/>
      <c r="T60" s="17"/>
      <c r="U60" s="2"/>
      <c r="V60" s="18"/>
      <c r="W60" s="8"/>
      <c r="Y60" s="149" t="s">
        <v>34</v>
      </c>
      <c r="Z60" s="152">
        <f t="shared" si="1"/>
        <v>0</v>
      </c>
    </row>
    <row r="61" spans="2:26" ht="18" x14ac:dyDescent="0.35">
      <c r="B61" s="95"/>
      <c r="C61" s="96"/>
      <c r="D61" s="97"/>
      <c r="E61" s="98"/>
      <c r="F61" s="90"/>
      <c r="G61" s="91"/>
      <c r="H61" s="92"/>
      <c r="I61" s="93"/>
      <c r="J61" s="83"/>
      <c r="K61" s="83"/>
      <c r="L61" s="12"/>
      <c r="M61" s="13"/>
      <c r="N61" s="14"/>
      <c r="O61" s="11"/>
      <c r="P61" s="15"/>
      <c r="Q61" s="16"/>
      <c r="R61" s="2"/>
      <c r="S61" s="12"/>
      <c r="T61" s="17"/>
      <c r="U61" s="2"/>
      <c r="V61" s="18"/>
      <c r="W61" s="8"/>
      <c r="Y61" s="149" t="s">
        <v>35</v>
      </c>
      <c r="Z61" s="152">
        <f t="shared" si="1"/>
        <v>0</v>
      </c>
    </row>
    <row r="62" spans="2:26" ht="18" x14ac:dyDescent="0.35">
      <c r="B62" s="95"/>
      <c r="C62" s="96"/>
      <c r="D62" s="97"/>
      <c r="E62" s="98"/>
      <c r="F62" s="90"/>
      <c r="G62" s="91"/>
      <c r="H62" s="92"/>
      <c r="I62" s="93"/>
      <c r="J62" s="83"/>
      <c r="K62" s="83"/>
      <c r="L62" s="12"/>
      <c r="M62" s="13"/>
      <c r="N62" s="14"/>
      <c r="O62" s="11"/>
      <c r="P62" s="15"/>
      <c r="Q62" s="16"/>
      <c r="R62" s="2"/>
      <c r="S62" s="12"/>
      <c r="T62" s="17"/>
      <c r="U62" s="2"/>
      <c r="V62" s="18"/>
      <c r="W62" s="8"/>
      <c r="Y62" s="149" t="s">
        <v>36</v>
      </c>
      <c r="Z62" s="152">
        <f t="shared" si="1"/>
        <v>0</v>
      </c>
    </row>
    <row r="63" spans="2:26" ht="18" x14ac:dyDescent="0.35">
      <c r="B63" s="95"/>
      <c r="C63" s="96"/>
      <c r="D63" s="97"/>
      <c r="E63" s="98"/>
      <c r="F63" s="90"/>
      <c r="G63" s="91"/>
      <c r="H63" s="92"/>
      <c r="I63" s="93"/>
      <c r="J63" s="83"/>
      <c r="K63" s="83"/>
      <c r="L63" s="12"/>
      <c r="M63" s="13"/>
      <c r="N63" s="14"/>
      <c r="O63" s="11"/>
      <c r="P63" s="15"/>
      <c r="Q63" s="16"/>
      <c r="R63" s="2"/>
      <c r="S63" s="12"/>
      <c r="T63" s="17"/>
      <c r="U63" s="2"/>
      <c r="V63" s="18"/>
      <c r="W63" s="8"/>
      <c r="Y63" s="149" t="s">
        <v>37</v>
      </c>
      <c r="Z63" s="152">
        <f t="shared" si="1"/>
        <v>0</v>
      </c>
    </row>
    <row r="64" spans="2:26" ht="18" x14ac:dyDescent="0.35">
      <c r="B64" s="95"/>
      <c r="C64" s="96"/>
      <c r="D64" s="97"/>
      <c r="E64" s="98"/>
      <c r="F64" s="90"/>
      <c r="G64" s="91"/>
      <c r="H64" s="92"/>
      <c r="I64" s="93"/>
      <c r="J64" s="83"/>
      <c r="K64" s="83"/>
      <c r="L64" s="12"/>
      <c r="M64" s="13"/>
      <c r="N64" s="14"/>
      <c r="O64" s="11"/>
      <c r="P64" s="15"/>
      <c r="Q64" s="16"/>
      <c r="R64" s="2"/>
      <c r="S64" s="12"/>
      <c r="T64" s="17"/>
      <c r="U64" s="2"/>
      <c r="V64" s="18"/>
      <c r="W64" s="8"/>
      <c r="Y64" s="149" t="s">
        <v>38</v>
      </c>
      <c r="Z64" s="152">
        <f t="shared" si="1"/>
        <v>0</v>
      </c>
    </row>
    <row r="65" spans="2:26" ht="18" x14ac:dyDescent="0.35">
      <c r="B65" s="95"/>
      <c r="C65" s="96"/>
      <c r="D65" s="97"/>
      <c r="E65" s="98"/>
      <c r="F65" s="99"/>
      <c r="G65" s="100"/>
      <c r="H65" s="101"/>
      <c r="I65" s="102"/>
      <c r="J65" s="83"/>
      <c r="K65" s="83"/>
      <c r="L65" s="12"/>
      <c r="M65" s="13"/>
      <c r="N65" s="14"/>
      <c r="O65" s="11"/>
      <c r="P65" s="15"/>
      <c r="Q65" s="16"/>
      <c r="R65" s="2"/>
      <c r="S65" s="12"/>
      <c r="T65" s="17"/>
      <c r="U65" s="2"/>
      <c r="V65" s="18"/>
      <c r="W65" s="8"/>
      <c r="Y65" s="149" t="s">
        <v>40</v>
      </c>
      <c r="Z65" s="152">
        <f t="shared" si="1"/>
        <v>0</v>
      </c>
    </row>
    <row r="66" spans="2:26" ht="18" x14ac:dyDescent="0.35">
      <c r="B66" s="95"/>
      <c r="C66" s="96"/>
      <c r="D66" s="97"/>
      <c r="E66" s="98"/>
      <c r="F66" s="90"/>
      <c r="G66" s="91"/>
      <c r="H66" s="92"/>
      <c r="I66" s="93"/>
      <c r="J66" s="83"/>
      <c r="K66" s="83"/>
      <c r="L66" s="12"/>
      <c r="M66" s="13"/>
      <c r="N66" s="14"/>
      <c r="O66" s="11"/>
      <c r="P66" s="15"/>
      <c r="Q66" s="16"/>
      <c r="R66" s="2"/>
      <c r="S66" s="12"/>
      <c r="T66" s="17"/>
      <c r="U66" s="2"/>
      <c r="V66" s="18"/>
      <c r="W66" s="8"/>
      <c r="Y66" s="149" t="s">
        <v>41</v>
      </c>
      <c r="Z66" s="152">
        <f t="shared" si="1"/>
        <v>0</v>
      </c>
    </row>
    <row r="67" spans="2:26" ht="18" x14ac:dyDescent="0.35">
      <c r="B67" s="95"/>
      <c r="C67" s="96"/>
      <c r="D67" s="97"/>
      <c r="E67" s="98"/>
      <c r="F67" s="103"/>
      <c r="G67" s="94"/>
      <c r="H67" s="104"/>
      <c r="I67" s="105"/>
      <c r="J67" s="83"/>
      <c r="K67" s="83"/>
      <c r="L67" s="12"/>
      <c r="M67" s="13"/>
      <c r="N67" s="14"/>
      <c r="O67" s="11"/>
      <c r="P67" s="15"/>
      <c r="Q67" s="16"/>
      <c r="R67" s="2"/>
      <c r="S67" s="12"/>
      <c r="T67" s="17"/>
      <c r="U67" s="2"/>
      <c r="V67" s="18"/>
      <c r="W67" s="8"/>
      <c r="Y67" s="149" t="s">
        <v>69</v>
      </c>
      <c r="Z67" s="152">
        <f t="shared" si="1"/>
        <v>0</v>
      </c>
    </row>
    <row r="68" spans="2:26" ht="18" x14ac:dyDescent="0.35">
      <c r="B68" s="95"/>
      <c r="C68" s="96"/>
      <c r="D68" s="97"/>
      <c r="E68" s="98"/>
      <c r="F68" s="90"/>
      <c r="G68" s="91"/>
      <c r="H68" s="92"/>
      <c r="I68" s="105"/>
      <c r="J68" s="83"/>
      <c r="K68" s="83"/>
      <c r="L68" s="12"/>
      <c r="M68" s="13"/>
      <c r="N68" s="14"/>
      <c r="O68" s="11"/>
      <c r="P68" s="15"/>
      <c r="Q68" s="16"/>
      <c r="R68" s="2"/>
      <c r="S68" s="12"/>
      <c r="T68" s="17"/>
      <c r="U68" s="2"/>
      <c r="V68" s="18"/>
      <c r="W68" s="8"/>
      <c r="Y68" s="149" t="s">
        <v>108</v>
      </c>
      <c r="Z68" s="152">
        <f t="shared" si="1"/>
        <v>0</v>
      </c>
    </row>
    <row r="69" spans="2:26" ht="18" x14ac:dyDescent="0.35">
      <c r="B69" s="95"/>
      <c r="C69" s="96"/>
      <c r="D69" s="97"/>
      <c r="E69" s="98"/>
      <c r="F69" s="90"/>
      <c r="G69" s="91"/>
      <c r="H69" s="92"/>
      <c r="I69" s="105"/>
      <c r="J69" s="83"/>
      <c r="K69" s="83"/>
      <c r="L69" s="12"/>
      <c r="M69" s="13"/>
      <c r="N69" s="14"/>
      <c r="O69" s="11"/>
      <c r="P69" s="15"/>
      <c r="Q69" s="16"/>
      <c r="R69" s="2"/>
      <c r="S69" s="12"/>
      <c r="T69" s="17"/>
      <c r="U69" s="2"/>
      <c r="V69" s="18"/>
      <c r="W69" s="8"/>
      <c r="Y69" s="149" t="s">
        <v>44</v>
      </c>
      <c r="Z69" s="152">
        <f t="shared" si="1"/>
        <v>0</v>
      </c>
    </row>
    <row r="70" spans="2:26" ht="18" x14ac:dyDescent="0.35">
      <c r="B70" s="95"/>
      <c r="C70" s="96"/>
      <c r="D70" s="97"/>
      <c r="E70" s="98"/>
      <c r="F70" s="90"/>
      <c r="G70" s="91"/>
      <c r="H70" s="92"/>
      <c r="I70" s="105"/>
      <c r="J70" s="83"/>
      <c r="K70" s="83"/>
      <c r="L70" s="12"/>
      <c r="M70" s="13"/>
      <c r="N70" s="14"/>
      <c r="O70" s="11"/>
      <c r="P70" s="15"/>
      <c r="Q70" s="16"/>
      <c r="R70" s="2"/>
      <c r="S70" s="12"/>
      <c r="T70" s="17"/>
      <c r="U70" s="2"/>
      <c r="V70" s="18"/>
      <c r="W70" s="8"/>
      <c r="Y70" s="149" t="s">
        <v>45</v>
      </c>
      <c r="Z70" s="152">
        <f t="shared" si="1"/>
        <v>0</v>
      </c>
    </row>
    <row r="71" spans="2:26" ht="18" x14ac:dyDescent="0.35">
      <c r="B71" s="95"/>
      <c r="C71" s="96"/>
      <c r="D71" s="97"/>
      <c r="E71" s="98"/>
      <c r="F71" s="90"/>
      <c r="G71" s="91"/>
      <c r="H71" s="92"/>
      <c r="I71" s="105"/>
      <c r="J71" s="83"/>
      <c r="K71" s="83"/>
      <c r="L71" s="12"/>
      <c r="M71" s="13"/>
      <c r="N71" s="14"/>
      <c r="O71" s="11"/>
      <c r="P71" s="15"/>
      <c r="Q71" s="16"/>
      <c r="R71" s="2"/>
      <c r="S71" s="12"/>
      <c r="T71" s="17"/>
      <c r="U71" s="2"/>
      <c r="V71" s="18"/>
      <c r="W71" s="8"/>
      <c r="Y71" s="149" t="s">
        <v>49</v>
      </c>
      <c r="Z71" s="152">
        <f t="shared" si="1"/>
        <v>0</v>
      </c>
    </row>
    <row r="72" spans="2:26" ht="18" x14ac:dyDescent="0.35">
      <c r="B72" s="106"/>
      <c r="C72" s="107"/>
      <c r="D72" s="108"/>
      <c r="E72" s="109"/>
      <c r="F72" s="90"/>
      <c r="G72" s="91"/>
      <c r="H72" s="92"/>
      <c r="I72" s="105"/>
      <c r="J72" s="83"/>
      <c r="K72" s="83"/>
      <c r="L72" s="12"/>
      <c r="M72" s="13"/>
      <c r="N72" s="14"/>
      <c r="O72" s="11"/>
      <c r="P72" s="15"/>
      <c r="Q72" s="16"/>
      <c r="R72" s="2"/>
      <c r="S72" s="12"/>
      <c r="T72" s="17"/>
      <c r="U72" s="2"/>
      <c r="V72" s="18"/>
      <c r="W72" s="8"/>
      <c r="Y72" s="149" t="s">
        <v>50</v>
      </c>
      <c r="Z72" s="152">
        <f t="shared" si="1"/>
        <v>0</v>
      </c>
    </row>
    <row r="73" spans="2:26" ht="18" x14ac:dyDescent="0.35">
      <c r="B73" s="95"/>
      <c r="C73" s="96"/>
      <c r="D73" s="97"/>
      <c r="E73" s="98"/>
      <c r="F73" s="90"/>
      <c r="G73" s="91"/>
      <c r="H73" s="92"/>
      <c r="I73" s="105"/>
      <c r="J73" s="83"/>
      <c r="K73" s="83"/>
      <c r="L73" s="20"/>
      <c r="M73" s="21"/>
      <c r="N73" s="22"/>
      <c r="O73" s="19"/>
      <c r="P73" s="23"/>
      <c r="Q73" s="24"/>
      <c r="R73" s="2"/>
      <c r="S73" s="20"/>
      <c r="T73" s="25"/>
      <c r="U73" s="2"/>
      <c r="V73" s="26"/>
      <c r="W73" s="27"/>
      <c r="Y73" s="149" t="s">
        <v>51</v>
      </c>
      <c r="Z73" s="152">
        <f t="shared" si="1"/>
        <v>0</v>
      </c>
    </row>
    <row r="74" spans="2:26" ht="18" x14ac:dyDescent="0.35">
      <c r="B74" s="110"/>
      <c r="C74" s="111"/>
      <c r="D74" s="112"/>
      <c r="E74" s="113"/>
      <c r="F74" s="90"/>
      <c r="G74" s="91"/>
      <c r="H74" s="92"/>
      <c r="I74" s="105"/>
      <c r="J74" s="83"/>
      <c r="K74" s="83"/>
      <c r="L74" s="12"/>
      <c r="M74" s="28"/>
      <c r="N74" s="14"/>
      <c r="O74" s="11"/>
      <c r="P74" s="11"/>
      <c r="Q74" s="16"/>
      <c r="R74" s="2"/>
      <c r="S74" s="12"/>
      <c r="T74" s="17"/>
      <c r="U74" s="2"/>
      <c r="V74" s="18"/>
      <c r="W74" s="16"/>
      <c r="Y74" s="149" t="s">
        <v>52</v>
      </c>
      <c r="Z74" s="152">
        <f t="shared" si="1"/>
        <v>0</v>
      </c>
    </row>
    <row r="75" spans="2:26" ht="18" x14ac:dyDescent="0.35">
      <c r="B75" s="95"/>
      <c r="C75" s="96"/>
      <c r="D75" s="97"/>
      <c r="E75" s="113"/>
      <c r="F75" s="90"/>
      <c r="G75" s="91"/>
      <c r="H75" s="92"/>
      <c r="I75" s="105"/>
      <c r="J75" s="83"/>
      <c r="K75" s="83"/>
      <c r="L75" s="12"/>
      <c r="M75" s="28"/>
      <c r="N75" s="14"/>
      <c r="O75" s="11"/>
      <c r="P75" s="11"/>
      <c r="Q75" s="16"/>
      <c r="R75" s="2"/>
      <c r="S75" s="12"/>
      <c r="T75" s="17"/>
      <c r="U75" s="2"/>
      <c r="V75" s="18"/>
      <c r="W75" s="16"/>
      <c r="Y75" s="149" t="s">
        <v>72</v>
      </c>
      <c r="Z75" s="152">
        <f t="shared" si="1"/>
        <v>0</v>
      </c>
    </row>
    <row r="76" spans="2:26" ht="18" x14ac:dyDescent="0.35">
      <c r="B76" s="95"/>
      <c r="C76" s="96"/>
      <c r="D76" s="97"/>
      <c r="E76" s="113"/>
      <c r="F76" s="90"/>
      <c r="G76" s="91"/>
      <c r="H76" s="92"/>
      <c r="I76" s="105"/>
      <c r="J76" s="83"/>
      <c r="K76" s="83"/>
      <c r="L76" s="12"/>
      <c r="M76" s="28"/>
      <c r="N76" s="14"/>
      <c r="O76" s="11"/>
      <c r="P76" s="11"/>
      <c r="Q76" s="16"/>
      <c r="R76" s="2"/>
      <c r="S76" s="12"/>
      <c r="T76" s="17"/>
      <c r="U76" s="2"/>
      <c r="V76" s="18"/>
      <c r="W76" s="16"/>
      <c r="Y76" s="149" t="s">
        <v>71</v>
      </c>
      <c r="Z76" s="152">
        <f t="shared" si="1"/>
        <v>0</v>
      </c>
    </row>
    <row r="77" spans="2:26" ht="18" x14ac:dyDescent="0.35">
      <c r="B77" s="95"/>
      <c r="C77" s="96"/>
      <c r="D77" s="97"/>
      <c r="E77" s="113"/>
      <c r="F77" s="90"/>
      <c r="G77" s="91"/>
      <c r="H77" s="92"/>
      <c r="I77" s="105"/>
      <c r="J77" s="83"/>
      <c r="K77" s="83"/>
      <c r="L77" s="12"/>
      <c r="M77" s="28"/>
      <c r="N77" s="14"/>
      <c r="O77" s="11"/>
      <c r="P77" s="11"/>
      <c r="Q77" s="16"/>
      <c r="R77" s="2"/>
      <c r="S77" s="12"/>
      <c r="T77" s="17"/>
      <c r="U77" s="2"/>
      <c r="V77" s="18"/>
      <c r="W77" s="16"/>
      <c r="Y77" s="149" t="s">
        <v>53</v>
      </c>
      <c r="Z77" s="152">
        <f t="shared" ref="Z77:Z79" si="2">SUMIF($G$9:$G$129, Y77, $F$9:$F$129)</f>
        <v>0</v>
      </c>
    </row>
    <row r="78" spans="2:26" ht="18" x14ac:dyDescent="0.35">
      <c r="B78" s="95"/>
      <c r="C78" s="96"/>
      <c r="D78" s="97"/>
      <c r="E78" s="113"/>
      <c r="F78" s="90"/>
      <c r="G78" s="91"/>
      <c r="H78" s="92"/>
      <c r="I78" s="105"/>
      <c r="J78" s="83"/>
      <c r="K78" s="83"/>
      <c r="L78" s="12"/>
      <c r="M78" s="28"/>
      <c r="N78" s="14"/>
      <c r="O78" s="11"/>
      <c r="P78" s="11"/>
      <c r="Q78" s="16"/>
      <c r="R78" s="2"/>
      <c r="S78" s="12"/>
      <c r="T78" s="17"/>
      <c r="U78" s="2"/>
      <c r="V78" s="18"/>
      <c r="W78" s="16"/>
      <c r="Y78" s="149" t="s">
        <v>54</v>
      </c>
      <c r="Z78" s="152">
        <f t="shared" si="2"/>
        <v>0</v>
      </c>
    </row>
    <row r="79" spans="2:26" ht="18.600000000000001" thickBot="1" x14ac:dyDescent="0.4">
      <c r="B79" s="95"/>
      <c r="C79" s="96"/>
      <c r="D79" s="97"/>
      <c r="E79" s="113"/>
      <c r="F79" s="90"/>
      <c r="G79" s="91"/>
      <c r="H79" s="92"/>
      <c r="I79" s="105"/>
      <c r="J79" s="83"/>
      <c r="K79" s="83"/>
      <c r="L79" s="12"/>
      <c r="M79" s="28"/>
      <c r="N79" s="14"/>
      <c r="O79" s="11"/>
      <c r="P79" s="11"/>
      <c r="Q79" s="16"/>
      <c r="R79" s="2"/>
      <c r="S79" s="12"/>
      <c r="T79" s="17"/>
      <c r="U79" s="2"/>
      <c r="V79" s="18"/>
      <c r="W79" s="16"/>
      <c r="Y79" s="150" t="s">
        <v>55</v>
      </c>
      <c r="Z79" s="153">
        <f t="shared" si="2"/>
        <v>0</v>
      </c>
    </row>
    <row r="80" spans="2:26" ht="18" x14ac:dyDescent="0.35">
      <c r="B80" s="95"/>
      <c r="C80" s="96"/>
      <c r="D80" s="97"/>
      <c r="E80" s="113"/>
      <c r="F80" s="90"/>
      <c r="G80" s="91"/>
      <c r="H80" s="92"/>
      <c r="I80" s="105"/>
      <c r="J80" s="83"/>
      <c r="K80" s="83"/>
      <c r="L80" s="12"/>
      <c r="M80" s="28"/>
      <c r="N80" s="14"/>
      <c r="O80" s="11"/>
      <c r="P80" s="11"/>
      <c r="Q80" s="16"/>
      <c r="R80" s="2"/>
      <c r="S80" s="12"/>
      <c r="T80" s="17"/>
      <c r="U80" s="2"/>
      <c r="V80" s="18"/>
      <c r="W80" s="16"/>
    </row>
    <row r="81" spans="2:23" ht="18" x14ac:dyDescent="0.35">
      <c r="B81" s="95"/>
      <c r="C81" s="96"/>
      <c r="D81" s="97"/>
      <c r="E81" s="113"/>
      <c r="F81" s="90"/>
      <c r="G81" s="91"/>
      <c r="H81" s="92"/>
      <c r="I81" s="105"/>
      <c r="J81" s="83"/>
      <c r="K81" s="83"/>
      <c r="L81" s="12"/>
      <c r="M81" s="28"/>
      <c r="N81" s="14"/>
      <c r="O81" s="11"/>
      <c r="P81" s="11"/>
      <c r="Q81" s="16"/>
      <c r="R81" s="2"/>
      <c r="S81" s="12"/>
      <c r="T81" s="17"/>
      <c r="U81" s="2"/>
      <c r="V81" s="18"/>
      <c r="W81" s="16"/>
    </row>
    <row r="82" spans="2:23" ht="18" x14ac:dyDescent="0.35">
      <c r="B82" s="95"/>
      <c r="C82" s="96"/>
      <c r="D82" s="97"/>
      <c r="E82" s="113"/>
      <c r="F82" s="90"/>
      <c r="G82" s="91"/>
      <c r="H82" s="92"/>
      <c r="I82" s="105"/>
      <c r="J82" s="83"/>
      <c r="K82" s="83"/>
      <c r="L82" s="12"/>
      <c r="M82" s="28"/>
      <c r="N82" s="14"/>
      <c r="O82" s="11"/>
      <c r="P82" s="11"/>
      <c r="Q82" s="16"/>
      <c r="R82" s="2"/>
      <c r="S82" s="12"/>
      <c r="T82" s="17"/>
      <c r="U82" s="2"/>
      <c r="V82" s="18"/>
      <c r="W82" s="16"/>
    </row>
    <row r="83" spans="2:23" ht="18" x14ac:dyDescent="0.35">
      <c r="B83" s="95"/>
      <c r="C83" s="96"/>
      <c r="D83" s="97"/>
      <c r="E83" s="113"/>
      <c r="F83" s="90"/>
      <c r="G83" s="91"/>
      <c r="H83" s="92"/>
      <c r="I83" s="105"/>
      <c r="J83" s="83"/>
      <c r="K83" s="83"/>
      <c r="L83" s="12"/>
      <c r="M83" s="28"/>
      <c r="N83" s="14"/>
      <c r="O83" s="11"/>
      <c r="P83" s="11"/>
      <c r="Q83" s="16"/>
      <c r="R83" s="2"/>
      <c r="S83" s="12"/>
      <c r="T83" s="17"/>
      <c r="U83" s="2"/>
      <c r="V83" s="18"/>
      <c r="W83" s="16"/>
    </row>
    <row r="84" spans="2:23" ht="18" x14ac:dyDescent="0.35">
      <c r="B84" s="95"/>
      <c r="C84" s="96"/>
      <c r="D84" s="97"/>
      <c r="E84" s="113"/>
      <c r="F84" s="90"/>
      <c r="G84" s="91"/>
      <c r="H84" s="92"/>
      <c r="I84" s="105"/>
      <c r="J84" s="83"/>
      <c r="K84" s="83"/>
      <c r="L84" s="12"/>
      <c r="M84" s="28"/>
      <c r="N84" s="14"/>
      <c r="O84" s="11"/>
      <c r="P84" s="11"/>
      <c r="Q84" s="16"/>
      <c r="R84" s="2"/>
      <c r="S84" s="12"/>
      <c r="T84" s="17"/>
      <c r="U84" s="2"/>
      <c r="V84" s="18"/>
      <c r="W84" s="16"/>
    </row>
    <row r="85" spans="2:23" ht="18" x14ac:dyDescent="0.35">
      <c r="B85" s="95"/>
      <c r="C85" s="96"/>
      <c r="D85" s="97"/>
      <c r="E85" s="113"/>
      <c r="F85" s="90"/>
      <c r="G85" s="91"/>
      <c r="H85" s="92"/>
      <c r="I85" s="105"/>
      <c r="J85" s="83"/>
      <c r="K85" s="83"/>
      <c r="L85" s="12"/>
      <c r="M85" s="28"/>
      <c r="N85" s="14"/>
      <c r="O85" s="11"/>
      <c r="P85" s="11"/>
      <c r="Q85" s="16"/>
      <c r="R85" s="2"/>
      <c r="S85" s="12"/>
      <c r="T85" s="17"/>
      <c r="U85" s="2"/>
      <c r="V85" s="18"/>
      <c r="W85" s="16"/>
    </row>
    <row r="86" spans="2:23" ht="18" x14ac:dyDescent="0.35">
      <c r="B86" s="95"/>
      <c r="C86" s="96"/>
      <c r="D86" s="97"/>
      <c r="E86" s="113"/>
      <c r="F86" s="90"/>
      <c r="G86" s="91"/>
      <c r="H86" s="92"/>
      <c r="I86" s="105"/>
      <c r="J86" s="83"/>
      <c r="K86" s="83"/>
      <c r="L86" s="12"/>
      <c r="M86" s="28"/>
      <c r="N86" s="14"/>
      <c r="O86" s="11"/>
      <c r="P86" s="11"/>
      <c r="Q86" s="16"/>
      <c r="R86" s="2"/>
      <c r="S86" s="12"/>
      <c r="T86" s="17"/>
      <c r="U86" s="2"/>
      <c r="V86" s="18"/>
      <c r="W86" s="16"/>
    </row>
    <row r="87" spans="2:23" ht="18" x14ac:dyDescent="0.35">
      <c r="B87" s="95"/>
      <c r="C87" s="96"/>
      <c r="D87" s="97"/>
      <c r="E87" s="113"/>
      <c r="F87" s="90"/>
      <c r="G87" s="91"/>
      <c r="H87" s="92"/>
      <c r="I87" s="105"/>
      <c r="J87" s="83"/>
      <c r="K87" s="83"/>
      <c r="L87" s="12"/>
      <c r="M87" s="28"/>
      <c r="N87" s="14"/>
      <c r="O87" s="11"/>
      <c r="P87" s="11"/>
      <c r="Q87" s="16"/>
      <c r="R87" s="2"/>
      <c r="S87" s="12"/>
      <c r="T87" s="17"/>
      <c r="U87" s="2"/>
      <c r="V87" s="18"/>
      <c r="W87" s="16"/>
    </row>
    <row r="88" spans="2:23" ht="18" x14ac:dyDescent="0.35">
      <c r="B88" s="95"/>
      <c r="C88" s="96"/>
      <c r="D88" s="97"/>
      <c r="E88" s="113"/>
      <c r="F88" s="90"/>
      <c r="G88" s="91"/>
      <c r="H88" s="92"/>
      <c r="I88" s="105"/>
      <c r="J88" s="83"/>
      <c r="K88" s="83"/>
      <c r="L88" s="12"/>
      <c r="M88" s="28"/>
      <c r="N88" s="14"/>
      <c r="O88" s="11"/>
      <c r="P88" s="11"/>
      <c r="Q88" s="16"/>
      <c r="R88" s="2"/>
      <c r="S88" s="12"/>
      <c r="T88" s="17"/>
      <c r="U88" s="2"/>
      <c r="V88" s="18"/>
      <c r="W88" s="16"/>
    </row>
    <row r="89" spans="2:23" ht="18" x14ac:dyDescent="0.35">
      <c r="B89" s="95"/>
      <c r="C89" s="96"/>
      <c r="D89" s="97"/>
      <c r="E89" s="113"/>
      <c r="F89" s="90"/>
      <c r="G89" s="91"/>
      <c r="H89" s="92"/>
      <c r="I89" s="105"/>
      <c r="J89" s="83"/>
      <c r="K89" s="83"/>
      <c r="L89" s="12"/>
      <c r="M89" s="28"/>
      <c r="N89" s="14"/>
      <c r="O89" s="11"/>
      <c r="P89" s="11"/>
      <c r="Q89" s="16"/>
      <c r="R89" s="2"/>
      <c r="S89" s="12"/>
      <c r="T89" s="17"/>
      <c r="U89" s="2"/>
      <c r="V89" s="18"/>
      <c r="W89" s="16"/>
    </row>
    <row r="90" spans="2:23" ht="18" x14ac:dyDescent="0.35">
      <c r="B90" s="95"/>
      <c r="C90" s="96"/>
      <c r="D90" s="97"/>
      <c r="E90" s="113"/>
      <c r="F90" s="90"/>
      <c r="G90" s="91"/>
      <c r="H90" s="92"/>
      <c r="I90" s="105"/>
      <c r="J90" s="83"/>
      <c r="K90" s="83"/>
      <c r="L90" s="12"/>
      <c r="M90" s="28"/>
      <c r="N90" s="14"/>
      <c r="O90" s="11"/>
      <c r="P90" s="11"/>
      <c r="Q90" s="16"/>
      <c r="R90" s="2"/>
      <c r="S90" s="12"/>
      <c r="T90" s="17"/>
      <c r="U90" s="2"/>
      <c r="V90" s="18"/>
      <c r="W90" s="16"/>
    </row>
    <row r="91" spans="2:23" ht="18" x14ac:dyDescent="0.35">
      <c r="B91" s="95"/>
      <c r="C91" s="96"/>
      <c r="D91" s="97"/>
      <c r="E91" s="113"/>
      <c r="F91" s="90"/>
      <c r="G91" s="91"/>
      <c r="H91" s="92"/>
      <c r="I91" s="105"/>
      <c r="J91" s="83"/>
      <c r="K91" s="83"/>
      <c r="L91" s="12"/>
      <c r="M91" s="28"/>
      <c r="N91" s="14"/>
      <c r="O91" s="11"/>
      <c r="P91" s="11"/>
      <c r="Q91" s="16"/>
      <c r="R91" s="2"/>
      <c r="S91" s="12"/>
      <c r="T91" s="17"/>
      <c r="U91" s="2"/>
      <c r="V91" s="18"/>
      <c r="W91" s="16"/>
    </row>
    <row r="92" spans="2:23" ht="18" x14ac:dyDescent="0.35">
      <c r="B92" s="95"/>
      <c r="C92" s="96"/>
      <c r="D92" s="97"/>
      <c r="E92" s="113"/>
      <c r="F92" s="90"/>
      <c r="G92" s="91"/>
      <c r="H92" s="92"/>
      <c r="I92" s="105"/>
      <c r="J92" s="83"/>
      <c r="K92" s="83"/>
      <c r="L92" s="12"/>
      <c r="M92" s="28"/>
      <c r="N92" s="14"/>
      <c r="O92" s="11"/>
      <c r="P92" s="11"/>
      <c r="Q92" s="16"/>
      <c r="R92" s="2"/>
      <c r="S92" s="12"/>
      <c r="T92" s="17"/>
      <c r="U92" s="2"/>
      <c r="V92" s="18"/>
      <c r="W92" s="16"/>
    </row>
    <row r="93" spans="2:23" ht="18" x14ac:dyDescent="0.35">
      <c r="B93" s="95"/>
      <c r="C93" s="96"/>
      <c r="D93" s="97"/>
      <c r="E93" s="113"/>
      <c r="F93" s="90"/>
      <c r="G93" s="91"/>
      <c r="H93" s="92"/>
      <c r="I93" s="105"/>
      <c r="J93" s="83"/>
      <c r="K93" s="83"/>
      <c r="L93" s="12"/>
      <c r="M93" s="28"/>
      <c r="N93" s="14"/>
      <c r="O93" s="11"/>
      <c r="P93" s="11"/>
      <c r="Q93" s="16"/>
      <c r="R93" s="2"/>
      <c r="S93" s="12"/>
      <c r="T93" s="17"/>
      <c r="U93" s="2"/>
      <c r="V93" s="18"/>
      <c r="W93" s="16"/>
    </row>
    <row r="94" spans="2:23" ht="18" x14ac:dyDescent="0.35">
      <c r="B94" s="95"/>
      <c r="C94" s="96"/>
      <c r="D94" s="97"/>
      <c r="E94" s="113"/>
      <c r="F94" s="90"/>
      <c r="G94" s="91"/>
      <c r="H94" s="92"/>
      <c r="I94" s="105"/>
      <c r="J94" s="83"/>
      <c r="K94" s="83"/>
      <c r="L94" s="12"/>
      <c r="M94" s="28"/>
      <c r="N94" s="14"/>
      <c r="O94" s="11"/>
      <c r="P94" s="11"/>
      <c r="Q94" s="16"/>
      <c r="R94" s="2"/>
      <c r="S94" s="12"/>
      <c r="T94" s="17"/>
      <c r="U94" s="2"/>
      <c r="V94" s="18"/>
      <c r="W94" s="16"/>
    </row>
    <row r="95" spans="2:23" ht="18" x14ac:dyDescent="0.35">
      <c r="B95" s="95"/>
      <c r="C95" s="96"/>
      <c r="D95" s="97"/>
      <c r="E95" s="113"/>
      <c r="F95" s="90"/>
      <c r="G95" s="91"/>
      <c r="H95" s="92"/>
      <c r="I95" s="105"/>
      <c r="J95" s="83"/>
      <c r="K95" s="83"/>
      <c r="L95" s="12"/>
      <c r="M95" s="28"/>
      <c r="N95" s="14"/>
      <c r="O95" s="11"/>
      <c r="P95" s="11"/>
      <c r="Q95" s="16"/>
      <c r="R95" s="2"/>
      <c r="S95" s="12"/>
      <c r="T95" s="17"/>
      <c r="U95" s="2"/>
      <c r="V95" s="18"/>
      <c r="W95" s="16"/>
    </row>
    <row r="96" spans="2:23" ht="18" x14ac:dyDescent="0.35">
      <c r="B96" s="95"/>
      <c r="C96" s="96"/>
      <c r="D96" s="97"/>
      <c r="E96" s="113"/>
      <c r="F96" s="90"/>
      <c r="G96" s="91"/>
      <c r="H96" s="92"/>
      <c r="I96" s="105"/>
      <c r="J96" s="83"/>
      <c r="K96" s="83"/>
      <c r="L96" s="12"/>
      <c r="M96" s="28"/>
      <c r="N96" s="14"/>
      <c r="O96" s="11"/>
      <c r="P96" s="11"/>
      <c r="Q96" s="16"/>
      <c r="R96" s="2"/>
      <c r="S96" s="12"/>
      <c r="T96" s="17"/>
      <c r="U96" s="2"/>
      <c r="V96" s="18"/>
      <c r="W96" s="16"/>
    </row>
    <row r="97" spans="2:23" ht="18" x14ac:dyDescent="0.35">
      <c r="B97" s="95"/>
      <c r="C97" s="96"/>
      <c r="D97" s="97"/>
      <c r="E97" s="113"/>
      <c r="F97" s="90"/>
      <c r="G97" s="91"/>
      <c r="H97" s="92"/>
      <c r="I97" s="105"/>
      <c r="J97" s="83"/>
      <c r="K97" s="83"/>
      <c r="L97" s="12"/>
      <c r="M97" s="28"/>
      <c r="N97" s="14"/>
      <c r="O97" s="11"/>
      <c r="P97" s="11"/>
      <c r="Q97" s="16"/>
      <c r="R97" s="2"/>
      <c r="S97" s="12"/>
      <c r="T97" s="17"/>
      <c r="U97" s="2"/>
      <c r="V97" s="18"/>
      <c r="W97" s="16"/>
    </row>
    <row r="98" spans="2:23" ht="18" x14ac:dyDescent="0.35">
      <c r="B98" s="95"/>
      <c r="C98" s="96"/>
      <c r="D98" s="97"/>
      <c r="E98" s="113"/>
      <c r="F98" s="90"/>
      <c r="G98" s="91"/>
      <c r="H98" s="92"/>
      <c r="I98" s="105"/>
      <c r="J98" s="83"/>
      <c r="K98" s="83"/>
      <c r="L98" s="12"/>
      <c r="M98" s="28"/>
      <c r="N98" s="14"/>
      <c r="O98" s="11"/>
      <c r="P98" s="11"/>
      <c r="Q98" s="16"/>
      <c r="R98" s="2"/>
      <c r="S98" s="12"/>
      <c r="T98" s="17"/>
      <c r="U98" s="2"/>
      <c r="V98" s="18"/>
      <c r="W98" s="16"/>
    </row>
    <row r="99" spans="2:23" ht="18" x14ac:dyDescent="0.35">
      <c r="B99" s="95"/>
      <c r="C99" s="96"/>
      <c r="D99" s="97"/>
      <c r="E99" s="113"/>
      <c r="F99" s="90"/>
      <c r="G99" s="91"/>
      <c r="H99" s="92"/>
      <c r="I99" s="105"/>
      <c r="J99" s="83"/>
      <c r="K99" s="83"/>
      <c r="L99" s="12"/>
      <c r="M99" s="28"/>
      <c r="N99" s="14"/>
      <c r="O99" s="11"/>
      <c r="P99" s="11"/>
      <c r="Q99" s="16"/>
      <c r="R99" s="2"/>
      <c r="S99" s="12"/>
      <c r="T99" s="17"/>
      <c r="U99" s="2"/>
      <c r="V99" s="18"/>
      <c r="W99" s="16"/>
    </row>
    <row r="100" spans="2:23" ht="18" x14ac:dyDescent="0.35">
      <c r="B100" s="95"/>
      <c r="C100" s="96"/>
      <c r="D100" s="97"/>
      <c r="E100" s="113"/>
      <c r="F100" s="90"/>
      <c r="G100" s="91"/>
      <c r="H100" s="92"/>
      <c r="I100" s="105"/>
      <c r="J100" s="83"/>
      <c r="K100" s="83"/>
      <c r="L100" s="12"/>
      <c r="M100" s="28"/>
      <c r="N100" s="14"/>
      <c r="O100" s="11"/>
      <c r="P100" s="11"/>
      <c r="Q100" s="16"/>
      <c r="R100" s="2"/>
      <c r="S100" s="12"/>
      <c r="T100" s="17"/>
      <c r="U100" s="2"/>
      <c r="V100" s="18"/>
      <c r="W100" s="16"/>
    </row>
    <row r="101" spans="2:23" ht="18" x14ac:dyDescent="0.35">
      <c r="B101" s="95"/>
      <c r="C101" s="96"/>
      <c r="D101" s="97"/>
      <c r="E101" s="113"/>
      <c r="F101" s="90"/>
      <c r="G101" s="91"/>
      <c r="H101" s="92"/>
      <c r="I101" s="105"/>
      <c r="J101" s="83"/>
      <c r="K101" s="83"/>
      <c r="L101" s="12"/>
      <c r="M101" s="28"/>
      <c r="N101" s="14"/>
      <c r="O101" s="11"/>
      <c r="P101" s="11"/>
      <c r="Q101" s="16"/>
      <c r="R101" s="2"/>
      <c r="S101" s="12"/>
      <c r="T101" s="17"/>
      <c r="U101" s="2"/>
      <c r="V101" s="18"/>
      <c r="W101" s="16"/>
    </row>
    <row r="102" spans="2:23" ht="18" x14ac:dyDescent="0.35">
      <c r="B102" s="95"/>
      <c r="C102" s="96"/>
      <c r="D102" s="97"/>
      <c r="E102" s="113"/>
      <c r="F102" s="90"/>
      <c r="G102" s="91"/>
      <c r="H102" s="92"/>
      <c r="I102" s="105"/>
      <c r="J102" s="83"/>
      <c r="K102" s="83"/>
      <c r="L102" s="12"/>
      <c r="M102" s="28"/>
      <c r="N102" s="14"/>
      <c r="O102" s="11"/>
      <c r="P102" s="11"/>
      <c r="Q102" s="16"/>
      <c r="R102" s="2"/>
      <c r="S102" s="12"/>
      <c r="T102" s="17"/>
      <c r="U102" s="2"/>
      <c r="V102" s="18"/>
      <c r="W102" s="16"/>
    </row>
    <row r="103" spans="2:23" ht="18" x14ac:dyDescent="0.35">
      <c r="B103" s="95"/>
      <c r="C103" s="96"/>
      <c r="D103" s="97"/>
      <c r="E103" s="113"/>
      <c r="F103" s="90"/>
      <c r="G103" s="91"/>
      <c r="H103" s="92"/>
      <c r="I103" s="105"/>
      <c r="J103" s="83"/>
      <c r="K103" s="83"/>
      <c r="L103" s="12"/>
      <c r="M103" s="28"/>
      <c r="N103" s="14"/>
      <c r="O103" s="11"/>
      <c r="P103" s="11"/>
      <c r="Q103" s="16"/>
      <c r="R103" s="2"/>
      <c r="S103" s="12"/>
      <c r="T103" s="17"/>
      <c r="U103" s="2"/>
      <c r="V103" s="18"/>
      <c r="W103" s="16"/>
    </row>
    <row r="104" spans="2:23" ht="18" x14ac:dyDescent="0.35">
      <c r="B104" s="95"/>
      <c r="C104" s="96"/>
      <c r="D104" s="97"/>
      <c r="E104" s="113"/>
      <c r="F104" s="90"/>
      <c r="G104" s="91"/>
      <c r="H104" s="92"/>
      <c r="I104" s="105"/>
      <c r="J104" s="83"/>
      <c r="K104" s="83"/>
      <c r="L104" s="12"/>
      <c r="M104" s="28"/>
      <c r="N104" s="14"/>
      <c r="O104" s="11"/>
      <c r="P104" s="11"/>
      <c r="Q104" s="16"/>
      <c r="R104" s="2"/>
      <c r="S104" s="12"/>
      <c r="T104" s="17"/>
      <c r="U104" s="2"/>
      <c r="V104" s="18"/>
      <c r="W104" s="16"/>
    </row>
    <row r="105" spans="2:23" ht="18" x14ac:dyDescent="0.35">
      <c r="B105" s="95"/>
      <c r="C105" s="96"/>
      <c r="D105" s="97"/>
      <c r="E105" s="113"/>
      <c r="F105" s="90"/>
      <c r="G105" s="91"/>
      <c r="H105" s="92"/>
      <c r="I105" s="105"/>
      <c r="J105" s="83"/>
      <c r="K105" s="83"/>
      <c r="L105" s="12"/>
      <c r="M105" s="28"/>
      <c r="N105" s="14"/>
      <c r="O105" s="11"/>
      <c r="P105" s="11"/>
      <c r="Q105" s="16"/>
      <c r="R105" s="2"/>
      <c r="S105" s="12"/>
      <c r="T105" s="17"/>
      <c r="U105" s="2"/>
      <c r="V105" s="18"/>
      <c r="W105" s="16"/>
    </row>
    <row r="106" spans="2:23" ht="18" x14ac:dyDescent="0.35">
      <c r="B106" s="95"/>
      <c r="C106" s="96"/>
      <c r="D106" s="97"/>
      <c r="E106" s="113"/>
      <c r="F106" s="90"/>
      <c r="G106" s="91"/>
      <c r="H106" s="92"/>
      <c r="I106" s="105"/>
      <c r="J106" s="83"/>
      <c r="K106" s="83"/>
      <c r="L106" s="12"/>
      <c r="M106" s="28"/>
      <c r="N106" s="14"/>
      <c r="O106" s="11"/>
      <c r="P106" s="11"/>
      <c r="Q106" s="16"/>
      <c r="R106" s="2"/>
      <c r="S106" s="12"/>
      <c r="T106" s="17"/>
      <c r="U106" s="2"/>
      <c r="V106" s="18"/>
      <c r="W106" s="16"/>
    </row>
    <row r="107" spans="2:23" ht="18" x14ac:dyDescent="0.35">
      <c r="B107" s="95"/>
      <c r="C107" s="96"/>
      <c r="D107" s="97"/>
      <c r="E107" s="113"/>
      <c r="F107" s="90"/>
      <c r="G107" s="91"/>
      <c r="H107" s="92"/>
      <c r="I107" s="105"/>
      <c r="J107" s="83"/>
      <c r="K107" s="83"/>
      <c r="L107" s="12"/>
      <c r="M107" s="28"/>
      <c r="N107" s="14"/>
      <c r="O107" s="11"/>
      <c r="P107" s="11"/>
      <c r="Q107" s="16"/>
      <c r="R107" s="2"/>
      <c r="S107" s="12"/>
      <c r="T107" s="17"/>
      <c r="U107" s="2"/>
      <c r="V107" s="18"/>
      <c r="W107" s="16"/>
    </row>
    <row r="108" spans="2:23" ht="18" x14ac:dyDescent="0.35">
      <c r="B108" s="95"/>
      <c r="C108" s="96"/>
      <c r="D108" s="97"/>
      <c r="E108" s="113"/>
      <c r="F108" s="90"/>
      <c r="G108" s="91"/>
      <c r="H108" s="92"/>
      <c r="I108" s="105"/>
      <c r="J108" s="83"/>
      <c r="K108" s="83"/>
      <c r="L108" s="12"/>
      <c r="M108" s="28"/>
      <c r="N108" s="14"/>
      <c r="O108" s="11"/>
      <c r="P108" s="11"/>
      <c r="Q108" s="16"/>
      <c r="R108" s="2"/>
      <c r="S108" s="12"/>
      <c r="T108" s="17"/>
      <c r="U108" s="2"/>
      <c r="V108" s="18"/>
      <c r="W108" s="16"/>
    </row>
    <row r="109" spans="2:23" ht="18" x14ac:dyDescent="0.35">
      <c r="B109" s="95"/>
      <c r="C109" s="96"/>
      <c r="D109" s="97"/>
      <c r="E109" s="113"/>
      <c r="F109" s="90"/>
      <c r="G109" s="91"/>
      <c r="H109" s="92"/>
      <c r="I109" s="105"/>
      <c r="J109" s="83"/>
      <c r="K109" s="83"/>
      <c r="L109" s="12"/>
      <c r="M109" s="28"/>
      <c r="N109" s="14"/>
      <c r="O109" s="11"/>
      <c r="P109" s="11"/>
      <c r="Q109" s="16"/>
      <c r="R109" s="2"/>
      <c r="S109" s="12"/>
      <c r="T109" s="17"/>
      <c r="U109" s="2"/>
      <c r="V109" s="18"/>
      <c r="W109" s="16"/>
    </row>
    <row r="110" spans="2:23" ht="18" x14ac:dyDescent="0.35">
      <c r="B110" s="95"/>
      <c r="C110" s="96"/>
      <c r="D110" s="97"/>
      <c r="E110" s="113"/>
      <c r="F110" s="90"/>
      <c r="G110" s="91"/>
      <c r="H110" s="92"/>
      <c r="I110" s="105"/>
      <c r="J110" s="83"/>
      <c r="K110" s="83"/>
      <c r="L110" s="12"/>
      <c r="M110" s="28"/>
      <c r="N110" s="14"/>
      <c r="O110" s="11"/>
      <c r="P110" s="11"/>
      <c r="Q110" s="16"/>
      <c r="R110" s="2"/>
      <c r="S110" s="12"/>
      <c r="T110" s="17"/>
      <c r="U110" s="2"/>
      <c r="V110" s="18"/>
      <c r="W110" s="16"/>
    </row>
    <row r="111" spans="2:23" ht="18" x14ac:dyDescent="0.35">
      <c r="B111" s="95"/>
      <c r="C111" s="96"/>
      <c r="D111" s="97"/>
      <c r="E111" s="113"/>
      <c r="F111" s="90"/>
      <c r="G111" s="91"/>
      <c r="H111" s="92"/>
      <c r="I111" s="105"/>
      <c r="J111" s="83"/>
      <c r="K111" s="83"/>
      <c r="L111" s="12"/>
      <c r="M111" s="28"/>
      <c r="N111" s="14"/>
      <c r="O111" s="11"/>
      <c r="P111" s="11"/>
      <c r="Q111" s="16"/>
      <c r="R111" s="2"/>
      <c r="S111" s="12"/>
      <c r="T111" s="17"/>
      <c r="U111" s="2"/>
      <c r="V111" s="18"/>
      <c r="W111" s="16"/>
    </row>
    <row r="112" spans="2:23" ht="18" x14ac:dyDescent="0.35">
      <c r="B112" s="95"/>
      <c r="C112" s="96"/>
      <c r="D112" s="97"/>
      <c r="E112" s="113"/>
      <c r="F112" s="90"/>
      <c r="G112" s="91"/>
      <c r="H112" s="92"/>
      <c r="I112" s="105"/>
      <c r="J112" s="83"/>
      <c r="K112" s="83"/>
      <c r="L112" s="12"/>
      <c r="M112" s="28"/>
      <c r="N112" s="14"/>
      <c r="O112" s="11"/>
      <c r="P112" s="11"/>
      <c r="Q112" s="16"/>
      <c r="R112" s="2"/>
      <c r="S112" s="12"/>
      <c r="T112" s="17"/>
      <c r="U112" s="2"/>
      <c r="V112" s="18"/>
      <c r="W112" s="16"/>
    </row>
    <row r="113" spans="2:23" ht="18" x14ac:dyDescent="0.35">
      <c r="B113" s="95"/>
      <c r="C113" s="96"/>
      <c r="D113" s="97"/>
      <c r="E113" s="113"/>
      <c r="F113" s="90"/>
      <c r="G113" s="91"/>
      <c r="H113" s="92"/>
      <c r="I113" s="105"/>
      <c r="J113" s="83"/>
      <c r="K113" s="83"/>
      <c r="L113" s="12"/>
      <c r="M113" s="28"/>
      <c r="N113" s="14"/>
      <c r="O113" s="11"/>
      <c r="P113" s="11"/>
      <c r="Q113" s="16"/>
      <c r="R113" s="2"/>
      <c r="S113" s="12"/>
      <c r="T113" s="17"/>
      <c r="U113" s="2"/>
      <c r="V113" s="18"/>
      <c r="W113" s="16"/>
    </row>
    <row r="114" spans="2:23" ht="18" x14ac:dyDescent="0.35">
      <c r="B114" s="95"/>
      <c r="C114" s="96"/>
      <c r="D114" s="97"/>
      <c r="E114" s="113"/>
      <c r="F114" s="90"/>
      <c r="G114" s="91"/>
      <c r="H114" s="92"/>
      <c r="I114" s="105"/>
      <c r="J114" s="83"/>
      <c r="K114" s="83"/>
      <c r="L114" s="12"/>
      <c r="M114" s="28"/>
      <c r="N114" s="14"/>
      <c r="O114" s="11"/>
      <c r="P114" s="11"/>
      <c r="Q114" s="16"/>
      <c r="R114" s="2"/>
      <c r="S114" s="12"/>
      <c r="T114" s="17"/>
      <c r="U114" s="2"/>
      <c r="V114" s="18"/>
      <c r="W114" s="16"/>
    </row>
    <row r="115" spans="2:23" ht="18" x14ac:dyDescent="0.35">
      <c r="B115" s="95"/>
      <c r="C115" s="96"/>
      <c r="D115" s="97"/>
      <c r="E115" s="113"/>
      <c r="F115" s="90"/>
      <c r="G115" s="91"/>
      <c r="H115" s="92"/>
      <c r="I115" s="105"/>
      <c r="J115" s="83"/>
      <c r="K115" s="83"/>
      <c r="L115" s="12"/>
      <c r="M115" s="28"/>
      <c r="N115" s="14"/>
      <c r="O115" s="11"/>
      <c r="P115" s="11"/>
      <c r="Q115" s="16"/>
      <c r="R115" s="2"/>
      <c r="S115" s="12"/>
      <c r="T115" s="17"/>
      <c r="U115" s="2"/>
      <c r="V115" s="18"/>
      <c r="W115" s="16"/>
    </row>
    <row r="116" spans="2:23" ht="18" x14ac:dyDescent="0.35">
      <c r="B116" s="95"/>
      <c r="C116" s="96"/>
      <c r="D116" s="97"/>
      <c r="E116" s="113"/>
      <c r="F116" s="90"/>
      <c r="G116" s="91"/>
      <c r="H116" s="92"/>
      <c r="I116" s="105"/>
      <c r="J116" s="83"/>
      <c r="K116" s="83"/>
      <c r="L116" s="12"/>
      <c r="M116" s="28"/>
      <c r="N116" s="14"/>
      <c r="O116" s="11"/>
      <c r="P116" s="11"/>
      <c r="Q116" s="16"/>
      <c r="R116" s="2"/>
      <c r="S116" s="12"/>
      <c r="T116" s="17"/>
      <c r="U116" s="2"/>
      <c r="V116" s="18"/>
      <c r="W116" s="16"/>
    </row>
    <row r="117" spans="2:23" ht="18" x14ac:dyDescent="0.35">
      <c r="B117" s="95"/>
      <c r="C117" s="96"/>
      <c r="D117" s="97"/>
      <c r="E117" s="113"/>
      <c r="F117" s="90"/>
      <c r="G117" s="91"/>
      <c r="H117" s="92"/>
      <c r="I117" s="105"/>
      <c r="J117" s="83"/>
      <c r="K117" s="83"/>
      <c r="L117" s="12"/>
      <c r="M117" s="28"/>
      <c r="N117" s="14"/>
      <c r="O117" s="11"/>
      <c r="P117" s="11"/>
      <c r="Q117" s="16"/>
      <c r="R117" s="2"/>
      <c r="S117" s="12"/>
      <c r="T117" s="17"/>
      <c r="U117" s="2"/>
      <c r="V117" s="18"/>
      <c r="W117" s="16"/>
    </row>
    <row r="118" spans="2:23" ht="18" x14ac:dyDescent="0.35">
      <c r="B118" s="95"/>
      <c r="C118" s="96"/>
      <c r="D118" s="97"/>
      <c r="E118" s="113"/>
      <c r="F118" s="90"/>
      <c r="G118" s="91"/>
      <c r="H118" s="92"/>
      <c r="I118" s="105"/>
      <c r="J118" s="83"/>
      <c r="K118" s="83"/>
      <c r="L118" s="12"/>
      <c r="M118" s="28"/>
      <c r="N118" s="14"/>
      <c r="O118" s="11"/>
      <c r="P118" s="11"/>
      <c r="Q118" s="16"/>
      <c r="R118" s="2"/>
      <c r="S118" s="12"/>
      <c r="T118" s="17"/>
      <c r="U118" s="2"/>
      <c r="V118" s="18"/>
      <c r="W118" s="16"/>
    </row>
    <row r="119" spans="2:23" ht="18" x14ac:dyDescent="0.35">
      <c r="B119" s="95"/>
      <c r="C119" s="96"/>
      <c r="D119" s="97"/>
      <c r="E119" s="113"/>
      <c r="F119" s="90"/>
      <c r="G119" s="91"/>
      <c r="H119" s="92"/>
      <c r="I119" s="105"/>
      <c r="J119" s="83"/>
      <c r="K119" s="83"/>
      <c r="L119" s="12"/>
      <c r="M119" s="28"/>
      <c r="N119" s="14"/>
      <c r="O119" s="11"/>
      <c r="P119" s="11"/>
      <c r="Q119" s="16"/>
      <c r="R119" s="2"/>
      <c r="S119" s="12"/>
      <c r="T119" s="17"/>
      <c r="U119" s="2"/>
      <c r="V119" s="18"/>
      <c r="W119" s="16"/>
    </row>
    <row r="120" spans="2:23" ht="18" x14ac:dyDescent="0.35">
      <c r="B120" s="95"/>
      <c r="C120" s="96"/>
      <c r="D120" s="97"/>
      <c r="E120" s="113"/>
      <c r="F120" s="90"/>
      <c r="G120" s="91"/>
      <c r="H120" s="92"/>
      <c r="I120" s="105"/>
      <c r="J120" s="83"/>
      <c r="K120" s="83"/>
      <c r="L120" s="12"/>
      <c r="M120" s="28"/>
      <c r="N120" s="14"/>
      <c r="O120" s="11"/>
      <c r="P120" s="11"/>
      <c r="Q120" s="16"/>
      <c r="R120" s="2"/>
      <c r="S120" s="12"/>
      <c r="T120" s="17"/>
      <c r="U120" s="2"/>
      <c r="V120" s="18"/>
      <c r="W120" s="16"/>
    </row>
    <row r="121" spans="2:23" ht="18" x14ac:dyDescent="0.35">
      <c r="B121" s="95"/>
      <c r="C121" s="96"/>
      <c r="D121" s="97"/>
      <c r="E121" s="113"/>
      <c r="F121" s="90"/>
      <c r="G121" s="91"/>
      <c r="H121" s="92"/>
      <c r="I121" s="105"/>
      <c r="J121" s="83"/>
      <c r="K121" s="83"/>
      <c r="L121" s="12"/>
      <c r="M121" s="28"/>
      <c r="N121" s="14"/>
      <c r="O121" s="11"/>
      <c r="P121" s="11"/>
      <c r="Q121" s="16"/>
      <c r="R121" s="2"/>
      <c r="S121" s="12"/>
      <c r="T121" s="17"/>
      <c r="U121" s="2"/>
      <c r="V121" s="18"/>
      <c r="W121" s="16"/>
    </row>
    <row r="122" spans="2:23" ht="18" x14ac:dyDescent="0.35">
      <c r="B122" s="95"/>
      <c r="C122" s="96"/>
      <c r="D122" s="97"/>
      <c r="E122" s="113"/>
      <c r="F122" s="99"/>
      <c r="G122" s="100"/>
      <c r="H122" s="101"/>
      <c r="I122" s="105"/>
      <c r="J122" s="83"/>
      <c r="K122" s="83"/>
      <c r="L122" s="12"/>
      <c r="M122" s="28"/>
      <c r="N122" s="14"/>
      <c r="O122" s="11"/>
      <c r="P122" s="11"/>
      <c r="Q122" s="16"/>
      <c r="R122" s="2"/>
      <c r="S122" s="12"/>
      <c r="T122" s="17"/>
      <c r="U122" s="2"/>
      <c r="V122" s="18"/>
      <c r="W122" s="16"/>
    </row>
    <row r="123" spans="2:23" ht="18" x14ac:dyDescent="0.35">
      <c r="B123" s="95"/>
      <c r="C123" s="96"/>
      <c r="D123" s="97"/>
      <c r="E123" s="113"/>
      <c r="F123" s="99"/>
      <c r="G123" s="100"/>
      <c r="H123" s="101"/>
      <c r="I123" s="105"/>
      <c r="J123" s="83"/>
      <c r="K123" s="83"/>
      <c r="L123" s="12"/>
      <c r="M123" s="28"/>
      <c r="N123" s="14"/>
      <c r="O123" s="11"/>
      <c r="P123" s="11"/>
      <c r="Q123" s="16"/>
      <c r="R123" s="2"/>
      <c r="S123" s="12"/>
      <c r="T123" s="17"/>
      <c r="U123" s="2"/>
      <c r="V123" s="18"/>
      <c r="W123" s="16"/>
    </row>
    <row r="124" spans="2:23" ht="18" x14ac:dyDescent="0.35">
      <c r="B124" s="95"/>
      <c r="C124" s="96"/>
      <c r="D124" s="97"/>
      <c r="E124" s="113"/>
      <c r="F124" s="99"/>
      <c r="G124" s="100"/>
      <c r="H124" s="101"/>
      <c r="I124" s="105"/>
      <c r="J124" s="83"/>
      <c r="K124" s="83"/>
      <c r="L124" s="12"/>
      <c r="M124" s="28"/>
      <c r="N124" s="14"/>
      <c r="O124" s="11"/>
      <c r="P124" s="11"/>
      <c r="Q124" s="16"/>
      <c r="R124" s="2"/>
      <c r="S124" s="12"/>
      <c r="T124" s="17"/>
      <c r="U124" s="2"/>
      <c r="V124" s="18"/>
      <c r="W124" s="16"/>
    </row>
    <row r="125" spans="2:23" ht="18" x14ac:dyDescent="0.35">
      <c r="B125" s="95"/>
      <c r="C125" s="96"/>
      <c r="D125" s="97"/>
      <c r="E125" s="113"/>
      <c r="F125" s="99"/>
      <c r="G125" s="100"/>
      <c r="H125" s="101"/>
      <c r="I125" s="105"/>
      <c r="J125" s="83"/>
      <c r="K125" s="83"/>
      <c r="L125" s="12"/>
      <c r="M125" s="28"/>
      <c r="N125" s="14"/>
      <c r="O125" s="11"/>
      <c r="P125" s="11"/>
      <c r="Q125" s="16"/>
      <c r="R125" s="2"/>
      <c r="S125" s="12"/>
      <c r="T125" s="17"/>
      <c r="U125" s="2"/>
      <c r="V125" s="18"/>
      <c r="W125" s="16"/>
    </row>
    <row r="126" spans="2:23" ht="18" x14ac:dyDescent="0.35">
      <c r="B126" s="95"/>
      <c r="C126" s="96"/>
      <c r="D126" s="97"/>
      <c r="E126" s="113"/>
      <c r="F126" s="99"/>
      <c r="G126" s="100"/>
      <c r="H126" s="101"/>
      <c r="I126" s="105"/>
      <c r="J126" s="83"/>
      <c r="K126" s="83"/>
      <c r="L126" s="12"/>
      <c r="M126" s="28"/>
      <c r="N126" s="14"/>
      <c r="O126" s="11"/>
      <c r="P126" s="11"/>
      <c r="Q126" s="16"/>
      <c r="R126" s="2"/>
      <c r="S126" s="12"/>
      <c r="T126" s="17"/>
      <c r="U126" s="2"/>
      <c r="V126" s="18"/>
      <c r="W126" s="16"/>
    </row>
    <row r="127" spans="2:23" ht="18" x14ac:dyDescent="0.35">
      <c r="B127" s="95"/>
      <c r="C127" s="96"/>
      <c r="D127" s="97"/>
      <c r="E127" s="113"/>
      <c r="F127" s="99"/>
      <c r="G127" s="100"/>
      <c r="H127" s="101"/>
      <c r="I127" s="105"/>
      <c r="J127" s="83"/>
      <c r="K127" s="83"/>
      <c r="L127" s="12"/>
      <c r="M127" s="28"/>
      <c r="N127" s="14"/>
      <c r="O127" s="11"/>
      <c r="P127" s="11"/>
      <c r="Q127" s="16"/>
      <c r="R127" s="2"/>
      <c r="S127" s="12"/>
      <c r="T127" s="17"/>
      <c r="U127" s="2"/>
      <c r="V127" s="18"/>
      <c r="W127" s="16"/>
    </row>
    <row r="128" spans="2:23" ht="18" x14ac:dyDescent="0.35">
      <c r="B128" s="95"/>
      <c r="C128" s="96"/>
      <c r="D128" s="97"/>
      <c r="E128" s="113"/>
      <c r="F128" s="99"/>
      <c r="G128" s="100"/>
      <c r="H128" s="101"/>
      <c r="I128" s="105"/>
      <c r="J128" s="83"/>
      <c r="K128" s="83"/>
      <c r="L128" s="12"/>
      <c r="M128" s="28"/>
      <c r="N128" s="14"/>
      <c r="O128" s="11"/>
      <c r="P128" s="11"/>
      <c r="Q128" s="16"/>
      <c r="R128" s="2"/>
      <c r="S128" s="12"/>
      <c r="T128" s="17"/>
      <c r="U128" s="2"/>
      <c r="V128" s="18"/>
      <c r="W128" s="16"/>
    </row>
    <row r="129" spans="1:23" ht="18.600000000000001" thickBot="1" x14ac:dyDescent="0.4">
      <c r="B129" s="114"/>
      <c r="C129" s="115"/>
      <c r="D129" s="116"/>
      <c r="E129" s="113"/>
      <c r="F129" s="117"/>
      <c r="G129" s="118"/>
      <c r="H129" s="119"/>
      <c r="I129" s="105"/>
      <c r="J129" s="83"/>
      <c r="K129" s="83"/>
      <c r="L129" s="30"/>
      <c r="M129" s="31"/>
      <c r="N129" s="32"/>
      <c r="O129" s="29"/>
      <c r="P129" s="29"/>
      <c r="Q129" s="33"/>
      <c r="R129" s="2"/>
      <c r="S129" s="30"/>
      <c r="T129" s="34"/>
      <c r="U129" s="2"/>
      <c r="V129" s="35"/>
      <c r="W129" s="33"/>
    </row>
    <row r="130" spans="1:23" ht="18.600000000000001" thickBot="1" x14ac:dyDescent="0.4">
      <c r="A130" s="120" t="s">
        <v>15</v>
      </c>
      <c r="B130" s="121">
        <f>SUM(B9:B129)</f>
        <v>12</v>
      </c>
      <c r="C130" s="122"/>
      <c r="D130" s="121"/>
      <c r="E130" s="123">
        <f>SUM(E9:E129)</f>
        <v>27.599999999999998</v>
      </c>
      <c r="F130" s="124">
        <f>SUM(F9:F129)</f>
        <v>91</v>
      </c>
      <c r="G130" s="82"/>
      <c r="H130" s="125"/>
      <c r="I130" s="125">
        <f>SUM(I9:I129)</f>
        <v>6624</v>
      </c>
      <c r="J130" s="83"/>
      <c r="K130" s="83"/>
      <c r="L130" s="126"/>
      <c r="M130" s="126">
        <f>SUM(M9:M129)</f>
        <v>600</v>
      </c>
      <c r="N130" s="127">
        <f>SUM(N9:N129)</f>
        <v>32000</v>
      </c>
      <c r="O130" s="82"/>
      <c r="P130" s="82">
        <f>SUM(P9:P129)</f>
        <v>0</v>
      </c>
      <c r="Q130" s="128">
        <f>SUM(Q9:Q129)</f>
        <v>0</v>
      </c>
      <c r="R130" s="83"/>
      <c r="S130" s="84"/>
      <c r="T130" s="129">
        <f>SUM(T9:T129)</f>
        <v>0</v>
      </c>
      <c r="U130" s="83"/>
      <c r="V130" s="82"/>
      <c r="W130" s="130">
        <f>SUM(W9:W129)</f>
        <v>0</v>
      </c>
    </row>
  </sheetData>
  <sheetProtection algorithmName="SHA-512" hashValue="06pCU97p3YKQ3hFr2pXrrsWos2XUxi30yVvdtg6X6foVEVWdC+SSYCz6Pc/5yaRboRjojpnN7SO4v2UJESTRsA==" saltValue="h0aI4Yv9dm/dFQmvygOv+A==" spinCount="100000" sheet="1" objects="1" scenarios="1"/>
  <mergeCells count="8">
    <mergeCell ref="V5:W5"/>
    <mergeCell ref="Y5:Z5"/>
    <mergeCell ref="E1:G1"/>
    <mergeCell ref="B2:C2"/>
    <mergeCell ref="B3:C3"/>
    <mergeCell ref="B5:I5"/>
    <mergeCell ref="L5:Q5"/>
    <mergeCell ref="S5:T5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2EA9A0-CBD8-4E3F-9E5F-F945E73961BB}">
  <sheetPr codeName="Sheet43"/>
  <dimension ref="A1:Z130"/>
  <sheetViews>
    <sheetView zoomScale="80" zoomScaleNormal="80" workbookViewId="0">
      <selection activeCell="B9" sqref="B9:I27"/>
    </sheetView>
  </sheetViews>
  <sheetFormatPr defaultColWidth="9.109375" defaultRowHeight="14.4" x14ac:dyDescent="0.3"/>
  <cols>
    <col min="1" max="1" width="15.5546875" style="36" customWidth="1"/>
    <col min="2" max="2" width="15.88671875" style="36" customWidth="1"/>
    <col min="3" max="3" width="20" style="76" customWidth="1"/>
    <col min="4" max="4" width="20.33203125" style="36" customWidth="1"/>
    <col min="5" max="5" width="22.33203125" style="36" customWidth="1"/>
    <col min="6" max="6" width="14.6640625" style="36" customWidth="1"/>
    <col min="7" max="7" width="22" style="76" customWidth="1"/>
    <col min="8" max="8" width="18.88671875" style="36" customWidth="1"/>
    <col min="9" max="9" width="23" style="36" customWidth="1"/>
    <col min="10" max="11" width="9.109375" style="36"/>
    <col min="12" max="12" width="20.6640625" style="76" customWidth="1"/>
    <col min="13" max="13" width="15.44140625" style="76" customWidth="1"/>
    <col min="14" max="14" width="22.6640625" style="36" customWidth="1"/>
    <col min="15" max="15" width="20.5546875" style="76" customWidth="1"/>
    <col min="16" max="16" width="13.33203125" style="76" customWidth="1"/>
    <col min="17" max="17" width="21.5546875" style="76" customWidth="1"/>
    <col min="18" max="18" width="9.109375" style="36"/>
    <col min="19" max="19" width="22" style="76" customWidth="1"/>
    <col min="20" max="20" width="22.33203125" style="76" customWidth="1"/>
    <col min="21" max="21" width="9.109375" style="36"/>
    <col min="22" max="22" width="21.88671875" style="76" customWidth="1"/>
    <col min="23" max="23" width="23.109375" style="76" customWidth="1"/>
    <col min="24" max="24" width="9.109375" style="36"/>
    <col min="25" max="25" width="21.33203125" style="36" customWidth="1"/>
    <col min="26" max="26" width="21.88671875" style="36" customWidth="1"/>
    <col min="27" max="16384" width="9.109375" style="36"/>
  </cols>
  <sheetData>
    <row r="1" spans="2:26" ht="21" x14ac:dyDescent="0.4">
      <c r="E1" s="189">
        <v>44183</v>
      </c>
      <c r="F1" s="189"/>
      <c r="G1" s="189"/>
    </row>
    <row r="2" spans="2:26" ht="18" x14ac:dyDescent="0.35">
      <c r="B2" s="190" t="s">
        <v>0</v>
      </c>
      <c r="C2" s="190"/>
      <c r="D2" s="1"/>
    </row>
    <row r="3" spans="2:26" ht="18" x14ac:dyDescent="0.35">
      <c r="B3" s="190" t="s">
        <v>1</v>
      </c>
      <c r="C3" s="190"/>
      <c r="D3" s="77">
        <f>(D2-E130-I130)</f>
        <v>0</v>
      </c>
    </row>
    <row r="5" spans="2:26" ht="36.6" x14ac:dyDescent="0.7">
      <c r="B5" s="187" t="s">
        <v>2</v>
      </c>
      <c r="C5" s="187"/>
      <c r="D5" s="187"/>
      <c r="E5" s="187"/>
      <c r="F5" s="187"/>
      <c r="G5" s="187"/>
      <c r="H5" s="187"/>
      <c r="I5" s="187"/>
      <c r="L5" s="187" t="s">
        <v>3</v>
      </c>
      <c r="M5" s="187"/>
      <c r="N5" s="187"/>
      <c r="O5" s="187"/>
      <c r="P5" s="187"/>
      <c r="Q5" s="187"/>
      <c r="S5" s="191" t="s">
        <v>4</v>
      </c>
      <c r="T5" s="191"/>
      <c r="V5" s="187" t="s">
        <v>5</v>
      </c>
      <c r="W5" s="187"/>
      <c r="Y5" s="188" t="s">
        <v>105</v>
      </c>
      <c r="Z5" s="187"/>
    </row>
    <row r="7" spans="2:26" ht="15" thickBot="1" x14ac:dyDescent="0.35"/>
    <row r="8" spans="2:26" ht="18.600000000000001" thickBot="1" x14ac:dyDescent="0.4">
      <c r="B8" s="78" t="s">
        <v>6</v>
      </c>
      <c r="C8" s="79" t="s">
        <v>7</v>
      </c>
      <c r="D8" s="78" t="s">
        <v>8</v>
      </c>
      <c r="E8" s="80" t="s">
        <v>9</v>
      </c>
      <c r="F8" s="81" t="s">
        <v>6</v>
      </c>
      <c r="G8" s="81" t="s">
        <v>10</v>
      </c>
      <c r="H8" s="81" t="s">
        <v>8</v>
      </c>
      <c r="I8" s="82" t="s">
        <v>9</v>
      </c>
      <c r="J8" s="83"/>
      <c r="K8" s="83"/>
      <c r="L8" s="84" t="s">
        <v>11</v>
      </c>
      <c r="M8" s="84" t="s">
        <v>6</v>
      </c>
      <c r="N8" s="84" t="s">
        <v>9</v>
      </c>
      <c r="O8" s="82" t="s">
        <v>12</v>
      </c>
      <c r="P8" s="82" t="s">
        <v>6</v>
      </c>
      <c r="Q8" s="82" t="s">
        <v>9</v>
      </c>
      <c r="R8" s="83"/>
      <c r="S8" s="84" t="s">
        <v>13</v>
      </c>
      <c r="T8" s="85" t="s">
        <v>9</v>
      </c>
      <c r="U8" s="83"/>
      <c r="V8" s="82" t="s">
        <v>14</v>
      </c>
      <c r="W8" s="82" t="s">
        <v>9</v>
      </c>
      <c r="Y8" s="146" t="s">
        <v>106</v>
      </c>
      <c r="Z8" s="147" t="s">
        <v>107</v>
      </c>
    </row>
    <row r="9" spans="2:26" ht="18" x14ac:dyDescent="0.35">
      <c r="B9" s="86"/>
      <c r="C9" s="87"/>
      <c r="D9" s="88"/>
      <c r="E9" s="89"/>
      <c r="F9" s="90"/>
      <c r="G9" s="91"/>
      <c r="H9" s="92"/>
      <c r="I9" s="93"/>
      <c r="J9" s="83"/>
      <c r="K9" s="83"/>
      <c r="L9" s="3"/>
      <c r="M9" s="4"/>
      <c r="N9" s="5"/>
      <c r="O9" s="6"/>
      <c r="P9" s="7"/>
      <c r="Q9" s="8"/>
      <c r="R9" s="2"/>
      <c r="S9" s="3"/>
      <c r="T9" s="9"/>
      <c r="U9" s="2"/>
      <c r="V9" s="10"/>
      <c r="W9" s="8"/>
      <c r="Y9" s="148" t="s">
        <v>88</v>
      </c>
      <c r="Z9" s="151">
        <f>SUMIF($C$9:$C$129, Y9, $B$9:$B$129)</f>
        <v>0</v>
      </c>
    </row>
    <row r="10" spans="2:26" ht="18" x14ac:dyDescent="0.35">
      <c r="B10" s="95"/>
      <c r="C10" s="96"/>
      <c r="D10" s="97"/>
      <c r="E10" s="98"/>
      <c r="F10" s="90"/>
      <c r="G10" s="91"/>
      <c r="H10" s="92"/>
      <c r="I10" s="93"/>
      <c r="J10" s="83"/>
      <c r="K10" s="83"/>
      <c r="L10" s="12"/>
      <c r="M10" s="13"/>
      <c r="N10" s="14"/>
      <c r="O10" s="11"/>
      <c r="P10" s="15"/>
      <c r="Q10" s="16"/>
      <c r="R10" s="2"/>
      <c r="S10" s="12"/>
      <c r="T10" s="17"/>
      <c r="U10" s="2"/>
      <c r="V10" s="18"/>
      <c r="W10" s="8"/>
      <c r="Y10" s="149" t="s">
        <v>76</v>
      </c>
      <c r="Z10" s="151">
        <f t="shared" ref="Z10:Z11" si="0">SUMIF($C$9:$C$129, Y10, $B$9:$B$129)</f>
        <v>0</v>
      </c>
    </row>
    <row r="11" spans="2:26" ht="18" x14ac:dyDescent="0.35">
      <c r="B11" s="95"/>
      <c r="C11" s="96"/>
      <c r="D11" s="97"/>
      <c r="E11" s="98"/>
      <c r="F11" s="90"/>
      <c r="G11" s="91"/>
      <c r="H11" s="92"/>
      <c r="I11" s="93"/>
      <c r="J11" s="83"/>
      <c r="K11" s="83"/>
      <c r="L11" s="12"/>
      <c r="M11" s="13"/>
      <c r="N11" s="14"/>
      <c r="O11" s="11"/>
      <c r="P11" s="15"/>
      <c r="Q11" s="16"/>
      <c r="R11" s="2"/>
      <c r="S11" s="12"/>
      <c r="T11" s="17"/>
      <c r="U11" s="2"/>
      <c r="V11" s="18"/>
      <c r="W11" s="8"/>
      <c r="Y11" s="149" t="s">
        <v>77</v>
      </c>
      <c r="Z11" s="151">
        <f t="shared" si="0"/>
        <v>0</v>
      </c>
    </row>
    <row r="12" spans="2:26" ht="18" x14ac:dyDescent="0.35">
      <c r="B12" s="95"/>
      <c r="C12" s="96"/>
      <c r="D12" s="97"/>
      <c r="E12" s="98"/>
      <c r="F12" s="90"/>
      <c r="G12" s="91"/>
      <c r="H12" s="92"/>
      <c r="I12" s="93"/>
      <c r="J12" s="83"/>
      <c r="K12" s="83"/>
      <c r="L12" s="12"/>
      <c r="M12" s="13"/>
      <c r="N12" s="14"/>
      <c r="O12" s="11"/>
      <c r="P12" s="15"/>
      <c r="Q12" s="16"/>
      <c r="R12" s="2"/>
      <c r="S12" s="12"/>
      <c r="T12" s="17"/>
      <c r="U12" s="2"/>
      <c r="V12" s="18"/>
      <c r="W12" s="8"/>
      <c r="Y12" s="149" t="s">
        <v>89</v>
      </c>
      <c r="Z12" s="152">
        <f>SUMIF($G$9:$G$129, Y12, $F$9:$F$129)</f>
        <v>0</v>
      </c>
    </row>
    <row r="13" spans="2:26" ht="18" x14ac:dyDescent="0.35">
      <c r="B13" s="95"/>
      <c r="C13" s="96"/>
      <c r="D13" s="97"/>
      <c r="E13" s="98"/>
      <c r="F13" s="90"/>
      <c r="G13" s="91"/>
      <c r="H13" s="92"/>
      <c r="I13" s="93"/>
      <c r="J13" s="83"/>
      <c r="K13" s="83"/>
      <c r="L13" s="12"/>
      <c r="M13" s="13"/>
      <c r="N13" s="14"/>
      <c r="O13" s="11"/>
      <c r="P13" s="15"/>
      <c r="Q13" s="16"/>
      <c r="R13" s="2"/>
      <c r="S13" s="12"/>
      <c r="T13" s="17"/>
      <c r="U13" s="2"/>
      <c r="V13" s="18"/>
      <c r="W13" s="8"/>
      <c r="Y13" s="149" t="s">
        <v>20</v>
      </c>
      <c r="Z13" s="152">
        <f t="shared" ref="Z13:Z76" si="1">SUMIF($G$9:$G$129, Y13, $F$9:$F$129)</f>
        <v>0</v>
      </c>
    </row>
    <row r="14" spans="2:26" ht="18" x14ac:dyDescent="0.35">
      <c r="B14" s="95"/>
      <c r="C14" s="96"/>
      <c r="D14" s="97"/>
      <c r="E14" s="98"/>
      <c r="F14" s="90"/>
      <c r="G14" s="91"/>
      <c r="H14" s="92"/>
      <c r="I14" s="93"/>
      <c r="J14" s="83"/>
      <c r="K14" s="83"/>
      <c r="L14" s="12"/>
      <c r="M14" s="13"/>
      <c r="N14" s="14"/>
      <c r="O14" s="11"/>
      <c r="P14" s="15"/>
      <c r="Q14" s="16"/>
      <c r="R14" s="2"/>
      <c r="S14" s="12"/>
      <c r="T14" s="17"/>
      <c r="U14" s="2"/>
      <c r="V14" s="18"/>
      <c r="W14" s="8"/>
      <c r="Y14" s="149" t="s">
        <v>19</v>
      </c>
      <c r="Z14" s="152">
        <f t="shared" si="1"/>
        <v>0</v>
      </c>
    </row>
    <row r="15" spans="2:26" ht="18" x14ac:dyDescent="0.35">
      <c r="B15" s="95"/>
      <c r="C15" s="96"/>
      <c r="D15" s="97"/>
      <c r="E15" s="98"/>
      <c r="F15" s="90"/>
      <c r="G15" s="91"/>
      <c r="H15" s="92"/>
      <c r="I15" s="93"/>
      <c r="J15" s="83"/>
      <c r="K15" s="83"/>
      <c r="L15" s="12"/>
      <c r="M15" s="13"/>
      <c r="N15" s="14"/>
      <c r="O15" s="11"/>
      <c r="P15" s="15"/>
      <c r="Q15" s="16"/>
      <c r="R15" s="2"/>
      <c r="S15" s="12"/>
      <c r="T15" s="17"/>
      <c r="U15" s="2"/>
      <c r="V15" s="18"/>
      <c r="W15" s="8"/>
      <c r="Y15" s="149" t="s">
        <v>18</v>
      </c>
      <c r="Z15" s="152">
        <f t="shared" si="1"/>
        <v>0</v>
      </c>
    </row>
    <row r="16" spans="2:26" ht="18" x14ac:dyDescent="0.35">
      <c r="B16" s="95"/>
      <c r="C16" s="96"/>
      <c r="D16" s="97"/>
      <c r="E16" s="98"/>
      <c r="F16" s="90"/>
      <c r="G16" s="91"/>
      <c r="H16" s="92"/>
      <c r="I16" s="93"/>
      <c r="J16" s="83"/>
      <c r="K16" s="83"/>
      <c r="L16" s="12"/>
      <c r="M16" s="13"/>
      <c r="N16" s="14"/>
      <c r="O16" s="11"/>
      <c r="P16" s="15"/>
      <c r="Q16" s="16"/>
      <c r="R16" s="2"/>
      <c r="S16" s="12"/>
      <c r="T16" s="17"/>
      <c r="U16" s="2"/>
      <c r="V16" s="18"/>
      <c r="W16" s="8"/>
      <c r="Y16" s="149" t="s">
        <v>22</v>
      </c>
      <c r="Z16" s="152">
        <f t="shared" si="1"/>
        <v>0</v>
      </c>
    </row>
    <row r="17" spans="2:26" ht="18" x14ac:dyDescent="0.35">
      <c r="B17" s="95"/>
      <c r="C17" s="96"/>
      <c r="D17" s="97"/>
      <c r="E17" s="98"/>
      <c r="F17" s="90"/>
      <c r="G17" s="91"/>
      <c r="H17" s="92"/>
      <c r="I17" s="93"/>
      <c r="J17" s="83"/>
      <c r="K17" s="83"/>
      <c r="L17" s="12"/>
      <c r="M17" s="13"/>
      <c r="N17" s="14"/>
      <c r="O17" s="11"/>
      <c r="P17" s="15"/>
      <c r="Q17" s="16"/>
      <c r="R17" s="2"/>
      <c r="S17" s="12"/>
      <c r="T17" s="17"/>
      <c r="U17" s="2"/>
      <c r="V17" s="18"/>
      <c r="W17" s="8"/>
      <c r="Y17" s="149" t="s">
        <v>67</v>
      </c>
      <c r="Z17" s="152">
        <f t="shared" si="1"/>
        <v>0</v>
      </c>
    </row>
    <row r="18" spans="2:26" ht="18" x14ac:dyDescent="0.35">
      <c r="B18" s="95"/>
      <c r="C18" s="96"/>
      <c r="D18" s="97"/>
      <c r="E18" s="98"/>
      <c r="F18" s="90"/>
      <c r="G18" s="91"/>
      <c r="H18" s="92"/>
      <c r="I18" s="93"/>
      <c r="J18" s="83"/>
      <c r="K18" s="83"/>
      <c r="L18" s="12"/>
      <c r="M18" s="13"/>
      <c r="N18" s="14"/>
      <c r="O18" s="11"/>
      <c r="P18" s="15"/>
      <c r="Q18" s="16"/>
      <c r="R18" s="2"/>
      <c r="S18" s="12"/>
      <c r="T18" s="17"/>
      <c r="U18" s="2"/>
      <c r="V18" s="18"/>
      <c r="W18" s="8"/>
      <c r="Y18" s="149" t="s">
        <v>90</v>
      </c>
      <c r="Z18" s="152">
        <f t="shared" si="1"/>
        <v>0</v>
      </c>
    </row>
    <row r="19" spans="2:26" ht="18" x14ac:dyDescent="0.35">
      <c r="B19" s="95"/>
      <c r="C19" s="96"/>
      <c r="D19" s="97"/>
      <c r="E19" s="98"/>
      <c r="F19" s="90"/>
      <c r="G19" s="91"/>
      <c r="H19" s="92"/>
      <c r="I19" s="93"/>
      <c r="J19" s="83"/>
      <c r="K19" s="83"/>
      <c r="L19" s="12"/>
      <c r="M19" s="13"/>
      <c r="N19" s="14"/>
      <c r="O19" s="11"/>
      <c r="P19" s="15"/>
      <c r="Q19" s="16"/>
      <c r="R19" s="2"/>
      <c r="S19" s="12"/>
      <c r="T19" s="17"/>
      <c r="U19" s="2"/>
      <c r="V19" s="18"/>
      <c r="W19" s="8"/>
      <c r="Y19" s="149" t="s">
        <v>91</v>
      </c>
      <c r="Z19" s="152">
        <f t="shared" si="1"/>
        <v>0</v>
      </c>
    </row>
    <row r="20" spans="2:26" ht="18" x14ac:dyDescent="0.35">
      <c r="B20" s="95"/>
      <c r="C20" s="96"/>
      <c r="D20" s="97"/>
      <c r="E20" s="98"/>
      <c r="F20" s="90"/>
      <c r="G20" s="91"/>
      <c r="H20" s="92"/>
      <c r="I20" s="93"/>
      <c r="J20" s="83"/>
      <c r="K20" s="83"/>
      <c r="L20" s="12"/>
      <c r="M20" s="13"/>
      <c r="N20" s="14"/>
      <c r="O20" s="11"/>
      <c r="P20" s="15"/>
      <c r="Q20" s="16"/>
      <c r="R20" s="2"/>
      <c r="S20" s="12"/>
      <c r="T20" s="17"/>
      <c r="U20" s="2"/>
      <c r="V20" s="18"/>
      <c r="W20" s="8"/>
      <c r="Y20" s="149" t="s">
        <v>92</v>
      </c>
      <c r="Z20" s="152">
        <f t="shared" si="1"/>
        <v>0</v>
      </c>
    </row>
    <row r="21" spans="2:26" ht="18" x14ac:dyDescent="0.35">
      <c r="B21" s="95"/>
      <c r="C21" s="96"/>
      <c r="D21" s="97"/>
      <c r="E21" s="98"/>
      <c r="F21" s="90"/>
      <c r="G21" s="91"/>
      <c r="H21" s="92"/>
      <c r="I21" s="93"/>
      <c r="J21" s="83"/>
      <c r="K21" s="83"/>
      <c r="L21" s="12"/>
      <c r="M21" s="13"/>
      <c r="N21" s="14"/>
      <c r="O21" s="11"/>
      <c r="P21" s="15"/>
      <c r="Q21" s="16"/>
      <c r="R21" s="2"/>
      <c r="S21" s="12"/>
      <c r="T21" s="17"/>
      <c r="U21" s="2"/>
      <c r="V21" s="18"/>
      <c r="W21" s="8"/>
      <c r="Y21" s="149" t="s">
        <v>68</v>
      </c>
      <c r="Z21" s="152">
        <f t="shared" si="1"/>
        <v>0</v>
      </c>
    </row>
    <row r="22" spans="2:26" ht="18" x14ac:dyDescent="0.35">
      <c r="B22" s="95"/>
      <c r="C22" s="96"/>
      <c r="D22" s="97"/>
      <c r="E22" s="98"/>
      <c r="F22" s="90"/>
      <c r="G22" s="91"/>
      <c r="H22" s="92"/>
      <c r="I22" s="93"/>
      <c r="J22" s="83"/>
      <c r="K22" s="83"/>
      <c r="L22" s="12"/>
      <c r="M22" s="13"/>
      <c r="N22" s="14"/>
      <c r="O22" s="11"/>
      <c r="P22" s="15"/>
      <c r="Q22" s="16"/>
      <c r="R22" s="2"/>
      <c r="S22" s="12"/>
      <c r="T22" s="17"/>
      <c r="U22" s="2"/>
      <c r="V22" s="18"/>
      <c r="W22" s="8"/>
      <c r="Y22" s="149" t="s">
        <v>93</v>
      </c>
      <c r="Z22" s="152">
        <f t="shared" si="1"/>
        <v>0</v>
      </c>
    </row>
    <row r="23" spans="2:26" ht="18" x14ac:dyDescent="0.35">
      <c r="B23" s="95"/>
      <c r="C23" s="96"/>
      <c r="D23" s="97"/>
      <c r="E23" s="98"/>
      <c r="F23" s="90"/>
      <c r="G23" s="91"/>
      <c r="H23" s="92"/>
      <c r="I23" s="93"/>
      <c r="J23" s="83"/>
      <c r="K23" s="83"/>
      <c r="L23" s="12"/>
      <c r="M23" s="13"/>
      <c r="N23" s="14"/>
      <c r="O23" s="11"/>
      <c r="P23" s="15"/>
      <c r="Q23" s="16"/>
      <c r="R23" s="2"/>
      <c r="S23" s="12"/>
      <c r="T23" s="17"/>
      <c r="U23" s="2"/>
      <c r="V23" s="18"/>
      <c r="W23" s="8"/>
      <c r="Y23" s="149" t="s">
        <v>23</v>
      </c>
      <c r="Z23" s="152">
        <f t="shared" si="1"/>
        <v>0</v>
      </c>
    </row>
    <row r="24" spans="2:26" ht="18" x14ac:dyDescent="0.35">
      <c r="B24" s="95"/>
      <c r="C24" s="96"/>
      <c r="D24" s="97"/>
      <c r="E24" s="98"/>
      <c r="F24" s="90"/>
      <c r="G24" s="91"/>
      <c r="H24" s="92"/>
      <c r="I24" s="93"/>
      <c r="J24" s="83"/>
      <c r="K24" s="83"/>
      <c r="L24" s="12"/>
      <c r="M24" s="13"/>
      <c r="N24" s="14"/>
      <c r="O24" s="11"/>
      <c r="P24" s="15"/>
      <c r="Q24" s="16"/>
      <c r="R24" s="2"/>
      <c r="S24" s="12"/>
      <c r="T24" s="17"/>
      <c r="U24" s="2"/>
      <c r="V24" s="18"/>
      <c r="W24" s="8"/>
      <c r="Y24" s="149" t="s">
        <v>24</v>
      </c>
      <c r="Z24" s="152">
        <f t="shared" si="1"/>
        <v>0</v>
      </c>
    </row>
    <row r="25" spans="2:26" ht="18" x14ac:dyDescent="0.35">
      <c r="B25" s="95"/>
      <c r="C25" s="96"/>
      <c r="D25" s="97"/>
      <c r="E25" s="98"/>
      <c r="F25" s="90"/>
      <c r="G25" s="91"/>
      <c r="H25" s="92"/>
      <c r="I25" s="93"/>
      <c r="J25" s="83"/>
      <c r="K25" s="83"/>
      <c r="L25" s="12"/>
      <c r="M25" s="13"/>
      <c r="N25" s="14"/>
      <c r="O25" s="11"/>
      <c r="P25" s="15"/>
      <c r="Q25" s="16"/>
      <c r="R25" s="2"/>
      <c r="S25" s="12"/>
      <c r="T25" s="17"/>
      <c r="U25" s="2"/>
      <c r="V25" s="18"/>
      <c r="W25" s="8"/>
      <c r="Y25" s="149" t="s">
        <v>25</v>
      </c>
      <c r="Z25" s="152">
        <f t="shared" si="1"/>
        <v>0</v>
      </c>
    </row>
    <row r="26" spans="2:26" ht="18" x14ac:dyDescent="0.35">
      <c r="B26" s="95"/>
      <c r="C26" s="96"/>
      <c r="D26" s="97"/>
      <c r="E26" s="98"/>
      <c r="F26" s="90"/>
      <c r="G26" s="91"/>
      <c r="H26" s="92"/>
      <c r="I26" s="93"/>
      <c r="J26" s="83"/>
      <c r="K26" s="83"/>
      <c r="L26" s="12"/>
      <c r="M26" s="13"/>
      <c r="N26" s="14"/>
      <c r="O26" s="11"/>
      <c r="P26" s="15"/>
      <c r="Q26" s="16"/>
      <c r="R26" s="2"/>
      <c r="S26" s="12"/>
      <c r="T26" s="17"/>
      <c r="U26" s="2"/>
      <c r="V26" s="18"/>
      <c r="W26" s="8"/>
      <c r="Y26" s="149" t="s">
        <v>98</v>
      </c>
      <c r="Z26" s="152">
        <f t="shared" si="1"/>
        <v>0</v>
      </c>
    </row>
    <row r="27" spans="2:26" ht="18" x14ac:dyDescent="0.35">
      <c r="B27" s="95"/>
      <c r="C27" s="96"/>
      <c r="D27" s="97"/>
      <c r="E27" s="98"/>
      <c r="F27" s="90"/>
      <c r="G27" s="91"/>
      <c r="H27" s="92"/>
      <c r="I27" s="93"/>
      <c r="J27" s="83"/>
      <c r="K27" s="83"/>
      <c r="L27" s="12"/>
      <c r="M27" s="13"/>
      <c r="N27" s="14"/>
      <c r="O27" s="11"/>
      <c r="P27" s="15"/>
      <c r="Q27" s="16"/>
      <c r="R27" s="2"/>
      <c r="S27" s="12"/>
      <c r="T27" s="17"/>
      <c r="U27" s="2"/>
      <c r="V27" s="18"/>
      <c r="W27" s="8"/>
      <c r="Y27" s="149" t="s">
        <v>94</v>
      </c>
      <c r="Z27" s="152">
        <f t="shared" si="1"/>
        <v>0</v>
      </c>
    </row>
    <row r="28" spans="2:26" ht="18" x14ac:dyDescent="0.35">
      <c r="B28" s="95"/>
      <c r="C28" s="96"/>
      <c r="D28" s="97"/>
      <c r="E28" s="98"/>
      <c r="F28" s="90"/>
      <c r="G28" s="91"/>
      <c r="H28" s="92"/>
      <c r="I28" s="93"/>
      <c r="J28" s="83"/>
      <c r="K28" s="83"/>
      <c r="L28" s="12"/>
      <c r="M28" s="13"/>
      <c r="N28" s="14"/>
      <c r="O28" s="11"/>
      <c r="P28" s="15"/>
      <c r="Q28" s="16"/>
      <c r="R28" s="2"/>
      <c r="S28" s="12"/>
      <c r="T28" s="17"/>
      <c r="U28" s="2"/>
      <c r="V28" s="18"/>
      <c r="W28" s="8"/>
      <c r="Y28" s="149" t="s">
        <v>42</v>
      </c>
      <c r="Z28" s="152">
        <f t="shared" si="1"/>
        <v>0</v>
      </c>
    </row>
    <row r="29" spans="2:26" ht="18" x14ac:dyDescent="0.35">
      <c r="B29" s="95"/>
      <c r="C29" s="96"/>
      <c r="D29" s="97"/>
      <c r="E29" s="98"/>
      <c r="F29" s="90"/>
      <c r="G29" s="91"/>
      <c r="H29" s="92"/>
      <c r="I29" s="93"/>
      <c r="J29" s="83"/>
      <c r="K29" s="83"/>
      <c r="L29" s="12"/>
      <c r="M29" s="13"/>
      <c r="N29" s="14"/>
      <c r="O29" s="11"/>
      <c r="P29" s="15"/>
      <c r="Q29" s="16"/>
      <c r="R29" s="2"/>
      <c r="S29" s="12"/>
      <c r="T29" s="17"/>
      <c r="U29" s="2"/>
      <c r="V29" s="18"/>
      <c r="W29" s="8"/>
      <c r="Y29" s="149" t="s">
        <v>39</v>
      </c>
      <c r="Z29" s="152">
        <f t="shared" si="1"/>
        <v>0</v>
      </c>
    </row>
    <row r="30" spans="2:26" ht="18" x14ac:dyDescent="0.35">
      <c r="B30" s="95"/>
      <c r="C30" s="96"/>
      <c r="D30" s="97"/>
      <c r="E30" s="98"/>
      <c r="F30" s="90"/>
      <c r="G30" s="91"/>
      <c r="H30" s="92"/>
      <c r="I30" s="93"/>
      <c r="J30" s="83"/>
      <c r="K30" s="83"/>
      <c r="L30" s="12"/>
      <c r="M30" s="13"/>
      <c r="N30" s="14"/>
      <c r="O30" s="11"/>
      <c r="P30" s="15"/>
      <c r="Q30" s="16"/>
      <c r="R30" s="2"/>
      <c r="S30" s="12"/>
      <c r="T30" s="17"/>
      <c r="U30" s="2"/>
      <c r="V30" s="18"/>
      <c r="W30" s="8"/>
      <c r="Y30" s="149" t="s">
        <v>99</v>
      </c>
      <c r="Z30" s="152">
        <f t="shared" si="1"/>
        <v>0</v>
      </c>
    </row>
    <row r="31" spans="2:26" ht="18" x14ac:dyDescent="0.35">
      <c r="B31" s="95"/>
      <c r="C31" s="96"/>
      <c r="D31" s="97"/>
      <c r="E31" s="98"/>
      <c r="F31" s="90"/>
      <c r="G31" s="91"/>
      <c r="H31" s="92"/>
      <c r="I31" s="93"/>
      <c r="J31" s="83"/>
      <c r="K31" s="83"/>
      <c r="L31" s="12"/>
      <c r="M31" s="13"/>
      <c r="N31" s="14"/>
      <c r="O31" s="11"/>
      <c r="P31" s="15"/>
      <c r="Q31" s="16"/>
      <c r="R31" s="2"/>
      <c r="S31" s="12"/>
      <c r="T31" s="17"/>
      <c r="U31" s="2"/>
      <c r="V31" s="18"/>
      <c r="W31" s="8"/>
      <c r="Y31" s="149" t="s">
        <v>95</v>
      </c>
      <c r="Z31" s="152">
        <f t="shared" si="1"/>
        <v>0</v>
      </c>
    </row>
    <row r="32" spans="2:26" ht="18" x14ac:dyDescent="0.35">
      <c r="B32" s="95"/>
      <c r="C32" s="96"/>
      <c r="D32" s="97"/>
      <c r="E32" s="98"/>
      <c r="F32" s="90"/>
      <c r="G32" s="91"/>
      <c r="H32" s="92"/>
      <c r="I32" s="93"/>
      <c r="J32" s="83"/>
      <c r="K32" s="83"/>
      <c r="L32" s="12"/>
      <c r="M32" s="13"/>
      <c r="N32" s="14"/>
      <c r="O32" s="11"/>
      <c r="P32" s="15"/>
      <c r="Q32" s="16"/>
      <c r="R32" s="2"/>
      <c r="S32" s="12"/>
      <c r="T32" s="17"/>
      <c r="U32" s="2"/>
      <c r="V32" s="18"/>
      <c r="W32" s="8"/>
      <c r="Y32" s="149" t="s">
        <v>97</v>
      </c>
      <c r="Z32" s="152">
        <f t="shared" si="1"/>
        <v>0</v>
      </c>
    </row>
    <row r="33" spans="2:26" ht="18" x14ac:dyDescent="0.35">
      <c r="B33" s="95"/>
      <c r="C33" s="96"/>
      <c r="D33" s="97"/>
      <c r="E33" s="98"/>
      <c r="F33" s="90"/>
      <c r="G33" s="91"/>
      <c r="H33" s="92"/>
      <c r="I33" s="93"/>
      <c r="J33" s="83"/>
      <c r="K33" s="83"/>
      <c r="L33" s="12"/>
      <c r="M33" s="13"/>
      <c r="N33" s="14"/>
      <c r="O33" s="11"/>
      <c r="P33" s="15"/>
      <c r="Q33" s="16"/>
      <c r="R33" s="2"/>
      <c r="S33" s="12"/>
      <c r="T33" s="17"/>
      <c r="U33" s="2"/>
      <c r="V33" s="18"/>
      <c r="W33" s="8"/>
      <c r="Y33" s="149" t="s">
        <v>43</v>
      </c>
      <c r="Z33" s="152">
        <f t="shared" si="1"/>
        <v>0</v>
      </c>
    </row>
    <row r="34" spans="2:26" ht="18" x14ac:dyDescent="0.35">
      <c r="B34" s="95"/>
      <c r="C34" s="96"/>
      <c r="D34" s="97"/>
      <c r="E34" s="98"/>
      <c r="F34" s="90"/>
      <c r="G34" s="91"/>
      <c r="H34" s="92"/>
      <c r="I34" s="93"/>
      <c r="J34" s="83"/>
      <c r="K34" s="83"/>
      <c r="L34" s="12"/>
      <c r="M34" s="13"/>
      <c r="N34" s="14"/>
      <c r="O34" s="11"/>
      <c r="P34" s="15"/>
      <c r="Q34" s="16"/>
      <c r="R34" s="2"/>
      <c r="S34" s="12"/>
      <c r="T34" s="17"/>
      <c r="U34" s="2"/>
      <c r="V34" s="18"/>
      <c r="W34" s="8"/>
      <c r="Y34" s="149" t="s">
        <v>32</v>
      </c>
      <c r="Z34" s="152">
        <f t="shared" si="1"/>
        <v>0</v>
      </c>
    </row>
    <row r="35" spans="2:26" ht="18" x14ac:dyDescent="0.35">
      <c r="B35" s="95"/>
      <c r="C35" s="96"/>
      <c r="D35" s="97"/>
      <c r="E35" s="98"/>
      <c r="F35" s="90"/>
      <c r="G35" s="91"/>
      <c r="H35" s="92"/>
      <c r="I35" s="93"/>
      <c r="J35" s="83"/>
      <c r="K35" s="83"/>
      <c r="L35" s="12"/>
      <c r="M35" s="13"/>
      <c r="N35" s="14"/>
      <c r="O35" s="11"/>
      <c r="P35" s="15"/>
      <c r="Q35" s="16"/>
      <c r="R35" s="2"/>
      <c r="S35" s="12"/>
      <c r="T35" s="17"/>
      <c r="U35" s="2"/>
      <c r="V35" s="18"/>
      <c r="W35" s="8"/>
      <c r="Y35" s="149" t="s">
        <v>33</v>
      </c>
      <c r="Z35" s="152">
        <f t="shared" si="1"/>
        <v>0</v>
      </c>
    </row>
    <row r="36" spans="2:26" ht="18" x14ac:dyDescent="0.35">
      <c r="B36" s="95"/>
      <c r="C36" s="96"/>
      <c r="D36" s="97"/>
      <c r="E36" s="98"/>
      <c r="F36" s="90"/>
      <c r="G36" s="91"/>
      <c r="H36" s="92"/>
      <c r="I36" s="93"/>
      <c r="J36" s="83"/>
      <c r="K36" s="83"/>
      <c r="L36" s="12"/>
      <c r="M36" s="13"/>
      <c r="N36" s="14"/>
      <c r="O36" s="11"/>
      <c r="P36" s="15"/>
      <c r="Q36" s="16"/>
      <c r="R36" s="2"/>
      <c r="S36" s="12"/>
      <c r="T36" s="17"/>
      <c r="U36" s="2"/>
      <c r="V36" s="18"/>
      <c r="W36" s="8"/>
      <c r="Y36" s="149" t="s">
        <v>30</v>
      </c>
      <c r="Z36" s="152">
        <f t="shared" si="1"/>
        <v>0</v>
      </c>
    </row>
    <row r="37" spans="2:26" ht="18" x14ac:dyDescent="0.35">
      <c r="B37" s="95"/>
      <c r="C37" s="96"/>
      <c r="D37" s="97"/>
      <c r="E37" s="98"/>
      <c r="F37" s="90"/>
      <c r="G37" s="91"/>
      <c r="H37" s="92"/>
      <c r="I37" s="93"/>
      <c r="J37" s="83"/>
      <c r="K37" s="83"/>
      <c r="L37" s="12"/>
      <c r="M37" s="13"/>
      <c r="N37" s="14"/>
      <c r="O37" s="11"/>
      <c r="P37" s="15"/>
      <c r="Q37" s="16"/>
      <c r="R37" s="2"/>
      <c r="S37" s="12"/>
      <c r="T37" s="17"/>
      <c r="U37" s="2"/>
      <c r="V37" s="18"/>
      <c r="W37" s="8"/>
      <c r="Y37" s="149" t="s">
        <v>31</v>
      </c>
      <c r="Z37" s="152">
        <f t="shared" si="1"/>
        <v>0</v>
      </c>
    </row>
    <row r="38" spans="2:26" ht="18" x14ac:dyDescent="0.35">
      <c r="B38" s="95"/>
      <c r="C38" s="96"/>
      <c r="D38" s="97"/>
      <c r="E38" s="98"/>
      <c r="F38" s="90"/>
      <c r="G38" s="91"/>
      <c r="H38" s="92"/>
      <c r="I38" s="93"/>
      <c r="J38" s="83"/>
      <c r="K38" s="83"/>
      <c r="L38" s="12"/>
      <c r="M38" s="13"/>
      <c r="N38" s="14"/>
      <c r="O38" s="11"/>
      <c r="P38" s="15"/>
      <c r="Q38" s="16"/>
      <c r="R38" s="2"/>
      <c r="S38" s="12"/>
      <c r="T38" s="17"/>
      <c r="U38" s="2"/>
      <c r="V38" s="18"/>
      <c r="W38" s="8"/>
      <c r="Y38" s="149" t="s">
        <v>84</v>
      </c>
      <c r="Z38" s="152">
        <f t="shared" si="1"/>
        <v>0</v>
      </c>
    </row>
    <row r="39" spans="2:26" ht="18" x14ac:dyDescent="0.35">
      <c r="B39" s="95"/>
      <c r="C39" s="96"/>
      <c r="D39" s="97"/>
      <c r="E39" s="98"/>
      <c r="F39" s="90"/>
      <c r="G39" s="91"/>
      <c r="H39" s="92"/>
      <c r="I39" s="93"/>
      <c r="J39" s="83"/>
      <c r="K39" s="83"/>
      <c r="L39" s="12"/>
      <c r="M39" s="13"/>
      <c r="N39" s="14"/>
      <c r="O39" s="11"/>
      <c r="P39" s="15"/>
      <c r="Q39" s="16"/>
      <c r="R39" s="2"/>
      <c r="S39" s="12"/>
      <c r="T39" s="17"/>
      <c r="U39" s="2"/>
      <c r="V39" s="18"/>
      <c r="W39" s="8"/>
      <c r="Y39" s="149" t="s">
        <v>85</v>
      </c>
      <c r="Z39" s="152">
        <f t="shared" si="1"/>
        <v>0</v>
      </c>
    </row>
    <row r="40" spans="2:26" ht="18" x14ac:dyDescent="0.35">
      <c r="B40" s="95"/>
      <c r="C40" s="96"/>
      <c r="D40" s="97"/>
      <c r="E40" s="98"/>
      <c r="F40" s="90"/>
      <c r="G40" s="91"/>
      <c r="H40" s="92"/>
      <c r="I40" s="93"/>
      <c r="J40" s="83"/>
      <c r="K40" s="83"/>
      <c r="L40" s="12"/>
      <c r="M40" s="13"/>
      <c r="N40" s="14"/>
      <c r="O40" s="11"/>
      <c r="P40" s="15"/>
      <c r="Q40" s="16"/>
      <c r="R40" s="2"/>
      <c r="S40" s="12"/>
      <c r="T40" s="17"/>
      <c r="U40" s="2"/>
      <c r="V40" s="18"/>
      <c r="W40" s="8"/>
      <c r="Y40" s="149" t="s">
        <v>86</v>
      </c>
      <c r="Z40" s="152">
        <f t="shared" si="1"/>
        <v>0</v>
      </c>
    </row>
    <row r="41" spans="2:26" ht="18" x14ac:dyDescent="0.35">
      <c r="B41" s="95"/>
      <c r="C41" s="96"/>
      <c r="D41" s="97"/>
      <c r="E41" s="98"/>
      <c r="F41" s="90"/>
      <c r="G41" s="91"/>
      <c r="H41" s="92"/>
      <c r="I41" s="93"/>
      <c r="J41" s="83"/>
      <c r="K41" s="83"/>
      <c r="L41" s="12"/>
      <c r="M41" s="13"/>
      <c r="N41" s="14"/>
      <c r="O41" s="11"/>
      <c r="P41" s="15"/>
      <c r="Q41" s="16"/>
      <c r="R41" s="2"/>
      <c r="S41" s="12"/>
      <c r="T41" s="17"/>
      <c r="U41" s="2"/>
      <c r="V41" s="18"/>
      <c r="W41" s="8"/>
      <c r="Y41" s="149" t="s">
        <v>87</v>
      </c>
      <c r="Z41" s="152">
        <f t="shared" si="1"/>
        <v>0</v>
      </c>
    </row>
    <row r="42" spans="2:26" ht="18" x14ac:dyDescent="0.35">
      <c r="B42" s="95"/>
      <c r="C42" s="96"/>
      <c r="D42" s="97"/>
      <c r="E42" s="98"/>
      <c r="F42" s="90"/>
      <c r="G42" s="91"/>
      <c r="H42" s="92"/>
      <c r="I42" s="93"/>
      <c r="J42" s="83"/>
      <c r="K42" s="83"/>
      <c r="L42" s="12"/>
      <c r="M42" s="13"/>
      <c r="N42" s="14"/>
      <c r="O42" s="11"/>
      <c r="P42" s="15"/>
      <c r="Q42" s="16"/>
      <c r="R42" s="2"/>
      <c r="S42" s="12"/>
      <c r="T42" s="17"/>
      <c r="U42" s="2"/>
      <c r="V42" s="18"/>
      <c r="W42" s="8"/>
      <c r="Y42" s="149" t="s">
        <v>46</v>
      </c>
      <c r="Z42" s="152">
        <f t="shared" si="1"/>
        <v>0</v>
      </c>
    </row>
    <row r="43" spans="2:26" ht="18" x14ac:dyDescent="0.35">
      <c r="B43" s="95"/>
      <c r="C43" s="96"/>
      <c r="D43" s="97"/>
      <c r="E43" s="98"/>
      <c r="F43" s="90"/>
      <c r="G43" s="91"/>
      <c r="H43" s="92"/>
      <c r="I43" s="93"/>
      <c r="J43" s="83"/>
      <c r="K43" s="83"/>
      <c r="L43" s="12"/>
      <c r="M43" s="13"/>
      <c r="N43" s="14"/>
      <c r="O43" s="11"/>
      <c r="P43" s="15"/>
      <c r="Q43" s="16"/>
      <c r="R43" s="2"/>
      <c r="S43" s="12"/>
      <c r="T43" s="17"/>
      <c r="U43" s="2"/>
      <c r="V43" s="18"/>
      <c r="W43" s="8"/>
      <c r="Y43" s="149" t="s">
        <v>47</v>
      </c>
      <c r="Z43" s="152">
        <f t="shared" si="1"/>
        <v>0</v>
      </c>
    </row>
    <row r="44" spans="2:26" ht="18" x14ac:dyDescent="0.35">
      <c r="B44" s="95"/>
      <c r="C44" s="96"/>
      <c r="D44" s="97"/>
      <c r="E44" s="98"/>
      <c r="F44" s="90"/>
      <c r="G44" s="91"/>
      <c r="H44" s="92"/>
      <c r="I44" s="93"/>
      <c r="J44" s="83"/>
      <c r="K44" s="83"/>
      <c r="L44" s="12"/>
      <c r="M44" s="13"/>
      <c r="N44" s="14"/>
      <c r="O44" s="11"/>
      <c r="P44" s="15"/>
      <c r="Q44" s="16"/>
      <c r="R44" s="2"/>
      <c r="S44" s="12"/>
      <c r="T44" s="17"/>
      <c r="U44" s="2"/>
      <c r="V44" s="18"/>
      <c r="W44" s="8"/>
      <c r="Y44" s="149" t="s">
        <v>48</v>
      </c>
      <c r="Z44" s="152">
        <f t="shared" si="1"/>
        <v>0</v>
      </c>
    </row>
    <row r="45" spans="2:26" ht="18" x14ac:dyDescent="0.35">
      <c r="B45" s="95"/>
      <c r="C45" s="96"/>
      <c r="D45" s="97"/>
      <c r="E45" s="98"/>
      <c r="F45" s="90"/>
      <c r="G45" s="91"/>
      <c r="H45" s="92"/>
      <c r="I45" s="93"/>
      <c r="J45" s="83"/>
      <c r="K45" s="83"/>
      <c r="L45" s="12"/>
      <c r="M45" s="13"/>
      <c r="N45" s="14"/>
      <c r="O45" s="11"/>
      <c r="P45" s="15"/>
      <c r="Q45" s="16"/>
      <c r="R45" s="2"/>
      <c r="S45" s="12"/>
      <c r="T45" s="17"/>
      <c r="U45" s="2"/>
      <c r="V45" s="18"/>
      <c r="W45" s="8"/>
      <c r="Y45" s="149" t="s">
        <v>83</v>
      </c>
      <c r="Z45" s="152">
        <f t="shared" si="1"/>
        <v>0</v>
      </c>
    </row>
    <row r="46" spans="2:26" ht="18" x14ac:dyDescent="0.35">
      <c r="B46" s="95"/>
      <c r="C46" s="96"/>
      <c r="D46" s="97"/>
      <c r="E46" s="98"/>
      <c r="F46" s="90"/>
      <c r="G46" s="91"/>
      <c r="H46" s="92"/>
      <c r="I46" s="93"/>
      <c r="J46" s="83"/>
      <c r="K46" s="83"/>
      <c r="L46" s="12"/>
      <c r="M46" s="13"/>
      <c r="N46" s="14"/>
      <c r="O46" s="11"/>
      <c r="P46" s="15"/>
      <c r="Q46" s="16"/>
      <c r="R46" s="2"/>
      <c r="S46" s="12"/>
      <c r="T46" s="17"/>
      <c r="U46" s="2"/>
      <c r="V46" s="18"/>
      <c r="W46" s="8"/>
      <c r="Y46" s="149" t="s">
        <v>96</v>
      </c>
      <c r="Z46" s="152">
        <f t="shared" si="1"/>
        <v>0</v>
      </c>
    </row>
    <row r="47" spans="2:26" ht="18" x14ac:dyDescent="0.35">
      <c r="B47" s="95"/>
      <c r="C47" s="96"/>
      <c r="D47" s="97"/>
      <c r="E47" s="98"/>
      <c r="F47" s="90"/>
      <c r="G47" s="91"/>
      <c r="H47" s="92"/>
      <c r="I47" s="93"/>
      <c r="J47" s="83"/>
      <c r="K47" s="83"/>
      <c r="L47" s="12"/>
      <c r="M47" s="13"/>
      <c r="N47" s="14"/>
      <c r="O47" s="11"/>
      <c r="P47" s="15"/>
      <c r="Q47" s="16"/>
      <c r="R47" s="2"/>
      <c r="S47" s="12"/>
      <c r="T47" s="17"/>
      <c r="U47" s="2"/>
      <c r="V47" s="18"/>
      <c r="W47" s="8"/>
      <c r="Y47" s="149" t="s">
        <v>73</v>
      </c>
      <c r="Z47" s="152">
        <f t="shared" si="1"/>
        <v>0</v>
      </c>
    </row>
    <row r="48" spans="2:26" ht="18" x14ac:dyDescent="0.35">
      <c r="B48" s="95"/>
      <c r="C48" s="96"/>
      <c r="D48" s="97"/>
      <c r="E48" s="98"/>
      <c r="F48" s="90"/>
      <c r="G48" s="91"/>
      <c r="H48" s="92"/>
      <c r="I48" s="93"/>
      <c r="J48" s="83"/>
      <c r="K48" s="83"/>
      <c r="L48" s="12"/>
      <c r="M48" s="13"/>
      <c r="N48" s="14"/>
      <c r="O48" s="11"/>
      <c r="P48" s="15"/>
      <c r="Q48" s="16"/>
      <c r="R48" s="2"/>
      <c r="S48" s="12"/>
      <c r="T48" s="17"/>
      <c r="U48" s="2"/>
      <c r="V48" s="18"/>
      <c r="W48" s="8"/>
      <c r="Y48" s="149" t="s">
        <v>74</v>
      </c>
      <c r="Z48" s="152">
        <f t="shared" si="1"/>
        <v>0</v>
      </c>
    </row>
    <row r="49" spans="2:26" ht="18" x14ac:dyDescent="0.35">
      <c r="B49" s="95"/>
      <c r="C49" s="96"/>
      <c r="D49" s="97"/>
      <c r="E49" s="98"/>
      <c r="F49" s="90"/>
      <c r="G49" s="91"/>
      <c r="H49" s="92"/>
      <c r="I49" s="93"/>
      <c r="J49" s="83"/>
      <c r="K49" s="83"/>
      <c r="L49" s="12"/>
      <c r="M49" s="13"/>
      <c r="N49" s="14"/>
      <c r="O49" s="11"/>
      <c r="P49" s="15"/>
      <c r="Q49" s="16"/>
      <c r="R49" s="2"/>
      <c r="S49" s="12"/>
      <c r="T49" s="17"/>
      <c r="U49" s="2"/>
      <c r="V49" s="18"/>
      <c r="W49" s="8"/>
      <c r="Y49" s="149" t="s">
        <v>70</v>
      </c>
      <c r="Z49" s="152">
        <f t="shared" si="1"/>
        <v>0</v>
      </c>
    </row>
    <row r="50" spans="2:26" ht="18" x14ac:dyDescent="0.35">
      <c r="B50" s="95"/>
      <c r="C50" s="96"/>
      <c r="D50" s="97"/>
      <c r="E50" s="98"/>
      <c r="F50" s="90"/>
      <c r="G50" s="91"/>
      <c r="H50" s="92"/>
      <c r="I50" s="93"/>
      <c r="J50" s="83"/>
      <c r="K50" s="83"/>
      <c r="L50" s="12"/>
      <c r="M50" s="13"/>
      <c r="N50" s="14"/>
      <c r="O50" s="11"/>
      <c r="P50" s="15"/>
      <c r="Q50" s="16"/>
      <c r="R50" s="2"/>
      <c r="S50" s="12"/>
      <c r="T50" s="17"/>
      <c r="U50" s="2"/>
      <c r="V50" s="18"/>
      <c r="W50" s="8"/>
      <c r="Y50" s="149" t="s">
        <v>64</v>
      </c>
      <c r="Z50" s="152">
        <f t="shared" si="1"/>
        <v>0</v>
      </c>
    </row>
    <row r="51" spans="2:26" ht="18" x14ac:dyDescent="0.35">
      <c r="B51" s="95"/>
      <c r="C51" s="96"/>
      <c r="D51" s="97"/>
      <c r="E51" s="98"/>
      <c r="F51" s="90"/>
      <c r="G51" s="91"/>
      <c r="H51" s="92"/>
      <c r="I51" s="93"/>
      <c r="J51" s="83"/>
      <c r="K51" s="83"/>
      <c r="L51" s="12"/>
      <c r="M51" s="13"/>
      <c r="N51" s="14"/>
      <c r="O51" s="11"/>
      <c r="P51" s="15"/>
      <c r="Q51" s="16"/>
      <c r="R51" s="2"/>
      <c r="S51" s="12"/>
      <c r="T51" s="17"/>
      <c r="U51" s="2"/>
      <c r="V51" s="18"/>
      <c r="W51" s="8"/>
      <c r="Y51" s="149" t="s">
        <v>65</v>
      </c>
      <c r="Z51" s="152">
        <f t="shared" si="1"/>
        <v>0</v>
      </c>
    </row>
    <row r="52" spans="2:26" ht="18" x14ac:dyDescent="0.35">
      <c r="B52" s="95"/>
      <c r="C52" s="96"/>
      <c r="D52" s="97"/>
      <c r="E52" s="98"/>
      <c r="F52" s="90"/>
      <c r="G52" s="91"/>
      <c r="H52" s="92"/>
      <c r="I52" s="93"/>
      <c r="J52" s="83"/>
      <c r="K52" s="83"/>
      <c r="L52" s="12"/>
      <c r="M52" s="13"/>
      <c r="N52" s="14"/>
      <c r="O52" s="11"/>
      <c r="P52" s="15"/>
      <c r="Q52" s="16"/>
      <c r="R52" s="2"/>
      <c r="S52" s="12"/>
      <c r="T52" s="17"/>
      <c r="U52" s="2"/>
      <c r="V52" s="18"/>
      <c r="W52" s="8"/>
      <c r="Y52" s="149" t="s">
        <v>66</v>
      </c>
      <c r="Z52" s="152">
        <f t="shared" si="1"/>
        <v>0</v>
      </c>
    </row>
    <row r="53" spans="2:26" ht="18" x14ac:dyDescent="0.35">
      <c r="B53" s="95"/>
      <c r="C53" s="96"/>
      <c r="D53" s="97"/>
      <c r="E53" s="98"/>
      <c r="F53" s="90"/>
      <c r="G53" s="91"/>
      <c r="H53" s="92"/>
      <c r="I53" s="93"/>
      <c r="J53" s="83"/>
      <c r="K53" s="83"/>
      <c r="L53" s="12"/>
      <c r="M53" s="13"/>
      <c r="N53" s="14"/>
      <c r="O53" s="11"/>
      <c r="P53" s="15"/>
      <c r="Q53" s="16"/>
      <c r="R53" s="2"/>
      <c r="S53" s="12"/>
      <c r="T53" s="17"/>
      <c r="U53" s="2"/>
      <c r="V53" s="18"/>
      <c r="W53" s="8"/>
      <c r="Y53" s="149" t="s">
        <v>100</v>
      </c>
      <c r="Z53" s="152">
        <f t="shared" si="1"/>
        <v>0</v>
      </c>
    </row>
    <row r="54" spans="2:26" ht="18" x14ac:dyDescent="0.35">
      <c r="B54" s="95"/>
      <c r="C54" s="96"/>
      <c r="D54" s="97"/>
      <c r="E54" s="98"/>
      <c r="F54" s="90"/>
      <c r="G54" s="91"/>
      <c r="H54" s="92"/>
      <c r="I54" s="93"/>
      <c r="J54" s="83"/>
      <c r="K54" s="83"/>
      <c r="L54" s="12"/>
      <c r="M54" s="13"/>
      <c r="N54" s="14"/>
      <c r="O54" s="11"/>
      <c r="P54" s="15"/>
      <c r="Q54" s="16"/>
      <c r="R54" s="2"/>
      <c r="S54" s="12"/>
      <c r="T54" s="17"/>
      <c r="U54" s="2"/>
      <c r="V54" s="18"/>
      <c r="W54" s="8"/>
      <c r="Y54" s="149" t="s">
        <v>101</v>
      </c>
      <c r="Z54" s="152">
        <f t="shared" si="1"/>
        <v>0</v>
      </c>
    </row>
    <row r="55" spans="2:26" ht="18" x14ac:dyDescent="0.35">
      <c r="B55" s="95"/>
      <c r="C55" s="96"/>
      <c r="D55" s="97"/>
      <c r="E55" s="98"/>
      <c r="F55" s="90"/>
      <c r="G55" s="91"/>
      <c r="H55" s="92"/>
      <c r="I55" s="93"/>
      <c r="J55" s="83"/>
      <c r="K55" s="83"/>
      <c r="L55" s="12"/>
      <c r="M55" s="13"/>
      <c r="N55" s="14"/>
      <c r="O55" s="11"/>
      <c r="P55" s="15"/>
      <c r="Q55" s="16"/>
      <c r="R55" s="2"/>
      <c r="S55" s="12"/>
      <c r="T55" s="17"/>
      <c r="U55" s="2"/>
      <c r="V55" s="18"/>
      <c r="W55" s="8"/>
      <c r="Y55" s="149" t="s">
        <v>102</v>
      </c>
      <c r="Z55" s="152">
        <f t="shared" si="1"/>
        <v>0</v>
      </c>
    </row>
    <row r="56" spans="2:26" ht="18" x14ac:dyDescent="0.35">
      <c r="B56" s="95"/>
      <c r="C56" s="96"/>
      <c r="D56" s="97"/>
      <c r="E56" s="98"/>
      <c r="F56" s="90"/>
      <c r="G56" s="91"/>
      <c r="H56" s="92"/>
      <c r="I56" s="93"/>
      <c r="J56" s="83"/>
      <c r="K56" s="83"/>
      <c r="L56" s="12"/>
      <c r="M56" s="13"/>
      <c r="N56" s="14"/>
      <c r="O56" s="11"/>
      <c r="P56" s="15"/>
      <c r="Q56" s="16"/>
      <c r="R56" s="2"/>
      <c r="S56" s="12"/>
      <c r="T56" s="17"/>
      <c r="U56" s="2"/>
      <c r="V56" s="18"/>
      <c r="W56" s="8"/>
      <c r="Y56" s="149" t="s">
        <v>26</v>
      </c>
      <c r="Z56" s="152">
        <f t="shared" si="1"/>
        <v>0</v>
      </c>
    </row>
    <row r="57" spans="2:26" ht="18" x14ac:dyDescent="0.35">
      <c r="B57" s="95"/>
      <c r="C57" s="96"/>
      <c r="D57" s="97"/>
      <c r="E57" s="98"/>
      <c r="F57" s="90"/>
      <c r="G57" s="91"/>
      <c r="H57" s="92"/>
      <c r="I57" s="93"/>
      <c r="J57" s="83"/>
      <c r="K57" s="83"/>
      <c r="L57" s="12"/>
      <c r="M57" s="13"/>
      <c r="N57" s="14"/>
      <c r="O57" s="11"/>
      <c r="P57" s="15"/>
      <c r="Q57" s="16"/>
      <c r="R57" s="2"/>
      <c r="S57" s="12"/>
      <c r="T57" s="17"/>
      <c r="U57" s="2"/>
      <c r="V57" s="18"/>
      <c r="W57" s="8"/>
      <c r="Y57" s="149" t="s">
        <v>27</v>
      </c>
      <c r="Z57" s="152">
        <f t="shared" si="1"/>
        <v>0</v>
      </c>
    </row>
    <row r="58" spans="2:26" ht="18" x14ac:dyDescent="0.35">
      <c r="B58" s="95"/>
      <c r="C58" s="96"/>
      <c r="D58" s="97"/>
      <c r="E58" s="98"/>
      <c r="F58" s="90"/>
      <c r="G58" s="91"/>
      <c r="H58" s="92"/>
      <c r="I58" s="93"/>
      <c r="J58" s="83"/>
      <c r="K58" s="83"/>
      <c r="L58" s="12"/>
      <c r="M58" s="13"/>
      <c r="N58" s="14"/>
      <c r="O58" s="11"/>
      <c r="P58" s="15"/>
      <c r="Q58" s="16"/>
      <c r="R58" s="2"/>
      <c r="S58" s="12"/>
      <c r="T58" s="17"/>
      <c r="U58" s="2"/>
      <c r="V58" s="18"/>
      <c r="W58" s="8"/>
      <c r="Y58" s="149" t="s">
        <v>28</v>
      </c>
      <c r="Z58" s="152">
        <f t="shared" si="1"/>
        <v>0</v>
      </c>
    </row>
    <row r="59" spans="2:26" ht="18" x14ac:dyDescent="0.35">
      <c r="B59" s="95"/>
      <c r="C59" s="96"/>
      <c r="D59" s="97"/>
      <c r="E59" s="98"/>
      <c r="F59" s="90"/>
      <c r="G59" s="91"/>
      <c r="H59" s="92"/>
      <c r="I59" s="93"/>
      <c r="J59" s="83"/>
      <c r="K59" s="83"/>
      <c r="L59" s="12"/>
      <c r="M59" s="13"/>
      <c r="N59" s="14"/>
      <c r="O59" s="11"/>
      <c r="P59" s="15"/>
      <c r="Q59" s="16"/>
      <c r="R59" s="2"/>
      <c r="S59" s="12"/>
      <c r="T59" s="17"/>
      <c r="U59" s="2"/>
      <c r="V59" s="18"/>
      <c r="W59" s="8"/>
      <c r="Y59" s="149" t="s">
        <v>29</v>
      </c>
      <c r="Z59" s="152">
        <f t="shared" si="1"/>
        <v>0</v>
      </c>
    </row>
    <row r="60" spans="2:26" ht="18" x14ac:dyDescent="0.35">
      <c r="B60" s="95"/>
      <c r="C60" s="96"/>
      <c r="D60" s="97"/>
      <c r="E60" s="98"/>
      <c r="F60" s="90"/>
      <c r="G60" s="91"/>
      <c r="H60" s="92"/>
      <c r="I60" s="93"/>
      <c r="J60" s="83"/>
      <c r="K60" s="83"/>
      <c r="L60" s="12"/>
      <c r="M60" s="13"/>
      <c r="N60" s="14"/>
      <c r="O60" s="11"/>
      <c r="P60" s="15"/>
      <c r="Q60" s="16"/>
      <c r="R60" s="2"/>
      <c r="S60" s="12"/>
      <c r="T60" s="17"/>
      <c r="U60" s="2"/>
      <c r="V60" s="18"/>
      <c r="W60" s="8"/>
      <c r="Y60" s="149" t="s">
        <v>34</v>
      </c>
      <c r="Z60" s="152">
        <f t="shared" si="1"/>
        <v>0</v>
      </c>
    </row>
    <row r="61" spans="2:26" ht="18" x14ac:dyDescent="0.35">
      <c r="B61" s="95"/>
      <c r="C61" s="96"/>
      <c r="D61" s="97"/>
      <c r="E61" s="98"/>
      <c r="F61" s="90"/>
      <c r="G61" s="91"/>
      <c r="H61" s="92"/>
      <c r="I61" s="93"/>
      <c r="J61" s="83"/>
      <c r="K61" s="83"/>
      <c r="L61" s="12"/>
      <c r="M61" s="13"/>
      <c r="N61" s="14"/>
      <c r="O61" s="11"/>
      <c r="P61" s="15"/>
      <c r="Q61" s="16"/>
      <c r="R61" s="2"/>
      <c r="S61" s="12"/>
      <c r="T61" s="17"/>
      <c r="U61" s="2"/>
      <c r="V61" s="18"/>
      <c r="W61" s="8"/>
      <c r="Y61" s="149" t="s">
        <v>35</v>
      </c>
      <c r="Z61" s="152">
        <f t="shared" si="1"/>
        <v>0</v>
      </c>
    </row>
    <row r="62" spans="2:26" ht="18" x14ac:dyDescent="0.35">
      <c r="B62" s="95"/>
      <c r="C62" s="96"/>
      <c r="D62" s="97"/>
      <c r="E62" s="98"/>
      <c r="F62" s="90"/>
      <c r="G62" s="91"/>
      <c r="H62" s="92"/>
      <c r="I62" s="93"/>
      <c r="J62" s="83"/>
      <c r="K62" s="83"/>
      <c r="L62" s="12"/>
      <c r="M62" s="13"/>
      <c r="N62" s="14"/>
      <c r="O62" s="11"/>
      <c r="P62" s="15"/>
      <c r="Q62" s="16"/>
      <c r="R62" s="2"/>
      <c r="S62" s="12"/>
      <c r="T62" s="17"/>
      <c r="U62" s="2"/>
      <c r="V62" s="18"/>
      <c r="W62" s="8"/>
      <c r="Y62" s="149" t="s">
        <v>36</v>
      </c>
      <c r="Z62" s="152">
        <f t="shared" si="1"/>
        <v>0</v>
      </c>
    </row>
    <row r="63" spans="2:26" ht="18" x14ac:dyDescent="0.35">
      <c r="B63" s="95"/>
      <c r="C63" s="96"/>
      <c r="D63" s="97"/>
      <c r="E63" s="98"/>
      <c r="F63" s="90"/>
      <c r="G63" s="91"/>
      <c r="H63" s="92"/>
      <c r="I63" s="93"/>
      <c r="J63" s="83"/>
      <c r="K63" s="83"/>
      <c r="L63" s="12"/>
      <c r="M63" s="13"/>
      <c r="N63" s="14"/>
      <c r="O63" s="11"/>
      <c r="P63" s="15"/>
      <c r="Q63" s="16"/>
      <c r="R63" s="2"/>
      <c r="S63" s="12"/>
      <c r="T63" s="17"/>
      <c r="U63" s="2"/>
      <c r="V63" s="18"/>
      <c r="W63" s="8"/>
      <c r="Y63" s="149" t="s">
        <v>37</v>
      </c>
      <c r="Z63" s="152">
        <f t="shared" si="1"/>
        <v>0</v>
      </c>
    </row>
    <row r="64" spans="2:26" ht="18" x14ac:dyDescent="0.35">
      <c r="B64" s="95"/>
      <c r="C64" s="96"/>
      <c r="D64" s="97"/>
      <c r="E64" s="98"/>
      <c r="F64" s="90"/>
      <c r="G64" s="91"/>
      <c r="H64" s="92"/>
      <c r="I64" s="93"/>
      <c r="J64" s="83"/>
      <c r="K64" s="83"/>
      <c r="L64" s="12"/>
      <c r="M64" s="13"/>
      <c r="N64" s="14"/>
      <c r="O64" s="11"/>
      <c r="P64" s="15"/>
      <c r="Q64" s="16"/>
      <c r="R64" s="2"/>
      <c r="S64" s="12"/>
      <c r="T64" s="17"/>
      <c r="U64" s="2"/>
      <c r="V64" s="18"/>
      <c r="W64" s="8"/>
      <c r="Y64" s="149" t="s">
        <v>38</v>
      </c>
      <c r="Z64" s="152">
        <f t="shared" si="1"/>
        <v>0</v>
      </c>
    </row>
    <row r="65" spans="2:26" ht="18" x14ac:dyDescent="0.35">
      <c r="B65" s="95"/>
      <c r="C65" s="96"/>
      <c r="D65" s="97"/>
      <c r="E65" s="98"/>
      <c r="F65" s="99"/>
      <c r="G65" s="100"/>
      <c r="H65" s="101"/>
      <c r="I65" s="102"/>
      <c r="J65" s="83"/>
      <c r="K65" s="83"/>
      <c r="L65" s="12"/>
      <c r="M65" s="13"/>
      <c r="N65" s="14"/>
      <c r="O65" s="11"/>
      <c r="P65" s="15"/>
      <c r="Q65" s="16"/>
      <c r="R65" s="2"/>
      <c r="S65" s="12"/>
      <c r="T65" s="17"/>
      <c r="U65" s="2"/>
      <c r="V65" s="18"/>
      <c r="W65" s="8"/>
      <c r="Y65" s="149" t="s">
        <v>40</v>
      </c>
      <c r="Z65" s="152">
        <f t="shared" si="1"/>
        <v>0</v>
      </c>
    </row>
    <row r="66" spans="2:26" ht="18" x14ac:dyDescent="0.35">
      <c r="B66" s="95"/>
      <c r="C66" s="96"/>
      <c r="D66" s="97"/>
      <c r="E66" s="98"/>
      <c r="F66" s="90"/>
      <c r="G66" s="91"/>
      <c r="H66" s="92"/>
      <c r="I66" s="93"/>
      <c r="J66" s="83"/>
      <c r="K66" s="83"/>
      <c r="L66" s="12"/>
      <c r="M66" s="13"/>
      <c r="N66" s="14"/>
      <c r="O66" s="11"/>
      <c r="P66" s="15"/>
      <c r="Q66" s="16"/>
      <c r="R66" s="2"/>
      <c r="S66" s="12"/>
      <c r="T66" s="17"/>
      <c r="U66" s="2"/>
      <c r="V66" s="18"/>
      <c r="W66" s="8"/>
      <c r="Y66" s="149" t="s">
        <v>41</v>
      </c>
      <c r="Z66" s="152">
        <f t="shared" si="1"/>
        <v>0</v>
      </c>
    </row>
    <row r="67" spans="2:26" ht="18" x14ac:dyDescent="0.35">
      <c r="B67" s="95"/>
      <c r="C67" s="96"/>
      <c r="D67" s="97"/>
      <c r="E67" s="98"/>
      <c r="F67" s="103"/>
      <c r="G67" s="94"/>
      <c r="H67" s="104"/>
      <c r="I67" s="105"/>
      <c r="J67" s="83"/>
      <c r="K67" s="83"/>
      <c r="L67" s="12"/>
      <c r="M67" s="13"/>
      <c r="N67" s="14"/>
      <c r="O67" s="11"/>
      <c r="P67" s="15"/>
      <c r="Q67" s="16"/>
      <c r="R67" s="2"/>
      <c r="S67" s="12"/>
      <c r="T67" s="17"/>
      <c r="U67" s="2"/>
      <c r="V67" s="18"/>
      <c r="W67" s="8"/>
      <c r="Y67" s="149" t="s">
        <v>69</v>
      </c>
      <c r="Z67" s="152">
        <f t="shared" si="1"/>
        <v>0</v>
      </c>
    </row>
    <row r="68" spans="2:26" ht="18" x14ac:dyDescent="0.35">
      <c r="B68" s="95"/>
      <c r="C68" s="96"/>
      <c r="D68" s="97"/>
      <c r="E68" s="98"/>
      <c r="F68" s="90"/>
      <c r="G68" s="91"/>
      <c r="H68" s="92"/>
      <c r="I68" s="105"/>
      <c r="J68" s="83"/>
      <c r="K68" s="83"/>
      <c r="L68" s="12"/>
      <c r="M68" s="13"/>
      <c r="N68" s="14"/>
      <c r="O68" s="11"/>
      <c r="P68" s="15"/>
      <c r="Q68" s="16"/>
      <c r="R68" s="2"/>
      <c r="S68" s="12"/>
      <c r="T68" s="17"/>
      <c r="U68" s="2"/>
      <c r="V68" s="18"/>
      <c r="W68" s="8"/>
      <c r="Y68" s="149" t="s">
        <v>108</v>
      </c>
      <c r="Z68" s="152">
        <f t="shared" si="1"/>
        <v>0</v>
      </c>
    </row>
    <row r="69" spans="2:26" ht="18" x14ac:dyDescent="0.35">
      <c r="B69" s="95"/>
      <c r="C69" s="96"/>
      <c r="D69" s="97"/>
      <c r="E69" s="98"/>
      <c r="F69" s="90"/>
      <c r="G69" s="91"/>
      <c r="H69" s="92"/>
      <c r="I69" s="105"/>
      <c r="J69" s="83"/>
      <c r="K69" s="83"/>
      <c r="L69" s="12"/>
      <c r="M69" s="13"/>
      <c r="N69" s="14"/>
      <c r="O69" s="11"/>
      <c r="P69" s="15"/>
      <c r="Q69" s="16"/>
      <c r="R69" s="2"/>
      <c r="S69" s="12"/>
      <c r="T69" s="17"/>
      <c r="U69" s="2"/>
      <c r="V69" s="18"/>
      <c r="W69" s="8"/>
      <c r="Y69" s="149" t="s">
        <v>44</v>
      </c>
      <c r="Z69" s="152">
        <f t="shared" si="1"/>
        <v>0</v>
      </c>
    </row>
    <row r="70" spans="2:26" ht="18" x14ac:dyDescent="0.35">
      <c r="B70" s="95"/>
      <c r="C70" s="96"/>
      <c r="D70" s="97"/>
      <c r="E70" s="98"/>
      <c r="F70" s="90"/>
      <c r="G70" s="91"/>
      <c r="H70" s="92"/>
      <c r="I70" s="105"/>
      <c r="J70" s="83"/>
      <c r="K70" s="83"/>
      <c r="L70" s="12"/>
      <c r="M70" s="13"/>
      <c r="N70" s="14"/>
      <c r="O70" s="11"/>
      <c r="P70" s="15"/>
      <c r="Q70" s="16"/>
      <c r="R70" s="2"/>
      <c r="S70" s="12"/>
      <c r="T70" s="17"/>
      <c r="U70" s="2"/>
      <c r="V70" s="18"/>
      <c r="W70" s="8"/>
      <c r="Y70" s="149" t="s">
        <v>45</v>
      </c>
      <c r="Z70" s="152">
        <f t="shared" si="1"/>
        <v>0</v>
      </c>
    </row>
    <row r="71" spans="2:26" ht="18" x14ac:dyDescent="0.35">
      <c r="B71" s="95"/>
      <c r="C71" s="96"/>
      <c r="D71" s="97"/>
      <c r="E71" s="98"/>
      <c r="F71" s="90"/>
      <c r="G71" s="91"/>
      <c r="H71" s="92"/>
      <c r="I71" s="105"/>
      <c r="J71" s="83"/>
      <c r="K71" s="83"/>
      <c r="L71" s="12"/>
      <c r="M71" s="13"/>
      <c r="N71" s="14"/>
      <c r="O71" s="11"/>
      <c r="P71" s="15"/>
      <c r="Q71" s="16"/>
      <c r="R71" s="2"/>
      <c r="S71" s="12"/>
      <c r="T71" s="17"/>
      <c r="U71" s="2"/>
      <c r="V71" s="18"/>
      <c r="W71" s="8"/>
      <c r="Y71" s="149" t="s">
        <v>49</v>
      </c>
      <c r="Z71" s="152">
        <f t="shared" si="1"/>
        <v>0</v>
      </c>
    </row>
    <row r="72" spans="2:26" ht="18" x14ac:dyDescent="0.35">
      <c r="B72" s="106"/>
      <c r="C72" s="107"/>
      <c r="D72" s="108"/>
      <c r="E72" s="109"/>
      <c r="F72" s="90"/>
      <c r="G72" s="91"/>
      <c r="H72" s="92"/>
      <c r="I72" s="105"/>
      <c r="J72" s="83"/>
      <c r="K72" s="83"/>
      <c r="L72" s="12"/>
      <c r="M72" s="13"/>
      <c r="N72" s="14"/>
      <c r="O72" s="11"/>
      <c r="P72" s="15"/>
      <c r="Q72" s="16"/>
      <c r="R72" s="2"/>
      <c r="S72" s="12"/>
      <c r="T72" s="17"/>
      <c r="U72" s="2"/>
      <c r="V72" s="18"/>
      <c r="W72" s="8"/>
      <c r="Y72" s="149" t="s">
        <v>50</v>
      </c>
      <c r="Z72" s="152">
        <f t="shared" si="1"/>
        <v>0</v>
      </c>
    </row>
    <row r="73" spans="2:26" ht="18" x14ac:dyDescent="0.35">
      <c r="B73" s="95"/>
      <c r="C73" s="96"/>
      <c r="D73" s="97"/>
      <c r="E73" s="98"/>
      <c r="F73" s="90"/>
      <c r="G73" s="91"/>
      <c r="H73" s="92"/>
      <c r="I73" s="105"/>
      <c r="J73" s="83"/>
      <c r="K73" s="83"/>
      <c r="L73" s="20"/>
      <c r="M73" s="21"/>
      <c r="N73" s="22"/>
      <c r="O73" s="19"/>
      <c r="P73" s="23"/>
      <c r="Q73" s="24"/>
      <c r="R73" s="2"/>
      <c r="S73" s="20"/>
      <c r="T73" s="25"/>
      <c r="U73" s="2"/>
      <c r="V73" s="26"/>
      <c r="W73" s="27"/>
      <c r="Y73" s="149" t="s">
        <v>51</v>
      </c>
      <c r="Z73" s="152">
        <f t="shared" si="1"/>
        <v>0</v>
      </c>
    </row>
    <row r="74" spans="2:26" ht="18" x14ac:dyDescent="0.35">
      <c r="B74" s="110"/>
      <c r="C74" s="111"/>
      <c r="D74" s="112"/>
      <c r="E74" s="113"/>
      <c r="F74" s="90"/>
      <c r="G74" s="91"/>
      <c r="H74" s="92"/>
      <c r="I74" s="105"/>
      <c r="J74" s="83"/>
      <c r="K74" s="83"/>
      <c r="L74" s="12"/>
      <c r="M74" s="28"/>
      <c r="N74" s="14"/>
      <c r="O74" s="11"/>
      <c r="P74" s="11"/>
      <c r="Q74" s="16"/>
      <c r="R74" s="2"/>
      <c r="S74" s="12"/>
      <c r="T74" s="17"/>
      <c r="U74" s="2"/>
      <c r="V74" s="18"/>
      <c r="W74" s="16"/>
      <c r="Y74" s="149" t="s">
        <v>52</v>
      </c>
      <c r="Z74" s="152">
        <f t="shared" si="1"/>
        <v>0</v>
      </c>
    </row>
    <row r="75" spans="2:26" ht="18" x14ac:dyDescent="0.35">
      <c r="B75" s="95"/>
      <c r="C75" s="96"/>
      <c r="D75" s="97"/>
      <c r="E75" s="113"/>
      <c r="F75" s="90"/>
      <c r="G75" s="91"/>
      <c r="H75" s="92"/>
      <c r="I75" s="105"/>
      <c r="J75" s="83"/>
      <c r="K75" s="83"/>
      <c r="L75" s="12"/>
      <c r="M75" s="28"/>
      <c r="N75" s="14"/>
      <c r="O75" s="11"/>
      <c r="P75" s="11"/>
      <c r="Q75" s="16"/>
      <c r="R75" s="2"/>
      <c r="S75" s="12"/>
      <c r="T75" s="17"/>
      <c r="U75" s="2"/>
      <c r="V75" s="18"/>
      <c r="W75" s="16"/>
      <c r="Y75" s="149" t="s">
        <v>72</v>
      </c>
      <c r="Z75" s="152">
        <f t="shared" si="1"/>
        <v>0</v>
      </c>
    </row>
    <row r="76" spans="2:26" ht="18" x14ac:dyDescent="0.35">
      <c r="B76" s="95"/>
      <c r="C76" s="96"/>
      <c r="D76" s="97"/>
      <c r="E76" s="113"/>
      <c r="F76" s="90"/>
      <c r="G76" s="91"/>
      <c r="H76" s="92"/>
      <c r="I76" s="105"/>
      <c r="J76" s="83"/>
      <c r="K76" s="83"/>
      <c r="L76" s="12"/>
      <c r="M76" s="28"/>
      <c r="N76" s="14"/>
      <c r="O76" s="11"/>
      <c r="P76" s="11"/>
      <c r="Q76" s="16"/>
      <c r="R76" s="2"/>
      <c r="S76" s="12"/>
      <c r="T76" s="17"/>
      <c r="U76" s="2"/>
      <c r="V76" s="18"/>
      <c r="W76" s="16"/>
      <c r="Y76" s="149" t="s">
        <v>71</v>
      </c>
      <c r="Z76" s="152">
        <f t="shared" si="1"/>
        <v>0</v>
      </c>
    </row>
    <row r="77" spans="2:26" ht="18" x14ac:dyDescent="0.35">
      <c r="B77" s="95"/>
      <c r="C77" s="96"/>
      <c r="D77" s="97"/>
      <c r="E77" s="113"/>
      <c r="F77" s="90"/>
      <c r="G77" s="91"/>
      <c r="H77" s="92"/>
      <c r="I77" s="105"/>
      <c r="J77" s="83"/>
      <c r="K77" s="83"/>
      <c r="L77" s="12"/>
      <c r="M77" s="28"/>
      <c r="N77" s="14"/>
      <c r="O77" s="11"/>
      <c r="P77" s="11"/>
      <c r="Q77" s="16"/>
      <c r="R77" s="2"/>
      <c r="S77" s="12"/>
      <c r="T77" s="17"/>
      <c r="U77" s="2"/>
      <c r="V77" s="18"/>
      <c r="W77" s="16"/>
      <c r="Y77" s="149" t="s">
        <v>53</v>
      </c>
      <c r="Z77" s="152">
        <f t="shared" ref="Z77:Z79" si="2">SUMIF($G$9:$G$129, Y77, $F$9:$F$129)</f>
        <v>0</v>
      </c>
    </row>
    <row r="78" spans="2:26" ht="18" x14ac:dyDescent="0.35">
      <c r="B78" s="95"/>
      <c r="C78" s="96"/>
      <c r="D78" s="97"/>
      <c r="E78" s="113"/>
      <c r="F78" s="90"/>
      <c r="G78" s="91"/>
      <c r="H78" s="92"/>
      <c r="I78" s="105"/>
      <c r="J78" s="83"/>
      <c r="K78" s="83"/>
      <c r="L78" s="12"/>
      <c r="M78" s="28"/>
      <c r="N78" s="14"/>
      <c r="O78" s="11"/>
      <c r="P78" s="11"/>
      <c r="Q78" s="16"/>
      <c r="R78" s="2"/>
      <c r="S78" s="12"/>
      <c r="T78" s="17"/>
      <c r="U78" s="2"/>
      <c r="V78" s="18"/>
      <c r="W78" s="16"/>
      <c r="Y78" s="149" t="s">
        <v>54</v>
      </c>
      <c r="Z78" s="152">
        <f t="shared" si="2"/>
        <v>0</v>
      </c>
    </row>
    <row r="79" spans="2:26" ht="18.600000000000001" thickBot="1" x14ac:dyDescent="0.4">
      <c r="B79" s="95"/>
      <c r="C79" s="96"/>
      <c r="D79" s="97"/>
      <c r="E79" s="113"/>
      <c r="F79" s="90"/>
      <c r="G79" s="91"/>
      <c r="H79" s="92"/>
      <c r="I79" s="105"/>
      <c r="J79" s="83"/>
      <c r="K79" s="83"/>
      <c r="L79" s="12"/>
      <c r="M79" s="28"/>
      <c r="N79" s="14"/>
      <c r="O79" s="11"/>
      <c r="P79" s="11"/>
      <c r="Q79" s="16"/>
      <c r="R79" s="2"/>
      <c r="S79" s="12"/>
      <c r="T79" s="17"/>
      <c r="U79" s="2"/>
      <c r="V79" s="18"/>
      <c r="W79" s="16"/>
      <c r="Y79" s="150" t="s">
        <v>55</v>
      </c>
      <c r="Z79" s="153">
        <f t="shared" si="2"/>
        <v>0</v>
      </c>
    </row>
    <row r="80" spans="2:26" ht="18" x14ac:dyDescent="0.35">
      <c r="B80" s="95"/>
      <c r="C80" s="96"/>
      <c r="D80" s="97"/>
      <c r="E80" s="113"/>
      <c r="F80" s="90"/>
      <c r="G80" s="91"/>
      <c r="H80" s="92"/>
      <c r="I80" s="105"/>
      <c r="J80" s="83"/>
      <c r="K80" s="83"/>
      <c r="L80" s="12"/>
      <c r="M80" s="28"/>
      <c r="N80" s="14"/>
      <c r="O80" s="11"/>
      <c r="P80" s="11"/>
      <c r="Q80" s="16"/>
      <c r="R80" s="2"/>
      <c r="S80" s="12"/>
      <c r="T80" s="17"/>
      <c r="U80" s="2"/>
      <c r="V80" s="18"/>
      <c r="W80" s="16"/>
    </row>
    <row r="81" spans="2:23" ht="18" x14ac:dyDescent="0.35">
      <c r="B81" s="95"/>
      <c r="C81" s="96"/>
      <c r="D81" s="97"/>
      <c r="E81" s="113"/>
      <c r="F81" s="90"/>
      <c r="G81" s="91"/>
      <c r="H81" s="92"/>
      <c r="I81" s="105"/>
      <c r="J81" s="83"/>
      <c r="K81" s="83"/>
      <c r="L81" s="12"/>
      <c r="M81" s="28"/>
      <c r="N81" s="14"/>
      <c r="O81" s="11"/>
      <c r="P81" s="11"/>
      <c r="Q81" s="16"/>
      <c r="R81" s="2"/>
      <c r="S81" s="12"/>
      <c r="T81" s="17"/>
      <c r="U81" s="2"/>
      <c r="V81" s="18"/>
      <c r="W81" s="16"/>
    </row>
    <row r="82" spans="2:23" ht="18" x14ac:dyDescent="0.35">
      <c r="B82" s="95"/>
      <c r="C82" s="96"/>
      <c r="D82" s="97"/>
      <c r="E82" s="113"/>
      <c r="F82" s="90"/>
      <c r="G82" s="91"/>
      <c r="H82" s="92"/>
      <c r="I82" s="105"/>
      <c r="J82" s="83"/>
      <c r="K82" s="83"/>
      <c r="L82" s="12"/>
      <c r="M82" s="28"/>
      <c r="N82" s="14"/>
      <c r="O82" s="11"/>
      <c r="P82" s="11"/>
      <c r="Q82" s="16"/>
      <c r="R82" s="2"/>
      <c r="S82" s="12"/>
      <c r="T82" s="17"/>
      <c r="U82" s="2"/>
      <c r="V82" s="18"/>
      <c r="W82" s="16"/>
    </row>
    <row r="83" spans="2:23" ht="18" x14ac:dyDescent="0.35">
      <c r="B83" s="95"/>
      <c r="C83" s="96"/>
      <c r="D83" s="97"/>
      <c r="E83" s="113"/>
      <c r="F83" s="90"/>
      <c r="G83" s="91"/>
      <c r="H83" s="92"/>
      <c r="I83" s="105"/>
      <c r="J83" s="83"/>
      <c r="K83" s="83"/>
      <c r="L83" s="12"/>
      <c r="M83" s="28"/>
      <c r="N83" s="14"/>
      <c r="O83" s="11"/>
      <c r="P83" s="11"/>
      <c r="Q83" s="16"/>
      <c r="R83" s="2"/>
      <c r="S83" s="12"/>
      <c r="T83" s="17"/>
      <c r="U83" s="2"/>
      <c r="V83" s="18"/>
      <c r="W83" s="16"/>
    </row>
    <row r="84" spans="2:23" ht="18" x14ac:dyDescent="0.35">
      <c r="B84" s="95"/>
      <c r="C84" s="96"/>
      <c r="D84" s="97"/>
      <c r="E84" s="113"/>
      <c r="F84" s="90"/>
      <c r="G84" s="91"/>
      <c r="H84" s="92"/>
      <c r="I84" s="105"/>
      <c r="J84" s="83"/>
      <c r="K84" s="83"/>
      <c r="L84" s="12"/>
      <c r="M84" s="28"/>
      <c r="N84" s="14"/>
      <c r="O84" s="11"/>
      <c r="P84" s="11"/>
      <c r="Q84" s="16"/>
      <c r="R84" s="2"/>
      <c r="S84" s="12"/>
      <c r="T84" s="17"/>
      <c r="U84" s="2"/>
      <c r="V84" s="18"/>
      <c r="W84" s="16"/>
    </row>
    <row r="85" spans="2:23" ht="18" x14ac:dyDescent="0.35">
      <c r="B85" s="95"/>
      <c r="C85" s="96"/>
      <c r="D85" s="97"/>
      <c r="E85" s="113"/>
      <c r="F85" s="90"/>
      <c r="G85" s="91"/>
      <c r="H85" s="92"/>
      <c r="I85" s="105"/>
      <c r="J85" s="83"/>
      <c r="K85" s="83"/>
      <c r="L85" s="12"/>
      <c r="M85" s="28"/>
      <c r="N85" s="14"/>
      <c r="O85" s="11"/>
      <c r="P85" s="11"/>
      <c r="Q85" s="16"/>
      <c r="R85" s="2"/>
      <c r="S85" s="12"/>
      <c r="T85" s="17"/>
      <c r="U85" s="2"/>
      <c r="V85" s="18"/>
      <c r="W85" s="16"/>
    </row>
    <row r="86" spans="2:23" ht="18" x14ac:dyDescent="0.35">
      <c r="B86" s="95"/>
      <c r="C86" s="96"/>
      <c r="D86" s="97"/>
      <c r="E86" s="113"/>
      <c r="F86" s="90"/>
      <c r="G86" s="91"/>
      <c r="H86" s="92"/>
      <c r="I86" s="105"/>
      <c r="J86" s="83"/>
      <c r="K86" s="83"/>
      <c r="L86" s="12"/>
      <c r="M86" s="28"/>
      <c r="N86" s="14"/>
      <c r="O86" s="11"/>
      <c r="P86" s="11"/>
      <c r="Q86" s="16"/>
      <c r="R86" s="2"/>
      <c r="S86" s="12"/>
      <c r="T86" s="17"/>
      <c r="U86" s="2"/>
      <c r="V86" s="18"/>
      <c r="W86" s="16"/>
    </row>
    <row r="87" spans="2:23" ht="18" x14ac:dyDescent="0.35">
      <c r="B87" s="95"/>
      <c r="C87" s="96"/>
      <c r="D87" s="97"/>
      <c r="E87" s="113"/>
      <c r="F87" s="90"/>
      <c r="G87" s="91"/>
      <c r="H87" s="92"/>
      <c r="I87" s="105"/>
      <c r="J87" s="83"/>
      <c r="K87" s="83"/>
      <c r="L87" s="12"/>
      <c r="M87" s="28"/>
      <c r="N87" s="14"/>
      <c r="O87" s="11"/>
      <c r="P87" s="11"/>
      <c r="Q87" s="16"/>
      <c r="R87" s="2"/>
      <c r="S87" s="12"/>
      <c r="T87" s="17"/>
      <c r="U87" s="2"/>
      <c r="V87" s="18"/>
      <c r="W87" s="16"/>
    </row>
    <row r="88" spans="2:23" ht="18" x14ac:dyDescent="0.35">
      <c r="B88" s="95"/>
      <c r="C88" s="96"/>
      <c r="D88" s="97"/>
      <c r="E88" s="113"/>
      <c r="F88" s="90"/>
      <c r="G88" s="91"/>
      <c r="H88" s="92"/>
      <c r="I88" s="105"/>
      <c r="J88" s="83"/>
      <c r="K88" s="83"/>
      <c r="L88" s="12"/>
      <c r="M88" s="28"/>
      <c r="N88" s="14"/>
      <c r="O88" s="11"/>
      <c r="P88" s="11"/>
      <c r="Q88" s="16"/>
      <c r="R88" s="2"/>
      <c r="S88" s="12"/>
      <c r="T88" s="17"/>
      <c r="U88" s="2"/>
      <c r="V88" s="18"/>
      <c r="W88" s="16"/>
    </row>
    <row r="89" spans="2:23" ht="18" x14ac:dyDescent="0.35">
      <c r="B89" s="95"/>
      <c r="C89" s="96"/>
      <c r="D89" s="97"/>
      <c r="E89" s="113"/>
      <c r="F89" s="90"/>
      <c r="G89" s="91"/>
      <c r="H89" s="92"/>
      <c r="I89" s="105"/>
      <c r="J89" s="83"/>
      <c r="K89" s="83"/>
      <c r="L89" s="12"/>
      <c r="M89" s="28"/>
      <c r="N89" s="14"/>
      <c r="O89" s="11"/>
      <c r="P89" s="11"/>
      <c r="Q89" s="16"/>
      <c r="R89" s="2"/>
      <c r="S89" s="12"/>
      <c r="T89" s="17"/>
      <c r="U89" s="2"/>
      <c r="V89" s="18"/>
      <c r="W89" s="16"/>
    </row>
    <row r="90" spans="2:23" ht="18" x14ac:dyDescent="0.35">
      <c r="B90" s="95"/>
      <c r="C90" s="96"/>
      <c r="D90" s="97"/>
      <c r="E90" s="113"/>
      <c r="F90" s="90"/>
      <c r="G90" s="91"/>
      <c r="H90" s="92"/>
      <c r="I90" s="105"/>
      <c r="J90" s="83"/>
      <c r="K90" s="83"/>
      <c r="L90" s="12"/>
      <c r="M90" s="28"/>
      <c r="N90" s="14"/>
      <c r="O90" s="11"/>
      <c r="P90" s="11"/>
      <c r="Q90" s="16"/>
      <c r="R90" s="2"/>
      <c r="S90" s="12"/>
      <c r="T90" s="17"/>
      <c r="U90" s="2"/>
      <c r="V90" s="18"/>
      <c r="W90" s="16"/>
    </row>
    <row r="91" spans="2:23" ht="18" x14ac:dyDescent="0.35">
      <c r="B91" s="95"/>
      <c r="C91" s="96"/>
      <c r="D91" s="97"/>
      <c r="E91" s="113"/>
      <c r="F91" s="90"/>
      <c r="G91" s="91"/>
      <c r="H91" s="92"/>
      <c r="I91" s="105"/>
      <c r="J91" s="83"/>
      <c r="K91" s="83"/>
      <c r="L91" s="12"/>
      <c r="M91" s="28"/>
      <c r="N91" s="14"/>
      <c r="O91" s="11"/>
      <c r="P91" s="11"/>
      <c r="Q91" s="16"/>
      <c r="R91" s="2"/>
      <c r="S91" s="12"/>
      <c r="T91" s="17"/>
      <c r="U91" s="2"/>
      <c r="V91" s="18"/>
      <c r="W91" s="16"/>
    </row>
    <row r="92" spans="2:23" ht="18" x14ac:dyDescent="0.35">
      <c r="B92" s="95"/>
      <c r="C92" s="96"/>
      <c r="D92" s="97"/>
      <c r="E92" s="113"/>
      <c r="F92" s="90"/>
      <c r="G92" s="91"/>
      <c r="H92" s="92"/>
      <c r="I92" s="105"/>
      <c r="J92" s="83"/>
      <c r="K92" s="83"/>
      <c r="L92" s="12"/>
      <c r="M92" s="28"/>
      <c r="N92" s="14"/>
      <c r="O92" s="11"/>
      <c r="P92" s="11"/>
      <c r="Q92" s="16"/>
      <c r="R92" s="2"/>
      <c r="S92" s="12"/>
      <c r="T92" s="17"/>
      <c r="U92" s="2"/>
      <c r="V92" s="18"/>
      <c r="W92" s="16"/>
    </row>
    <row r="93" spans="2:23" ht="18" x14ac:dyDescent="0.35">
      <c r="B93" s="95"/>
      <c r="C93" s="96"/>
      <c r="D93" s="97"/>
      <c r="E93" s="113"/>
      <c r="F93" s="90"/>
      <c r="G93" s="91"/>
      <c r="H93" s="92"/>
      <c r="I93" s="105"/>
      <c r="J93" s="83"/>
      <c r="K93" s="83"/>
      <c r="L93" s="12"/>
      <c r="M93" s="28"/>
      <c r="N93" s="14"/>
      <c r="O93" s="11"/>
      <c r="P93" s="11"/>
      <c r="Q93" s="16"/>
      <c r="R93" s="2"/>
      <c r="S93" s="12"/>
      <c r="T93" s="17"/>
      <c r="U93" s="2"/>
      <c r="V93" s="18"/>
      <c r="W93" s="16"/>
    </row>
    <row r="94" spans="2:23" ht="18" x14ac:dyDescent="0.35">
      <c r="B94" s="95"/>
      <c r="C94" s="96"/>
      <c r="D94" s="97"/>
      <c r="E94" s="113"/>
      <c r="F94" s="90"/>
      <c r="G94" s="91"/>
      <c r="H94" s="92"/>
      <c r="I94" s="105"/>
      <c r="J94" s="83"/>
      <c r="K94" s="83"/>
      <c r="L94" s="12"/>
      <c r="M94" s="28"/>
      <c r="N94" s="14"/>
      <c r="O94" s="11"/>
      <c r="P94" s="11"/>
      <c r="Q94" s="16"/>
      <c r="R94" s="2"/>
      <c r="S94" s="12"/>
      <c r="T94" s="17"/>
      <c r="U94" s="2"/>
      <c r="V94" s="18"/>
      <c r="W94" s="16"/>
    </row>
    <row r="95" spans="2:23" ht="18" x14ac:dyDescent="0.35">
      <c r="B95" s="95"/>
      <c r="C95" s="96"/>
      <c r="D95" s="97"/>
      <c r="E95" s="113"/>
      <c r="F95" s="90"/>
      <c r="G95" s="91"/>
      <c r="H95" s="92"/>
      <c r="I95" s="105"/>
      <c r="J95" s="83"/>
      <c r="K95" s="83"/>
      <c r="L95" s="12"/>
      <c r="M95" s="28"/>
      <c r="N95" s="14"/>
      <c r="O95" s="11"/>
      <c r="P95" s="11"/>
      <c r="Q95" s="16"/>
      <c r="R95" s="2"/>
      <c r="S95" s="12"/>
      <c r="T95" s="17"/>
      <c r="U95" s="2"/>
      <c r="V95" s="18"/>
      <c r="W95" s="16"/>
    </row>
    <row r="96" spans="2:23" ht="18" x14ac:dyDescent="0.35">
      <c r="B96" s="95"/>
      <c r="C96" s="96"/>
      <c r="D96" s="97"/>
      <c r="E96" s="113"/>
      <c r="F96" s="90"/>
      <c r="G96" s="91"/>
      <c r="H96" s="92"/>
      <c r="I96" s="105"/>
      <c r="J96" s="83"/>
      <c r="K96" s="83"/>
      <c r="L96" s="12"/>
      <c r="M96" s="28"/>
      <c r="N96" s="14"/>
      <c r="O96" s="11"/>
      <c r="P96" s="11"/>
      <c r="Q96" s="16"/>
      <c r="R96" s="2"/>
      <c r="S96" s="12"/>
      <c r="T96" s="17"/>
      <c r="U96" s="2"/>
      <c r="V96" s="18"/>
      <c r="W96" s="16"/>
    </row>
    <row r="97" spans="2:23" ht="18" x14ac:dyDescent="0.35">
      <c r="B97" s="95"/>
      <c r="C97" s="96"/>
      <c r="D97" s="97"/>
      <c r="E97" s="113"/>
      <c r="F97" s="90"/>
      <c r="G97" s="91"/>
      <c r="H97" s="92"/>
      <c r="I97" s="105"/>
      <c r="J97" s="83"/>
      <c r="K97" s="83"/>
      <c r="L97" s="12"/>
      <c r="M97" s="28"/>
      <c r="N97" s="14"/>
      <c r="O97" s="11"/>
      <c r="P97" s="11"/>
      <c r="Q97" s="16"/>
      <c r="R97" s="2"/>
      <c r="S97" s="12"/>
      <c r="T97" s="17"/>
      <c r="U97" s="2"/>
      <c r="V97" s="18"/>
      <c r="W97" s="16"/>
    </row>
    <row r="98" spans="2:23" ht="18" x14ac:dyDescent="0.35">
      <c r="B98" s="95"/>
      <c r="C98" s="96"/>
      <c r="D98" s="97"/>
      <c r="E98" s="113"/>
      <c r="F98" s="90"/>
      <c r="G98" s="91"/>
      <c r="H98" s="92"/>
      <c r="I98" s="105"/>
      <c r="J98" s="83"/>
      <c r="K98" s="83"/>
      <c r="L98" s="12"/>
      <c r="M98" s="28"/>
      <c r="N98" s="14"/>
      <c r="O98" s="11"/>
      <c r="P98" s="11"/>
      <c r="Q98" s="16"/>
      <c r="R98" s="2"/>
      <c r="S98" s="12"/>
      <c r="T98" s="17"/>
      <c r="U98" s="2"/>
      <c r="V98" s="18"/>
      <c r="W98" s="16"/>
    </row>
    <row r="99" spans="2:23" ht="18" x14ac:dyDescent="0.35">
      <c r="B99" s="95"/>
      <c r="C99" s="96"/>
      <c r="D99" s="97"/>
      <c r="E99" s="113"/>
      <c r="F99" s="90"/>
      <c r="G99" s="91"/>
      <c r="H99" s="92"/>
      <c r="I99" s="105"/>
      <c r="J99" s="83"/>
      <c r="K99" s="83"/>
      <c r="L99" s="12"/>
      <c r="M99" s="28"/>
      <c r="N99" s="14"/>
      <c r="O99" s="11"/>
      <c r="P99" s="11"/>
      <c r="Q99" s="16"/>
      <c r="R99" s="2"/>
      <c r="S99" s="12"/>
      <c r="T99" s="17"/>
      <c r="U99" s="2"/>
      <c r="V99" s="18"/>
      <c r="W99" s="16"/>
    </row>
    <row r="100" spans="2:23" ht="18" x14ac:dyDescent="0.35">
      <c r="B100" s="95"/>
      <c r="C100" s="96"/>
      <c r="D100" s="97"/>
      <c r="E100" s="113"/>
      <c r="F100" s="90"/>
      <c r="G100" s="91"/>
      <c r="H100" s="92"/>
      <c r="I100" s="105"/>
      <c r="J100" s="83"/>
      <c r="K100" s="83"/>
      <c r="L100" s="12"/>
      <c r="M100" s="28"/>
      <c r="N100" s="14"/>
      <c r="O100" s="11"/>
      <c r="P100" s="11"/>
      <c r="Q100" s="16"/>
      <c r="R100" s="2"/>
      <c r="S100" s="12"/>
      <c r="T100" s="17"/>
      <c r="U100" s="2"/>
      <c r="V100" s="18"/>
      <c r="W100" s="16"/>
    </row>
    <row r="101" spans="2:23" ht="18" x14ac:dyDescent="0.35">
      <c r="B101" s="95"/>
      <c r="C101" s="96"/>
      <c r="D101" s="97"/>
      <c r="E101" s="113"/>
      <c r="F101" s="90"/>
      <c r="G101" s="91"/>
      <c r="H101" s="92"/>
      <c r="I101" s="105"/>
      <c r="J101" s="83"/>
      <c r="K101" s="83"/>
      <c r="L101" s="12"/>
      <c r="M101" s="28"/>
      <c r="N101" s="14"/>
      <c r="O101" s="11"/>
      <c r="P101" s="11"/>
      <c r="Q101" s="16"/>
      <c r="R101" s="2"/>
      <c r="S101" s="12"/>
      <c r="T101" s="17"/>
      <c r="U101" s="2"/>
      <c r="V101" s="18"/>
      <c r="W101" s="16"/>
    </row>
    <row r="102" spans="2:23" ht="18" x14ac:dyDescent="0.35">
      <c r="B102" s="95"/>
      <c r="C102" s="96"/>
      <c r="D102" s="97"/>
      <c r="E102" s="113"/>
      <c r="F102" s="90"/>
      <c r="G102" s="91"/>
      <c r="H102" s="92"/>
      <c r="I102" s="105"/>
      <c r="J102" s="83"/>
      <c r="K102" s="83"/>
      <c r="L102" s="12"/>
      <c r="M102" s="28"/>
      <c r="N102" s="14"/>
      <c r="O102" s="11"/>
      <c r="P102" s="11"/>
      <c r="Q102" s="16"/>
      <c r="R102" s="2"/>
      <c r="S102" s="12"/>
      <c r="T102" s="17"/>
      <c r="U102" s="2"/>
      <c r="V102" s="18"/>
      <c r="W102" s="16"/>
    </row>
    <row r="103" spans="2:23" ht="18" x14ac:dyDescent="0.35">
      <c r="B103" s="95"/>
      <c r="C103" s="96"/>
      <c r="D103" s="97"/>
      <c r="E103" s="113"/>
      <c r="F103" s="90"/>
      <c r="G103" s="91"/>
      <c r="H103" s="92"/>
      <c r="I103" s="105"/>
      <c r="J103" s="83"/>
      <c r="K103" s="83"/>
      <c r="L103" s="12"/>
      <c r="M103" s="28"/>
      <c r="N103" s="14"/>
      <c r="O103" s="11"/>
      <c r="P103" s="11"/>
      <c r="Q103" s="16"/>
      <c r="R103" s="2"/>
      <c r="S103" s="12"/>
      <c r="T103" s="17"/>
      <c r="U103" s="2"/>
      <c r="V103" s="18"/>
      <c r="W103" s="16"/>
    </row>
    <row r="104" spans="2:23" ht="18" x14ac:dyDescent="0.35">
      <c r="B104" s="95"/>
      <c r="C104" s="96"/>
      <c r="D104" s="97"/>
      <c r="E104" s="113"/>
      <c r="F104" s="90"/>
      <c r="G104" s="91"/>
      <c r="H104" s="92"/>
      <c r="I104" s="105"/>
      <c r="J104" s="83"/>
      <c r="K104" s="83"/>
      <c r="L104" s="12"/>
      <c r="M104" s="28"/>
      <c r="N104" s="14"/>
      <c r="O104" s="11"/>
      <c r="P104" s="11"/>
      <c r="Q104" s="16"/>
      <c r="R104" s="2"/>
      <c r="S104" s="12"/>
      <c r="T104" s="17"/>
      <c r="U104" s="2"/>
      <c r="V104" s="18"/>
      <c r="W104" s="16"/>
    </row>
    <row r="105" spans="2:23" ht="18" x14ac:dyDescent="0.35">
      <c r="B105" s="95"/>
      <c r="C105" s="96"/>
      <c r="D105" s="97"/>
      <c r="E105" s="113"/>
      <c r="F105" s="90"/>
      <c r="G105" s="91"/>
      <c r="H105" s="92"/>
      <c r="I105" s="105"/>
      <c r="J105" s="83"/>
      <c r="K105" s="83"/>
      <c r="L105" s="12"/>
      <c r="M105" s="28"/>
      <c r="N105" s="14"/>
      <c r="O105" s="11"/>
      <c r="P105" s="11"/>
      <c r="Q105" s="16"/>
      <c r="R105" s="2"/>
      <c r="S105" s="12"/>
      <c r="T105" s="17"/>
      <c r="U105" s="2"/>
      <c r="V105" s="18"/>
      <c r="W105" s="16"/>
    </row>
    <row r="106" spans="2:23" ht="18" x14ac:dyDescent="0.35">
      <c r="B106" s="95"/>
      <c r="C106" s="96"/>
      <c r="D106" s="97"/>
      <c r="E106" s="113"/>
      <c r="F106" s="90"/>
      <c r="G106" s="91"/>
      <c r="H106" s="92"/>
      <c r="I106" s="105"/>
      <c r="J106" s="83"/>
      <c r="K106" s="83"/>
      <c r="L106" s="12"/>
      <c r="M106" s="28"/>
      <c r="N106" s="14"/>
      <c r="O106" s="11"/>
      <c r="P106" s="11"/>
      <c r="Q106" s="16"/>
      <c r="R106" s="2"/>
      <c r="S106" s="12"/>
      <c r="T106" s="17"/>
      <c r="U106" s="2"/>
      <c r="V106" s="18"/>
      <c r="W106" s="16"/>
    </row>
    <row r="107" spans="2:23" ht="18" x14ac:dyDescent="0.35">
      <c r="B107" s="95"/>
      <c r="C107" s="96"/>
      <c r="D107" s="97"/>
      <c r="E107" s="113"/>
      <c r="F107" s="90"/>
      <c r="G107" s="91"/>
      <c r="H107" s="92"/>
      <c r="I107" s="105"/>
      <c r="J107" s="83"/>
      <c r="K107" s="83"/>
      <c r="L107" s="12"/>
      <c r="M107" s="28"/>
      <c r="N107" s="14"/>
      <c r="O107" s="11"/>
      <c r="P107" s="11"/>
      <c r="Q107" s="16"/>
      <c r="R107" s="2"/>
      <c r="S107" s="12"/>
      <c r="T107" s="17"/>
      <c r="U107" s="2"/>
      <c r="V107" s="18"/>
      <c r="W107" s="16"/>
    </row>
    <row r="108" spans="2:23" ht="18" x14ac:dyDescent="0.35">
      <c r="B108" s="95"/>
      <c r="C108" s="96"/>
      <c r="D108" s="97"/>
      <c r="E108" s="113"/>
      <c r="F108" s="90"/>
      <c r="G108" s="91"/>
      <c r="H108" s="92"/>
      <c r="I108" s="105"/>
      <c r="J108" s="83"/>
      <c r="K108" s="83"/>
      <c r="L108" s="12"/>
      <c r="M108" s="28"/>
      <c r="N108" s="14"/>
      <c r="O108" s="11"/>
      <c r="P108" s="11"/>
      <c r="Q108" s="16"/>
      <c r="R108" s="2"/>
      <c r="S108" s="12"/>
      <c r="T108" s="17"/>
      <c r="U108" s="2"/>
      <c r="V108" s="18"/>
      <c r="W108" s="16"/>
    </row>
    <row r="109" spans="2:23" ht="18" x14ac:dyDescent="0.35">
      <c r="B109" s="95"/>
      <c r="C109" s="96"/>
      <c r="D109" s="97"/>
      <c r="E109" s="113"/>
      <c r="F109" s="90"/>
      <c r="G109" s="91"/>
      <c r="H109" s="92"/>
      <c r="I109" s="105"/>
      <c r="J109" s="83"/>
      <c r="K109" s="83"/>
      <c r="L109" s="12"/>
      <c r="M109" s="28"/>
      <c r="N109" s="14"/>
      <c r="O109" s="11"/>
      <c r="P109" s="11"/>
      <c r="Q109" s="16"/>
      <c r="R109" s="2"/>
      <c r="S109" s="12"/>
      <c r="T109" s="17"/>
      <c r="U109" s="2"/>
      <c r="V109" s="18"/>
      <c r="W109" s="16"/>
    </row>
    <row r="110" spans="2:23" ht="18" x14ac:dyDescent="0.35">
      <c r="B110" s="95"/>
      <c r="C110" s="96"/>
      <c r="D110" s="97"/>
      <c r="E110" s="113"/>
      <c r="F110" s="90"/>
      <c r="G110" s="91"/>
      <c r="H110" s="92"/>
      <c r="I110" s="105"/>
      <c r="J110" s="83"/>
      <c r="K110" s="83"/>
      <c r="L110" s="12"/>
      <c r="M110" s="28"/>
      <c r="N110" s="14"/>
      <c r="O110" s="11"/>
      <c r="P110" s="11"/>
      <c r="Q110" s="16"/>
      <c r="R110" s="2"/>
      <c r="S110" s="12"/>
      <c r="T110" s="17"/>
      <c r="U110" s="2"/>
      <c r="V110" s="18"/>
      <c r="W110" s="16"/>
    </row>
    <row r="111" spans="2:23" ht="18" x14ac:dyDescent="0.35">
      <c r="B111" s="95"/>
      <c r="C111" s="96"/>
      <c r="D111" s="97"/>
      <c r="E111" s="113"/>
      <c r="F111" s="90"/>
      <c r="G111" s="91"/>
      <c r="H111" s="92"/>
      <c r="I111" s="105"/>
      <c r="J111" s="83"/>
      <c r="K111" s="83"/>
      <c r="L111" s="12"/>
      <c r="M111" s="28"/>
      <c r="N111" s="14"/>
      <c r="O111" s="11"/>
      <c r="P111" s="11"/>
      <c r="Q111" s="16"/>
      <c r="R111" s="2"/>
      <c r="S111" s="12"/>
      <c r="T111" s="17"/>
      <c r="U111" s="2"/>
      <c r="V111" s="18"/>
      <c r="W111" s="16"/>
    </row>
    <row r="112" spans="2:23" ht="18" x14ac:dyDescent="0.35">
      <c r="B112" s="95"/>
      <c r="C112" s="96"/>
      <c r="D112" s="97"/>
      <c r="E112" s="113"/>
      <c r="F112" s="90"/>
      <c r="G112" s="91"/>
      <c r="H112" s="92"/>
      <c r="I112" s="105"/>
      <c r="J112" s="83"/>
      <c r="K112" s="83"/>
      <c r="L112" s="12"/>
      <c r="M112" s="28"/>
      <c r="N112" s="14"/>
      <c r="O112" s="11"/>
      <c r="P112" s="11"/>
      <c r="Q112" s="16"/>
      <c r="R112" s="2"/>
      <c r="S112" s="12"/>
      <c r="T112" s="17"/>
      <c r="U112" s="2"/>
      <c r="V112" s="18"/>
      <c r="W112" s="16"/>
    </row>
    <row r="113" spans="2:23" ht="18" x14ac:dyDescent="0.35">
      <c r="B113" s="95"/>
      <c r="C113" s="96"/>
      <c r="D113" s="97"/>
      <c r="E113" s="113"/>
      <c r="F113" s="90"/>
      <c r="G113" s="91"/>
      <c r="H113" s="92"/>
      <c r="I113" s="105"/>
      <c r="J113" s="83"/>
      <c r="K113" s="83"/>
      <c r="L113" s="12"/>
      <c r="M113" s="28"/>
      <c r="N113" s="14"/>
      <c r="O113" s="11"/>
      <c r="P113" s="11"/>
      <c r="Q113" s="16"/>
      <c r="R113" s="2"/>
      <c r="S113" s="12"/>
      <c r="T113" s="17"/>
      <c r="U113" s="2"/>
      <c r="V113" s="18"/>
      <c r="W113" s="16"/>
    </row>
    <row r="114" spans="2:23" ht="18" x14ac:dyDescent="0.35">
      <c r="B114" s="95"/>
      <c r="C114" s="96"/>
      <c r="D114" s="97"/>
      <c r="E114" s="113"/>
      <c r="F114" s="90"/>
      <c r="G114" s="91"/>
      <c r="H114" s="92"/>
      <c r="I114" s="105"/>
      <c r="J114" s="83"/>
      <c r="K114" s="83"/>
      <c r="L114" s="12"/>
      <c r="M114" s="28"/>
      <c r="N114" s="14"/>
      <c r="O114" s="11"/>
      <c r="P114" s="11"/>
      <c r="Q114" s="16"/>
      <c r="R114" s="2"/>
      <c r="S114" s="12"/>
      <c r="T114" s="17"/>
      <c r="U114" s="2"/>
      <c r="V114" s="18"/>
      <c r="W114" s="16"/>
    </row>
    <row r="115" spans="2:23" ht="18" x14ac:dyDescent="0.35">
      <c r="B115" s="95"/>
      <c r="C115" s="96"/>
      <c r="D115" s="97"/>
      <c r="E115" s="113"/>
      <c r="F115" s="90"/>
      <c r="G115" s="91"/>
      <c r="H115" s="92"/>
      <c r="I115" s="105"/>
      <c r="J115" s="83"/>
      <c r="K115" s="83"/>
      <c r="L115" s="12"/>
      <c r="M115" s="28"/>
      <c r="N115" s="14"/>
      <c r="O115" s="11"/>
      <c r="P115" s="11"/>
      <c r="Q115" s="16"/>
      <c r="R115" s="2"/>
      <c r="S115" s="12"/>
      <c r="T115" s="17"/>
      <c r="U115" s="2"/>
      <c r="V115" s="18"/>
      <c r="W115" s="16"/>
    </row>
    <row r="116" spans="2:23" ht="18" x14ac:dyDescent="0.35">
      <c r="B116" s="95"/>
      <c r="C116" s="96"/>
      <c r="D116" s="97"/>
      <c r="E116" s="113"/>
      <c r="F116" s="90"/>
      <c r="G116" s="91"/>
      <c r="H116" s="92"/>
      <c r="I116" s="105"/>
      <c r="J116" s="83"/>
      <c r="K116" s="83"/>
      <c r="L116" s="12"/>
      <c r="M116" s="28"/>
      <c r="N116" s="14"/>
      <c r="O116" s="11"/>
      <c r="P116" s="11"/>
      <c r="Q116" s="16"/>
      <c r="R116" s="2"/>
      <c r="S116" s="12"/>
      <c r="T116" s="17"/>
      <c r="U116" s="2"/>
      <c r="V116" s="18"/>
      <c r="W116" s="16"/>
    </row>
    <row r="117" spans="2:23" ht="18" x14ac:dyDescent="0.35">
      <c r="B117" s="95"/>
      <c r="C117" s="96"/>
      <c r="D117" s="97"/>
      <c r="E117" s="113"/>
      <c r="F117" s="90"/>
      <c r="G117" s="91"/>
      <c r="H117" s="92"/>
      <c r="I117" s="105"/>
      <c r="J117" s="83"/>
      <c r="K117" s="83"/>
      <c r="L117" s="12"/>
      <c r="M117" s="28"/>
      <c r="N117" s="14"/>
      <c r="O117" s="11"/>
      <c r="P117" s="11"/>
      <c r="Q117" s="16"/>
      <c r="R117" s="2"/>
      <c r="S117" s="12"/>
      <c r="T117" s="17"/>
      <c r="U117" s="2"/>
      <c r="V117" s="18"/>
      <c r="W117" s="16"/>
    </row>
    <row r="118" spans="2:23" ht="18" x14ac:dyDescent="0.35">
      <c r="B118" s="95"/>
      <c r="C118" s="96"/>
      <c r="D118" s="97"/>
      <c r="E118" s="113"/>
      <c r="F118" s="90"/>
      <c r="G118" s="91"/>
      <c r="H118" s="92"/>
      <c r="I118" s="105"/>
      <c r="J118" s="83"/>
      <c r="K118" s="83"/>
      <c r="L118" s="12"/>
      <c r="M118" s="28"/>
      <c r="N118" s="14"/>
      <c r="O118" s="11"/>
      <c r="P118" s="11"/>
      <c r="Q118" s="16"/>
      <c r="R118" s="2"/>
      <c r="S118" s="12"/>
      <c r="T118" s="17"/>
      <c r="U118" s="2"/>
      <c r="V118" s="18"/>
      <c r="W118" s="16"/>
    </row>
    <row r="119" spans="2:23" ht="18" x14ac:dyDescent="0.35">
      <c r="B119" s="95"/>
      <c r="C119" s="96"/>
      <c r="D119" s="97"/>
      <c r="E119" s="113"/>
      <c r="F119" s="90"/>
      <c r="G119" s="91"/>
      <c r="H119" s="92"/>
      <c r="I119" s="105"/>
      <c r="J119" s="83"/>
      <c r="K119" s="83"/>
      <c r="L119" s="12"/>
      <c r="M119" s="28"/>
      <c r="N119" s="14"/>
      <c r="O119" s="11"/>
      <c r="P119" s="11"/>
      <c r="Q119" s="16"/>
      <c r="R119" s="2"/>
      <c r="S119" s="12"/>
      <c r="T119" s="17"/>
      <c r="U119" s="2"/>
      <c r="V119" s="18"/>
      <c r="W119" s="16"/>
    </row>
    <row r="120" spans="2:23" ht="18" x14ac:dyDescent="0.35">
      <c r="B120" s="95"/>
      <c r="C120" s="96"/>
      <c r="D120" s="97"/>
      <c r="E120" s="113"/>
      <c r="F120" s="90"/>
      <c r="G120" s="91"/>
      <c r="H120" s="92"/>
      <c r="I120" s="105"/>
      <c r="J120" s="83"/>
      <c r="K120" s="83"/>
      <c r="L120" s="12"/>
      <c r="M120" s="28"/>
      <c r="N120" s="14"/>
      <c r="O120" s="11"/>
      <c r="P120" s="11"/>
      <c r="Q120" s="16"/>
      <c r="R120" s="2"/>
      <c r="S120" s="12"/>
      <c r="T120" s="17"/>
      <c r="U120" s="2"/>
      <c r="V120" s="18"/>
      <c r="W120" s="16"/>
    </row>
    <row r="121" spans="2:23" ht="18" x14ac:dyDescent="0.35">
      <c r="B121" s="95"/>
      <c r="C121" s="96"/>
      <c r="D121" s="97"/>
      <c r="E121" s="113"/>
      <c r="F121" s="90"/>
      <c r="G121" s="91"/>
      <c r="H121" s="92"/>
      <c r="I121" s="105"/>
      <c r="J121" s="83"/>
      <c r="K121" s="83"/>
      <c r="L121" s="12"/>
      <c r="M121" s="28"/>
      <c r="N121" s="14"/>
      <c r="O121" s="11"/>
      <c r="P121" s="11"/>
      <c r="Q121" s="16"/>
      <c r="R121" s="2"/>
      <c r="S121" s="12"/>
      <c r="T121" s="17"/>
      <c r="U121" s="2"/>
      <c r="V121" s="18"/>
      <c r="W121" s="16"/>
    </row>
    <row r="122" spans="2:23" ht="18" x14ac:dyDescent="0.35">
      <c r="B122" s="95"/>
      <c r="C122" s="96"/>
      <c r="D122" s="97"/>
      <c r="E122" s="113"/>
      <c r="F122" s="99"/>
      <c r="G122" s="100"/>
      <c r="H122" s="101"/>
      <c r="I122" s="105"/>
      <c r="J122" s="83"/>
      <c r="K122" s="83"/>
      <c r="L122" s="12"/>
      <c r="M122" s="28"/>
      <c r="N122" s="14"/>
      <c r="O122" s="11"/>
      <c r="P122" s="11"/>
      <c r="Q122" s="16"/>
      <c r="R122" s="2"/>
      <c r="S122" s="12"/>
      <c r="T122" s="17"/>
      <c r="U122" s="2"/>
      <c r="V122" s="18"/>
      <c r="W122" s="16"/>
    </row>
    <row r="123" spans="2:23" ht="18" x14ac:dyDescent="0.35">
      <c r="B123" s="95"/>
      <c r="C123" s="96"/>
      <c r="D123" s="97"/>
      <c r="E123" s="113"/>
      <c r="F123" s="99"/>
      <c r="G123" s="100"/>
      <c r="H123" s="101"/>
      <c r="I123" s="105"/>
      <c r="J123" s="83"/>
      <c r="K123" s="83"/>
      <c r="L123" s="12"/>
      <c r="M123" s="28"/>
      <c r="N123" s="14"/>
      <c r="O123" s="11"/>
      <c r="P123" s="11"/>
      <c r="Q123" s="16"/>
      <c r="R123" s="2"/>
      <c r="S123" s="12"/>
      <c r="T123" s="17"/>
      <c r="U123" s="2"/>
      <c r="V123" s="18"/>
      <c r="W123" s="16"/>
    </row>
    <row r="124" spans="2:23" ht="18" x14ac:dyDescent="0.35">
      <c r="B124" s="95"/>
      <c r="C124" s="96"/>
      <c r="D124" s="97"/>
      <c r="E124" s="113"/>
      <c r="F124" s="99"/>
      <c r="G124" s="100"/>
      <c r="H124" s="101"/>
      <c r="I124" s="105"/>
      <c r="J124" s="83"/>
      <c r="K124" s="83"/>
      <c r="L124" s="12"/>
      <c r="M124" s="28"/>
      <c r="N124" s="14"/>
      <c r="O124" s="11"/>
      <c r="P124" s="11"/>
      <c r="Q124" s="16"/>
      <c r="R124" s="2"/>
      <c r="S124" s="12"/>
      <c r="T124" s="17"/>
      <c r="U124" s="2"/>
      <c r="V124" s="18"/>
      <c r="W124" s="16"/>
    </row>
    <row r="125" spans="2:23" ht="18" x14ac:dyDescent="0.35">
      <c r="B125" s="95"/>
      <c r="C125" s="96"/>
      <c r="D125" s="97"/>
      <c r="E125" s="113"/>
      <c r="F125" s="99"/>
      <c r="G125" s="100"/>
      <c r="H125" s="101"/>
      <c r="I125" s="105"/>
      <c r="J125" s="83"/>
      <c r="K125" s="83"/>
      <c r="L125" s="12"/>
      <c r="M125" s="28"/>
      <c r="N125" s="14"/>
      <c r="O125" s="11"/>
      <c r="P125" s="11"/>
      <c r="Q125" s="16"/>
      <c r="R125" s="2"/>
      <c r="S125" s="12"/>
      <c r="T125" s="17"/>
      <c r="U125" s="2"/>
      <c r="V125" s="18"/>
      <c r="W125" s="16"/>
    </row>
    <row r="126" spans="2:23" ht="18" x14ac:dyDescent="0.35">
      <c r="B126" s="95"/>
      <c r="C126" s="96"/>
      <c r="D126" s="97"/>
      <c r="E126" s="113"/>
      <c r="F126" s="99"/>
      <c r="G126" s="100"/>
      <c r="H126" s="101"/>
      <c r="I126" s="105"/>
      <c r="J126" s="83"/>
      <c r="K126" s="83"/>
      <c r="L126" s="12"/>
      <c r="M126" s="28"/>
      <c r="N126" s="14"/>
      <c r="O126" s="11"/>
      <c r="P126" s="11"/>
      <c r="Q126" s="16"/>
      <c r="R126" s="2"/>
      <c r="S126" s="12"/>
      <c r="T126" s="17"/>
      <c r="U126" s="2"/>
      <c r="V126" s="18"/>
      <c r="W126" s="16"/>
    </row>
    <row r="127" spans="2:23" ht="18" x14ac:dyDescent="0.35">
      <c r="B127" s="95"/>
      <c r="C127" s="96"/>
      <c r="D127" s="97"/>
      <c r="E127" s="113"/>
      <c r="F127" s="99"/>
      <c r="G127" s="100"/>
      <c r="H127" s="101"/>
      <c r="I127" s="105"/>
      <c r="J127" s="83"/>
      <c r="K127" s="83"/>
      <c r="L127" s="12"/>
      <c r="M127" s="28"/>
      <c r="N127" s="14"/>
      <c r="O127" s="11"/>
      <c r="P127" s="11"/>
      <c r="Q127" s="16"/>
      <c r="R127" s="2"/>
      <c r="S127" s="12"/>
      <c r="T127" s="17"/>
      <c r="U127" s="2"/>
      <c r="V127" s="18"/>
      <c r="W127" s="16"/>
    </row>
    <row r="128" spans="2:23" ht="18" x14ac:dyDescent="0.35">
      <c r="B128" s="95"/>
      <c r="C128" s="96"/>
      <c r="D128" s="97"/>
      <c r="E128" s="113"/>
      <c r="F128" s="99"/>
      <c r="G128" s="100"/>
      <c r="H128" s="101"/>
      <c r="I128" s="105"/>
      <c r="J128" s="83"/>
      <c r="K128" s="83"/>
      <c r="L128" s="12"/>
      <c r="M128" s="28"/>
      <c r="N128" s="14"/>
      <c r="O128" s="11"/>
      <c r="P128" s="11"/>
      <c r="Q128" s="16"/>
      <c r="R128" s="2"/>
      <c r="S128" s="12"/>
      <c r="T128" s="17"/>
      <c r="U128" s="2"/>
      <c r="V128" s="18"/>
      <c r="W128" s="16"/>
    </row>
    <row r="129" spans="1:23" ht="18.600000000000001" thickBot="1" x14ac:dyDescent="0.4">
      <c r="B129" s="114"/>
      <c r="C129" s="115"/>
      <c r="D129" s="116"/>
      <c r="E129" s="113"/>
      <c r="F129" s="117"/>
      <c r="G129" s="118"/>
      <c r="H129" s="119"/>
      <c r="I129" s="105"/>
      <c r="J129" s="83"/>
      <c r="K129" s="83"/>
      <c r="L129" s="30"/>
      <c r="M129" s="31"/>
      <c r="N129" s="32"/>
      <c r="O129" s="29"/>
      <c r="P129" s="29"/>
      <c r="Q129" s="33"/>
      <c r="R129" s="2"/>
      <c r="S129" s="30"/>
      <c r="T129" s="34"/>
      <c r="U129" s="2"/>
      <c r="V129" s="35"/>
      <c r="W129" s="33"/>
    </row>
    <row r="130" spans="1:23" ht="18.600000000000001" thickBot="1" x14ac:dyDescent="0.4">
      <c r="A130" s="120" t="s">
        <v>15</v>
      </c>
      <c r="B130" s="121">
        <f>SUM(B9:B129)</f>
        <v>0</v>
      </c>
      <c r="C130" s="122"/>
      <c r="D130" s="121"/>
      <c r="E130" s="123">
        <f>SUM(E9:E129)</f>
        <v>0</v>
      </c>
      <c r="F130" s="124">
        <f>SUM(F9:F129)</f>
        <v>0</v>
      </c>
      <c r="G130" s="82"/>
      <c r="H130" s="125"/>
      <c r="I130" s="125">
        <f>SUM(I9:I129)</f>
        <v>0</v>
      </c>
      <c r="J130" s="83"/>
      <c r="K130" s="83"/>
      <c r="L130" s="126"/>
      <c r="M130" s="126">
        <f>SUM(M9:M129)</f>
        <v>0</v>
      </c>
      <c r="N130" s="127">
        <f>SUM(N9:N129)</f>
        <v>0</v>
      </c>
      <c r="O130" s="82"/>
      <c r="P130" s="82">
        <f>SUM(P9:P129)</f>
        <v>0</v>
      </c>
      <c r="Q130" s="128">
        <f>SUM(Q9:Q129)</f>
        <v>0</v>
      </c>
      <c r="R130" s="83"/>
      <c r="S130" s="84"/>
      <c r="T130" s="129">
        <f>SUM(T9:T129)</f>
        <v>0</v>
      </c>
      <c r="U130" s="83"/>
      <c r="V130" s="82"/>
      <c r="W130" s="130">
        <f>SUM(W9:W129)</f>
        <v>0</v>
      </c>
    </row>
  </sheetData>
  <mergeCells count="8">
    <mergeCell ref="V5:W5"/>
    <mergeCell ref="Y5:Z5"/>
    <mergeCell ref="E1:G1"/>
    <mergeCell ref="B2:C2"/>
    <mergeCell ref="B3:C3"/>
    <mergeCell ref="B5:I5"/>
    <mergeCell ref="L5:Q5"/>
    <mergeCell ref="S5:T5"/>
  </mergeCell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FA6730-768D-4DEF-AD0A-B9B6FEFA6026}">
  <sheetPr codeName="Sheet42"/>
  <dimension ref="A1:Z130"/>
  <sheetViews>
    <sheetView topLeftCell="B1" zoomScale="80" zoomScaleNormal="80" workbookViewId="0">
      <selection activeCell="G11" sqref="G11"/>
    </sheetView>
  </sheetViews>
  <sheetFormatPr defaultColWidth="9.109375" defaultRowHeight="14.4" x14ac:dyDescent="0.3"/>
  <cols>
    <col min="1" max="1" width="15.5546875" style="36" customWidth="1"/>
    <col min="2" max="2" width="15.88671875" style="36" customWidth="1"/>
    <col min="3" max="3" width="20" style="76" customWidth="1"/>
    <col min="4" max="4" width="20.33203125" style="36" customWidth="1"/>
    <col min="5" max="5" width="22.33203125" style="36" customWidth="1"/>
    <col min="6" max="6" width="14.6640625" style="36" customWidth="1"/>
    <col min="7" max="7" width="22" style="76" customWidth="1"/>
    <col min="8" max="8" width="18.88671875" style="36" customWidth="1"/>
    <col min="9" max="9" width="23" style="36" customWidth="1"/>
    <col min="10" max="11" width="9.109375" style="36"/>
    <col min="12" max="12" width="20.6640625" style="76" customWidth="1"/>
    <col min="13" max="13" width="15.44140625" style="76" customWidth="1"/>
    <col min="14" max="14" width="22.6640625" style="36" customWidth="1"/>
    <col min="15" max="15" width="20.5546875" style="76" customWidth="1"/>
    <col min="16" max="16" width="13.33203125" style="76" customWidth="1"/>
    <col min="17" max="17" width="21.5546875" style="76" customWidth="1"/>
    <col min="18" max="18" width="9.109375" style="36"/>
    <col min="19" max="19" width="22" style="76" customWidth="1"/>
    <col min="20" max="20" width="22.33203125" style="76" customWidth="1"/>
    <col min="21" max="21" width="9.109375" style="36"/>
    <col min="22" max="22" width="21.88671875" style="76" customWidth="1"/>
    <col min="23" max="23" width="23.109375" style="76" customWidth="1"/>
    <col min="24" max="24" width="9.109375" style="36"/>
    <col min="25" max="25" width="21.33203125" style="36" customWidth="1"/>
    <col min="26" max="26" width="21.88671875" style="36" customWidth="1"/>
    <col min="27" max="16384" width="9.109375" style="36"/>
  </cols>
  <sheetData>
    <row r="1" spans="2:26" ht="21" x14ac:dyDescent="0.4">
      <c r="E1" s="189">
        <v>44184</v>
      </c>
      <c r="F1" s="189"/>
      <c r="G1" s="189"/>
    </row>
    <row r="2" spans="2:26" ht="18" x14ac:dyDescent="0.35">
      <c r="B2" s="190" t="s">
        <v>0</v>
      </c>
      <c r="C2" s="190"/>
      <c r="D2" s="1"/>
    </row>
    <row r="3" spans="2:26" ht="18" x14ac:dyDescent="0.35">
      <c r="B3" s="190" t="s">
        <v>1</v>
      </c>
      <c r="C3" s="190"/>
      <c r="D3" s="77">
        <f>(D2-E130-I130)</f>
        <v>0</v>
      </c>
    </row>
    <row r="5" spans="2:26" ht="36.6" x14ac:dyDescent="0.7">
      <c r="B5" s="187" t="s">
        <v>2</v>
      </c>
      <c r="C5" s="187"/>
      <c r="D5" s="187"/>
      <c r="E5" s="187"/>
      <c r="F5" s="187"/>
      <c r="G5" s="187"/>
      <c r="H5" s="187"/>
      <c r="I5" s="187"/>
      <c r="L5" s="187" t="s">
        <v>3</v>
      </c>
      <c r="M5" s="187"/>
      <c r="N5" s="187"/>
      <c r="O5" s="187"/>
      <c r="P5" s="187"/>
      <c r="Q5" s="187"/>
      <c r="S5" s="191" t="s">
        <v>4</v>
      </c>
      <c r="T5" s="191"/>
      <c r="V5" s="187" t="s">
        <v>5</v>
      </c>
      <c r="W5" s="187"/>
      <c r="Y5" s="188" t="s">
        <v>105</v>
      </c>
      <c r="Z5" s="187"/>
    </row>
    <row r="7" spans="2:26" ht="15" thickBot="1" x14ac:dyDescent="0.35"/>
    <row r="8" spans="2:26" ht="18.600000000000001" thickBot="1" x14ac:dyDescent="0.4">
      <c r="B8" s="78" t="s">
        <v>6</v>
      </c>
      <c r="C8" s="79" t="s">
        <v>7</v>
      </c>
      <c r="D8" s="78" t="s">
        <v>8</v>
      </c>
      <c r="E8" s="80" t="s">
        <v>9</v>
      </c>
      <c r="F8" s="81" t="s">
        <v>6</v>
      </c>
      <c r="G8" s="81" t="s">
        <v>10</v>
      </c>
      <c r="H8" s="81" t="s">
        <v>8</v>
      </c>
      <c r="I8" s="82" t="s">
        <v>9</v>
      </c>
      <c r="J8" s="83"/>
      <c r="K8" s="83"/>
      <c r="L8" s="84" t="s">
        <v>11</v>
      </c>
      <c r="M8" s="84" t="s">
        <v>6</v>
      </c>
      <c r="N8" s="84" t="s">
        <v>9</v>
      </c>
      <c r="O8" s="82" t="s">
        <v>12</v>
      </c>
      <c r="P8" s="82" t="s">
        <v>6</v>
      </c>
      <c r="Q8" s="82" t="s">
        <v>9</v>
      </c>
      <c r="R8" s="83"/>
      <c r="S8" s="84" t="s">
        <v>13</v>
      </c>
      <c r="T8" s="85" t="s">
        <v>9</v>
      </c>
      <c r="U8" s="83"/>
      <c r="V8" s="82" t="s">
        <v>14</v>
      </c>
      <c r="W8" s="82" t="s">
        <v>9</v>
      </c>
      <c r="Y8" s="146" t="s">
        <v>106</v>
      </c>
      <c r="Z8" s="147" t="s">
        <v>107</v>
      </c>
    </row>
    <row r="9" spans="2:26" ht="18" x14ac:dyDescent="0.35">
      <c r="B9" s="86"/>
      <c r="C9" s="87"/>
      <c r="D9" s="88"/>
      <c r="E9" s="89"/>
      <c r="F9" s="90"/>
      <c r="G9" s="91"/>
      <c r="H9" s="92"/>
      <c r="I9" s="93"/>
      <c r="J9" s="83"/>
      <c r="K9" s="83"/>
      <c r="L9" s="3"/>
      <c r="M9" s="4"/>
      <c r="N9" s="5"/>
      <c r="O9" s="6"/>
      <c r="P9" s="7"/>
      <c r="Q9" s="8"/>
      <c r="R9" s="2"/>
      <c r="S9" s="3"/>
      <c r="T9" s="9"/>
      <c r="U9" s="2"/>
      <c r="V9" s="10"/>
      <c r="W9" s="8"/>
      <c r="Y9" s="148" t="s">
        <v>88</v>
      </c>
      <c r="Z9" s="151">
        <f>SUMIF($C$9:$C$129, Y9, $B$9:$B$129)</f>
        <v>0</v>
      </c>
    </row>
    <row r="10" spans="2:26" ht="18" x14ac:dyDescent="0.35">
      <c r="B10" s="95"/>
      <c r="C10" s="96"/>
      <c r="D10" s="97"/>
      <c r="E10" s="98"/>
      <c r="F10" s="90"/>
      <c r="G10" s="91"/>
      <c r="H10" s="92"/>
      <c r="I10" s="93"/>
      <c r="J10" s="83"/>
      <c r="K10" s="83"/>
      <c r="L10" s="12"/>
      <c r="M10" s="13"/>
      <c r="N10" s="14"/>
      <c r="O10" s="11"/>
      <c r="P10" s="15"/>
      <c r="Q10" s="16"/>
      <c r="R10" s="2"/>
      <c r="S10" s="12"/>
      <c r="T10" s="17"/>
      <c r="U10" s="2"/>
      <c r="V10" s="18"/>
      <c r="W10" s="8"/>
      <c r="Y10" s="149" t="s">
        <v>76</v>
      </c>
      <c r="Z10" s="151">
        <f t="shared" ref="Z10:Z11" si="0">SUMIF($C$9:$C$129, Y10, $B$9:$B$129)</f>
        <v>0</v>
      </c>
    </row>
    <row r="11" spans="2:26" ht="18" x14ac:dyDescent="0.35">
      <c r="B11" s="95"/>
      <c r="C11" s="96"/>
      <c r="D11" s="97"/>
      <c r="E11" s="98"/>
      <c r="F11" s="90"/>
      <c r="G11" s="91"/>
      <c r="H11" s="92"/>
      <c r="I11" s="93"/>
      <c r="J11" s="83"/>
      <c r="K11" s="83"/>
      <c r="L11" s="12"/>
      <c r="M11" s="13"/>
      <c r="N11" s="14"/>
      <c r="O11" s="11"/>
      <c r="P11" s="15"/>
      <c r="Q11" s="16"/>
      <c r="R11" s="2"/>
      <c r="S11" s="12"/>
      <c r="T11" s="17"/>
      <c r="U11" s="2"/>
      <c r="V11" s="18"/>
      <c r="W11" s="8"/>
      <c r="Y11" s="149" t="s">
        <v>77</v>
      </c>
      <c r="Z11" s="151">
        <f t="shared" si="0"/>
        <v>0</v>
      </c>
    </row>
    <row r="12" spans="2:26" ht="18" x14ac:dyDescent="0.35">
      <c r="B12" s="95"/>
      <c r="C12" s="96"/>
      <c r="D12" s="97"/>
      <c r="E12" s="98"/>
      <c r="F12" s="90"/>
      <c r="G12" s="91"/>
      <c r="H12" s="92"/>
      <c r="I12" s="93"/>
      <c r="J12" s="83"/>
      <c r="K12" s="83"/>
      <c r="L12" s="12"/>
      <c r="M12" s="13"/>
      <c r="N12" s="14"/>
      <c r="O12" s="11"/>
      <c r="P12" s="15"/>
      <c r="Q12" s="16"/>
      <c r="R12" s="2"/>
      <c r="S12" s="12"/>
      <c r="T12" s="17"/>
      <c r="U12" s="2"/>
      <c r="V12" s="18"/>
      <c r="W12" s="8"/>
      <c r="Y12" s="149" t="s">
        <v>89</v>
      </c>
      <c r="Z12" s="152">
        <f>SUMIF($G$9:$G$129, Y12, $F$9:$F$129)</f>
        <v>0</v>
      </c>
    </row>
    <row r="13" spans="2:26" ht="18" x14ac:dyDescent="0.35">
      <c r="B13" s="95"/>
      <c r="C13" s="96"/>
      <c r="D13" s="97"/>
      <c r="E13" s="98"/>
      <c r="F13" s="90"/>
      <c r="G13" s="91"/>
      <c r="H13" s="92"/>
      <c r="I13" s="93"/>
      <c r="J13" s="83"/>
      <c r="K13" s="83"/>
      <c r="L13" s="12"/>
      <c r="M13" s="13"/>
      <c r="N13" s="14"/>
      <c r="O13" s="11"/>
      <c r="P13" s="15"/>
      <c r="Q13" s="16"/>
      <c r="R13" s="2"/>
      <c r="S13" s="12"/>
      <c r="T13" s="17"/>
      <c r="U13" s="2"/>
      <c r="V13" s="18"/>
      <c r="W13" s="8"/>
      <c r="Y13" s="149" t="s">
        <v>20</v>
      </c>
      <c r="Z13" s="152">
        <f t="shared" ref="Z13:Z76" si="1">SUMIF($G$9:$G$129, Y13, $F$9:$F$129)</f>
        <v>0</v>
      </c>
    </row>
    <row r="14" spans="2:26" ht="18" x14ac:dyDescent="0.35">
      <c r="B14" s="95"/>
      <c r="C14" s="96"/>
      <c r="D14" s="97"/>
      <c r="E14" s="98"/>
      <c r="F14" s="90"/>
      <c r="G14" s="91"/>
      <c r="H14" s="92"/>
      <c r="I14" s="93"/>
      <c r="J14" s="83"/>
      <c r="K14" s="83"/>
      <c r="L14" s="12"/>
      <c r="M14" s="13"/>
      <c r="N14" s="14"/>
      <c r="O14" s="11"/>
      <c r="P14" s="15"/>
      <c r="Q14" s="16"/>
      <c r="R14" s="2"/>
      <c r="S14" s="12"/>
      <c r="T14" s="17"/>
      <c r="U14" s="2"/>
      <c r="V14" s="18"/>
      <c r="W14" s="8"/>
      <c r="Y14" s="149" t="s">
        <v>19</v>
      </c>
      <c r="Z14" s="152">
        <f t="shared" si="1"/>
        <v>0</v>
      </c>
    </row>
    <row r="15" spans="2:26" ht="18" x14ac:dyDescent="0.35">
      <c r="B15" s="95"/>
      <c r="C15" s="96"/>
      <c r="D15" s="97"/>
      <c r="E15" s="98"/>
      <c r="F15" s="90"/>
      <c r="G15" s="91"/>
      <c r="H15" s="92"/>
      <c r="I15" s="93"/>
      <c r="J15" s="83"/>
      <c r="K15" s="83"/>
      <c r="L15" s="12"/>
      <c r="M15" s="13"/>
      <c r="N15" s="14"/>
      <c r="O15" s="11"/>
      <c r="P15" s="15"/>
      <c r="Q15" s="16"/>
      <c r="R15" s="2"/>
      <c r="S15" s="12"/>
      <c r="T15" s="17"/>
      <c r="U15" s="2"/>
      <c r="V15" s="18"/>
      <c r="W15" s="8"/>
      <c r="Y15" s="149" t="s">
        <v>18</v>
      </c>
      <c r="Z15" s="152">
        <f t="shared" si="1"/>
        <v>0</v>
      </c>
    </row>
    <row r="16" spans="2:26" ht="18" x14ac:dyDescent="0.35">
      <c r="B16" s="95"/>
      <c r="C16" s="96"/>
      <c r="D16" s="97"/>
      <c r="E16" s="98"/>
      <c r="F16" s="90"/>
      <c r="G16" s="91"/>
      <c r="H16" s="92"/>
      <c r="I16" s="93"/>
      <c r="J16" s="83"/>
      <c r="K16" s="83"/>
      <c r="L16" s="12"/>
      <c r="M16" s="13"/>
      <c r="N16" s="14"/>
      <c r="O16" s="11"/>
      <c r="P16" s="15"/>
      <c r="Q16" s="16"/>
      <c r="R16" s="2"/>
      <c r="S16" s="12"/>
      <c r="T16" s="17"/>
      <c r="U16" s="2"/>
      <c r="V16" s="18"/>
      <c r="W16" s="8"/>
      <c r="Y16" s="149" t="s">
        <v>22</v>
      </c>
      <c r="Z16" s="152">
        <f t="shared" si="1"/>
        <v>0</v>
      </c>
    </row>
    <row r="17" spans="2:26" ht="18" x14ac:dyDescent="0.35">
      <c r="B17" s="95"/>
      <c r="C17" s="96"/>
      <c r="D17" s="97"/>
      <c r="E17" s="98"/>
      <c r="F17" s="90"/>
      <c r="G17" s="91"/>
      <c r="H17" s="92"/>
      <c r="I17" s="93"/>
      <c r="J17" s="83"/>
      <c r="K17" s="83"/>
      <c r="L17" s="12"/>
      <c r="M17" s="13"/>
      <c r="N17" s="14"/>
      <c r="O17" s="11"/>
      <c r="P17" s="15"/>
      <c r="Q17" s="16"/>
      <c r="R17" s="2"/>
      <c r="S17" s="12"/>
      <c r="T17" s="17"/>
      <c r="U17" s="2"/>
      <c r="V17" s="18"/>
      <c r="W17" s="8"/>
      <c r="Y17" s="149" t="s">
        <v>67</v>
      </c>
      <c r="Z17" s="152">
        <f t="shared" si="1"/>
        <v>0</v>
      </c>
    </row>
    <row r="18" spans="2:26" ht="18" x14ac:dyDescent="0.35">
      <c r="B18" s="95"/>
      <c r="C18" s="96"/>
      <c r="D18" s="97"/>
      <c r="E18" s="98"/>
      <c r="F18" s="90"/>
      <c r="G18" s="91"/>
      <c r="H18" s="92"/>
      <c r="I18" s="93"/>
      <c r="J18" s="83"/>
      <c r="K18" s="83"/>
      <c r="L18" s="12"/>
      <c r="M18" s="13"/>
      <c r="N18" s="14"/>
      <c r="O18" s="11"/>
      <c r="P18" s="15"/>
      <c r="Q18" s="16"/>
      <c r="R18" s="2"/>
      <c r="S18" s="12"/>
      <c r="T18" s="17"/>
      <c r="U18" s="2"/>
      <c r="V18" s="18"/>
      <c r="W18" s="8"/>
      <c r="Y18" s="149" t="s">
        <v>90</v>
      </c>
      <c r="Z18" s="152">
        <f t="shared" si="1"/>
        <v>0</v>
      </c>
    </row>
    <row r="19" spans="2:26" ht="18" x14ac:dyDescent="0.35">
      <c r="B19" s="95"/>
      <c r="C19" s="96"/>
      <c r="D19" s="97"/>
      <c r="E19" s="98"/>
      <c r="F19" s="90"/>
      <c r="G19" s="91"/>
      <c r="H19" s="92"/>
      <c r="I19" s="93"/>
      <c r="J19" s="83"/>
      <c r="K19" s="83"/>
      <c r="L19" s="12"/>
      <c r="M19" s="13"/>
      <c r="N19" s="14"/>
      <c r="O19" s="11"/>
      <c r="P19" s="15"/>
      <c r="Q19" s="16"/>
      <c r="R19" s="2"/>
      <c r="S19" s="12"/>
      <c r="T19" s="17"/>
      <c r="U19" s="2"/>
      <c r="V19" s="18"/>
      <c r="W19" s="8"/>
      <c r="Y19" s="149" t="s">
        <v>91</v>
      </c>
      <c r="Z19" s="152">
        <f t="shared" si="1"/>
        <v>0</v>
      </c>
    </row>
    <row r="20" spans="2:26" ht="18" x14ac:dyDescent="0.35">
      <c r="B20" s="95"/>
      <c r="C20" s="96"/>
      <c r="D20" s="97"/>
      <c r="E20" s="98"/>
      <c r="F20" s="90"/>
      <c r="G20" s="91"/>
      <c r="H20" s="92"/>
      <c r="I20" s="93"/>
      <c r="J20" s="83"/>
      <c r="K20" s="83"/>
      <c r="L20" s="12"/>
      <c r="M20" s="13"/>
      <c r="N20" s="14"/>
      <c r="O20" s="11"/>
      <c r="P20" s="15"/>
      <c r="Q20" s="16"/>
      <c r="R20" s="2"/>
      <c r="S20" s="12"/>
      <c r="T20" s="17"/>
      <c r="U20" s="2"/>
      <c r="V20" s="18"/>
      <c r="W20" s="8"/>
      <c r="Y20" s="149" t="s">
        <v>92</v>
      </c>
      <c r="Z20" s="152">
        <f t="shared" si="1"/>
        <v>0</v>
      </c>
    </row>
    <row r="21" spans="2:26" ht="18" x14ac:dyDescent="0.35">
      <c r="B21" s="95"/>
      <c r="C21" s="96"/>
      <c r="D21" s="97"/>
      <c r="E21" s="98"/>
      <c r="F21" s="90"/>
      <c r="G21" s="91"/>
      <c r="H21" s="92"/>
      <c r="I21" s="93"/>
      <c r="J21" s="83"/>
      <c r="K21" s="83"/>
      <c r="L21" s="12"/>
      <c r="M21" s="13"/>
      <c r="N21" s="14"/>
      <c r="O21" s="11"/>
      <c r="P21" s="15"/>
      <c r="Q21" s="16"/>
      <c r="R21" s="2"/>
      <c r="S21" s="12"/>
      <c r="T21" s="17"/>
      <c r="U21" s="2"/>
      <c r="V21" s="18"/>
      <c r="W21" s="8"/>
      <c r="Y21" s="149" t="s">
        <v>68</v>
      </c>
      <c r="Z21" s="152">
        <f t="shared" si="1"/>
        <v>0</v>
      </c>
    </row>
    <row r="22" spans="2:26" ht="18" x14ac:dyDescent="0.35">
      <c r="B22" s="95"/>
      <c r="C22" s="96"/>
      <c r="D22" s="97"/>
      <c r="E22" s="98"/>
      <c r="F22" s="90"/>
      <c r="G22" s="91"/>
      <c r="H22" s="92"/>
      <c r="I22" s="93"/>
      <c r="J22" s="83"/>
      <c r="K22" s="83"/>
      <c r="L22" s="12"/>
      <c r="M22" s="13"/>
      <c r="N22" s="14"/>
      <c r="O22" s="11"/>
      <c r="P22" s="15"/>
      <c r="Q22" s="16"/>
      <c r="R22" s="2"/>
      <c r="S22" s="12"/>
      <c r="T22" s="17"/>
      <c r="U22" s="2"/>
      <c r="V22" s="18"/>
      <c r="W22" s="8"/>
      <c r="Y22" s="149" t="s">
        <v>93</v>
      </c>
      <c r="Z22" s="152">
        <f t="shared" si="1"/>
        <v>0</v>
      </c>
    </row>
    <row r="23" spans="2:26" ht="18" x14ac:dyDescent="0.35">
      <c r="B23" s="95"/>
      <c r="C23" s="96"/>
      <c r="D23" s="97"/>
      <c r="E23" s="98"/>
      <c r="F23" s="90"/>
      <c r="G23" s="91"/>
      <c r="H23" s="92"/>
      <c r="I23" s="93"/>
      <c r="J23" s="83"/>
      <c r="K23" s="83"/>
      <c r="L23" s="12"/>
      <c r="M23" s="13"/>
      <c r="N23" s="14"/>
      <c r="O23" s="11"/>
      <c r="P23" s="15"/>
      <c r="Q23" s="16"/>
      <c r="R23" s="2"/>
      <c r="S23" s="12"/>
      <c r="T23" s="17"/>
      <c r="U23" s="2"/>
      <c r="V23" s="18"/>
      <c r="W23" s="8"/>
      <c r="Y23" s="149" t="s">
        <v>23</v>
      </c>
      <c r="Z23" s="152">
        <f t="shared" si="1"/>
        <v>0</v>
      </c>
    </row>
    <row r="24" spans="2:26" ht="18" x14ac:dyDescent="0.35">
      <c r="B24" s="95"/>
      <c r="C24" s="96"/>
      <c r="D24" s="97"/>
      <c r="E24" s="98"/>
      <c r="F24" s="90"/>
      <c r="G24" s="91"/>
      <c r="H24" s="92"/>
      <c r="I24" s="93"/>
      <c r="J24" s="83"/>
      <c r="K24" s="83"/>
      <c r="L24" s="12"/>
      <c r="M24" s="13"/>
      <c r="N24" s="14"/>
      <c r="O24" s="11"/>
      <c r="P24" s="15"/>
      <c r="Q24" s="16"/>
      <c r="R24" s="2"/>
      <c r="S24" s="12"/>
      <c r="T24" s="17"/>
      <c r="U24" s="2"/>
      <c r="V24" s="18"/>
      <c r="W24" s="8"/>
      <c r="Y24" s="149" t="s">
        <v>24</v>
      </c>
      <c r="Z24" s="152">
        <f t="shared" si="1"/>
        <v>0</v>
      </c>
    </row>
    <row r="25" spans="2:26" ht="18" x14ac:dyDescent="0.35">
      <c r="B25" s="95"/>
      <c r="C25" s="96"/>
      <c r="D25" s="97"/>
      <c r="E25" s="98"/>
      <c r="F25" s="90"/>
      <c r="G25" s="91"/>
      <c r="H25" s="92"/>
      <c r="I25" s="93"/>
      <c r="J25" s="83"/>
      <c r="K25" s="83"/>
      <c r="L25" s="12"/>
      <c r="M25" s="13"/>
      <c r="N25" s="14"/>
      <c r="O25" s="11"/>
      <c r="P25" s="15"/>
      <c r="Q25" s="16"/>
      <c r="R25" s="2"/>
      <c r="S25" s="12"/>
      <c r="T25" s="17"/>
      <c r="U25" s="2"/>
      <c r="V25" s="18"/>
      <c r="W25" s="8"/>
      <c r="Y25" s="149" t="s">
        <v>25</v>
      </c>
      <c r="Z25" s="152">
        <f t="shared" si="1"/>
        <v>0</v>
      </c>
    </row>
    <row r="26" spans="2:26" ht="18" x14ac:dyDescent="0.35">
      <c r="B26" s="95"/>
      <c r="C26" s="96"/>
      <c r="D26" s="97"/>
      <c r="E26" s="98"/>
      <c r="F26" s="90"/>
      <c r="G26" s="91"/>
      <c r="H26" s="92"/>
      <c r="I26" s="93"/>
      <c r="J26" s="83"/>
      <c r="K26" s="83"/>
      <c r="L26" s="12"/>
      <c r="M26" s="13"/>
      <c r="N26" s="14"/>
      <c r="O26" s="11"/>
      <c r="P26" s="15"/>
      <c r="Q26" s="16"/>
      <c r="R26" s="2"/>
      <c r="S26" s="12"/>
      <c r="T26" s="17"/>
      <c r="U26" s="2"/>
      <c r="V26" s="18"/>
      <c r="W26" s="8"/>
      <c r="Y26" s="149" t="s">
        <v>98</v>
      </c>
      <c r="Z26" s="152">
        <f t="shared" si="1"/>
        <v>0</v>
      </c>
    </row>
    <row r="27" spans="2:26" ht="18" x14ac:dyDescent="0.35">
      <c r="B27" s="95"/>
      <c r="C27" s="96"/>
      <c r="D27" s="97"/>
      <c r="E27" s="98"/>
      <c r="F27" s="90"/>
      <c r="G27" s="91"/>
      <c r="H27" s="92"/>
      <c r="I27" s="93"/>
      <c r="J27" s="83"/>
      <c r="K27" s="83"/>
      <c r="L27" s="12"/>
      <c r="M27" s="13"/>
      <c r="N27" s="14"/>
      <c r="O27" s="11"/>
      <c r="P27" s="15"/>
      <c r="Q27" s="16"/>
      <c r="R27" s="2"/>
      <c r="S27" s="12"/>
      <c r="T27" s="17"/>
      <c r="U27" s="2"/>
      <c r="V27" s="18"/>
      <c r="W27" s="8"/>
      <c r="Y27" s="149" t="s">
        <v>94</v>
      </c>
      <c r="Z27" s="152">
        <f t="shared" si="1"/>
        <v>0</v>
      </c>
    </row>
    <row r="28" spans="2:26" ht="18" x14ac:dyDescent="0.35">
      <c r="B28" s="95"/>
      <c r="C28" s="96"/>
      <c r="D28" s="97"/>
      <c r="E28" s="98"/>
      <c r="F28" s="90"/>
      <c r="G28" s="91"/>
      <c r="H28" s="92"/>
      <c r="I28" s="93"/>
      <c r="J28" s="83"/>
      <c r="K28" s="83"/>
      <c r="L28" s="12"/>
      <c r="M28" s="13"/>
      <c r="N28" s="14"/>
      <c r="O28" s="11"/>
      <c r="P28" s="15"/>
      <c r="Q28" s="16"/>
      <c r="R28" s="2"/>
      <c r="S28" s="12"/>
      <c r="T28" s="17"/>
      <c r="U28" s="2"/>
      <c r="V28" s="18"/>
      <c r="W28" s="8"/>
      <c r="Y28" s="149" t="s">
        <v>42</v>
      </c>
      <c r="Z28" s="152">
        <f t="shared" si="1"/>
        <v>0</v>
      </c>
    </row>
    <row r="29" spans="2:26" ht="18" x14ac:dyDescent="0.35">
      <c r="B29" s="95"/>
      <c r="C29" s="96"/>
      <c r="D29" s="97"/>
      <c r="E29" s="98"/>
      <c r="F29" s="90"/>
      <c r="G29" s="91"/>
      <c r="H29" s="92"/>
      <c r="I29" s="93"/>
      <c r="J29" s="83"/>
      <c r="K29" s="83"/>
      <c r="L29" s="12"/>
      <c r="M29" s="13"/>
      <c r="N29" s="14"/>
      <c r="O29" s="11"/>
      <c r="P29" s="15"/>
      <c r="Q29" s="16"/>
      <c r="R29" s="2"/>
      <c r="S29" s="12"/>
      <c r="T29" s="17"/>
      <c r="U29" s="2"/>
      <c r="V29" s="18"/>
      <c r="W29" s="8"/>
      <c r="Y29" s="149" t="s">
        <v>39</v>
      </c>
      <c r="Z29" s="152">
        <f t="shared" si="1"/>
        <v>0</v>
      </c>
    </row>
    <row r="30" spans="2:26" ht="18" x14ac:dyDescent="0.35">
      <c r="B30" s="95"/>
      <c r="C30" s="96"/>
      <c r="D30" s="97"/>
      <c r="E30" s="98"/>
      <c r="F30" s="90"/>
      <c r="G30" s="91"/>
      <c r="H30" s="92"/>
      <c r="I30" s="93"/>
      <c r="J30" s="83"/>
      <c r="K30" s="83"/>
      <c r="L30" s="12"/>
      <c r="M30" s="13"/>
      <c r="N30" s="14"/>
      <c r="O30" s="11"/>
      <c r="P30" s="15"/>
      <c r="Q30" s="16"/>
      <c r="R30" s="2"/>
      <c r="S30" s="12"/>
      <c r="T30" s="17"/>
      <c r="U30" s="2"/>
      <c r="V30" s="18"/>
      <c r="W30" s="8"/>
      <c r="Y30" s="149" t="s">
        <v>99</v>
      </c>
      <c r="Z30" s="152">
        <f t="shared" si="1"/>
        <v>0</v>
      </c>
    </row>
    <row r="31" spans="2:26" ht="18" x14ac:dyDescent="0.35">
      <c r="B31" s="95"/>
      <c r="C31" s="96"/>
      <c r="D31" s="97"/>
      <c r="E31" s="98"/>
      <c r="F31" s="90"/>
      <c r="G31" s="91"/>
      <c r="H31" s="92"/>
      <c r="I31" s="93"/>
      <c r="J31" s="83"/>
      <c r="K31" s="83"/>
      <c r="L31" s="12"/>
      <c r="M31" s="13"/>
      <c r="N31" s="14"/>
      <c r="O31" s="11"/>
      <c r="P31" s="15"/>
      <c r="Q31" s="16"/>
      <c r="R31" s="2"/>
      <c r="S31" s="12"/>
      <c r="T31" s="17"/>
      <c r="U31" s="2"/>
      <c r="V31" s="18"/>
      <c r="W31" s="8"/>
      <c r="Y31" s="149" t="s">
        <v>95</v>
      </c>
      <c r="Z31" s="152">
        <f t="shared" si="1"/>
        <v>0</v>
      </c>
    </row>
    <row r="32" spans="2:26" ht="18" x14ac:dyDescent="0.35">
      <c r="B32" s="95"/>
      <c r="C32" s="96"/>
      <c r="D32" s="97"/>
      <c r="E32" s="98"/>
      <c r="F32" s="90"/>
      <c r="G32" s="91"/>
      <c r="H32" s="92"/>
      <c r="I32" s="93"/>
      <c r="J32" s="83"/>
      <c r="K32" s="83"/>
      <c r="L32" s="12"/>
      <c r="M32" s="13"/>
      <c r="N32" s="14"/>
      <c r="O32" s="11"/>
      <c r="P32" s="15"/>
      <c r="Q32" s="16"/>
      <c r="R32" s="2"/>
      <c r="S32" s="12"/>
      <c r="T32" s="17"/>
      <c r="U32" s="2"/>
      <c r="V32" s="18"/>
      <c r="W32" s="8"/>
      <c r="Y32" s="149" t="s">
        <v>97</v>
      </c>
      <c r="Z32" s="152">
        <f t="shared" si="1"/>
        <v>0</v>
      </c>
    </row>
    <row r="33" spans="2:26" ht="18" x14ac:dyDescent="0.35">
      <c r="B33" s="95"/>
      <c r="C33" s="96"/>
      <c r="D33" s="97"/>
      <c r="E33" s="98"/>
      <c r="F33" s="90"/>
      <c r="G33" s="91"/>
      <c r="H33" s="92"/>
      <c r="I33" s="93"/>
      <c r="J33" s="83"/>
      <c r="K33" s="83"/>
      <c r="L33" s="12"/>
      <c r="M33" s="13"/>
      <c r="N33" s="14"/>
      <c r="O33" s="11"/>
      <c r="P33" s="15"/>
      <c r="Q33" s="16"/>
      <c r="R33" s="2"/>
      <c r="S33" s="12"/>
      <c r="T33" s="17"/>
      <c r="U33" s="2"/>
      <c r="V33" s="18"/>
      <c r="W33" s="8"/>
      <c r="Y33" s="149" t="s">
        <v>43</v>
      </c>
      <c r="Z33" s="152">
        <f t="shared" si="1"/>
        <v>0</v>
      </c>
    </row>
    <row r="34" spans="2:26" ht="18" x14ac:dyDescent="0.35">
      <c r="B34" s="95"/>
      <c r="C34" s="96"/>
      <c r="D34" s="97"/>
      <c r="E34" s="98"/>
      <c r="F34" s="90"/>
      <c r="G34" s="91"/>
      <c r="H34" s="92"/>
      <c r="I34" s="93"/>
      <c r="J34" s="83"/>
      <c r="K34" s="83"/>
      <c r="L34" s="12"/>
      <c r="M34" s="13"/>
      <c r="N34" s="14"/>
      <c r="O34" s="11"/>
      <c r="P34" s="15"/>
      <c r="Q34" s="16"/>
      <c r="R34" s="2"/>
      <c r="S34" s="12"/>
      <c r="T34" s="17"/>
      <c r="U34" s="2"/>
      <c r="V34" s="18"/>
      <c r="W34" s="8"/>
      <c r="Y34" s="149" t="s">
        <v>32</v>
      </c>
      <c r="Z34" s="152">
        <f t="shared" si="1"/>
        <v>0</v>
      </c>
    </row>
    <row r="35" spans="2:26" ht="18" x14ac:dyDescent="0.35">
      <c r="B35" s="95"/>
      <c r="C35" s="96"/>
      <c r="D35" s="97"/>
      <c r="E35" s="98"/>
      <c r="F35" s="90"/>
      <c r="G35" s="91"/>
      <c r="H35" s="92"/>
      <c r="I35" s="93"/>
      <c r="J35" s="83"/>
      <c r="K35" s="83"/>
      <c r="L35" s="12"/>
      <c r="M35" s="13"/>
      <c r="N35" s="14"/>
      <c r="O35" s="11"/>
      <c r="P35" s="15"/>
      <c r="Q35" s="16"/>
      <c r="R35" s="2"/>
      <c r="S35" s="12"/>
      <c r="T35" s="17"/>
      <c r="U35" s="2"/>
      <c r="V35" s="18"/>
      <c r="W35" s="8"/>
      <c r="Y35" s="149" t="s">
        <v>33</v>
      </c>
      <c r="Z35" s="152">
        <f t="shared" si="1"/>
        <v>0</v>
      </c>
    </row>
    <row r="36" spans="2:26" ht="18" x14ac:dyDescent="0.35">
      <c r="B36" s="95"/>
      <c r="C36" s="96"/>
      <c r="D36" s="97"/>
      <c r="E36" s="98"/>
      <c r="F36" s="90"/>
      <c r="G36" s="91"/>
      <c r="H36" s="92"/>
      <c r="I36" s="93"/>
      <c r="J36" s="83"/>
      <c r="K36" s="83"/>
      <c r="L36" s="12"/>
      <c r="M36" s="13"/>
      <c r="N36" s="14"/>
      <c r="O36" s="11"/>
      <c r="P36" s="15"/>
      <c r="Q36" s="16"/>
      <c r="R36" s="2"/>
      <c r="S36" s="12"/>
      <c r="T36" s="17"/>
      <c r="U36" s="2"/>
      <c r="V36" s="18"/>
      <c r="W36" s="8"/>
      <c r="Y36" s="149" t="s">
        <v>30</v>
      </c>
      <c r="Z36" s="152">
        <f t="shared" si="1"/>
        <v>0</v>
      </c>
    </row>
    <row r="37" spans="2:26" ht="18" x14ac:dyDescent="0.35">
      <c r="B37" s="95"/>
      <c r="C37" s="96"/>
      <c r="D37" s="97"/>
      <c r="E37" s="98"/>
      <c r="F37" s="90"/>
      <c r="G37" s="91"/>
      <c r="H37" s="92"/>
      <c r="I37" s="93"/>
      <c r="J37" s="83"/>
      <c r="K37" s="83"/>
      <c r="L37" s="12"/>
      <c r="M37" s="13"/>
      <c r="N37" s="14"/>
      <c r="O37" s="11"/>
      <c r="P37" s="15"/>
      <c r="Q37" s="16"/>
      <c r="R37" s="2"/>
      <c r="S37" s="12"/>
      <c r="T37" s="17"/>
      <c r="U37" s="2"/>
      <c r="V37" s="18"/>
      <c r="W37" s="8"/>
      <c r="Y37" s="149" t="s">
        <v>31</v>
      </c>
      <c r="Z37" s="152">
        <f t="shared" si="1"/>
        <v>0</v>
      </c>
    </row>
    <row r="38" spans="2:26" ht="18" x14ac:dyDescent="0.35">
      <c r="B38" s="95"/>
      <c r="C38" s="96"/>
      <c r="D38" s="97"/>
      <c r="E38" s="98"/>
      <c r="F38" s="90"/>
      <c r="G38" s="91"/>
      <c r="H38" s="92"/>
      <c r="I38" s="93"/>
      <c r="J38" s="83"/>
      <c r="K38" s="83"/>
      <c r="L38" s="12"/>
      <c r="M38" s="13"/>
      <c r="N38" s="14"/>
      <c r="O38" s="11"/>
      <c r="P38" s="15"/>
      <c r="Q38" s="16"/>
      <c r="R38" s="2"/>
      <c r="S38" s="12"/>
      <c r="T38" s="17"/>
      <c r="U38" s="2"/>
      <c r="V38" s="18"/>
      <c r="W38" s="8"/>
      <c r="Y38" s="149" t="s">
        <v>84</v>
      </c>
      <c r="Z38" s="152">
        <f t="shared" si="1"/>
        <v>0</v>
      </c>
    </row>
    <row r="39" spans="2:26" ht="18" x14ac:dyDescent="0.35">
      <c r="B39" s="95"/>
      <c r="C39" s="96"/>
      <c r="D39" s="97"/>
      <c r="E39" s="98"/>
      <c r="F39" s="90"/>
      <c r="G39" s="91"/>
      <c r="H39" s="92"/>
      <c r="I39" s="93"/>
      <c r="J39" s="83"/>
      <c r="K39" s="83"/>
      <c r="L39" s="12"/>
      <c r="M39" s="13"/>
      <c r="N39" s="14"/>
      <c r="O39" s="11"/>
      <c r="P39" s="15"/>
      <c r="Q39" s="16"/>
      <c r="R39" s="2"/>
      <c r="S39" s="12"/>
      <c r="T39" s="17"/>
      <c r="U39" s="2"/>
      <c r="V39" s="18"/>
      <c r="W39" s="8"/>
      <c r="Y39" s="149" t="s">
        <v>85</v>
      </c>
      <c r="Z39" s="152">
        <f t="shared" si="1"/>
        <v>0</v>
      </c>
    </row>
    <row r="40" spans="2:26" ht="18" x14ac:dyDescent="0.35">
      <c r="B40" s="95"/>
      <c r="C40" s="96"/>
      <c r="D40" s="97"/>
      <c r="E40" s="98"/>
      <c r="F40" s="90"/>
      <c r="G40" s="91"/>
      <c r="H40" s="92"/>
      <c r="I40" s="93"/>
      <c r="J40" s="83"/>
      <c r="K40" s="83"/>
      <c r="L40" s="12"/>
      <c r="M40" s="13"/>
      <c r="N40" s="14"/>
      <c r="O40" s="11"/>
      <c r="P40" s="15"/>
      <c r="Q40" s="16"/>
      <c r="R40" s="2"/>
      <c r="S40" s="12"/>
      <c r="T40" s="17"/>
      <c r="U40" s="2"/>
      <c r="V40" s="18"/>
      <c r="W40" s="8"/>
      <c r="Y40" s="149" t="s">
        <v>86</v>
      </c>
      <c r="Z40" s="152">
        <f t="shared" si="1"/>
        <v>0</v>
      </c>
    </row>
    <row r="41" spans="2:26" ht="18" x14ac:dyDescent="0.35">
      <c r="B41" s="95"/>
      <c r="C41" s="96"/>
      <c r="D41" s="97"/>
      <c r="E41" s="98"/>
      <c r="F41" s="90"/>
      <c r="G41" s="91"/>
      <c r="H41" s="92"/>
      <c r="I41" s="93"/>
      <c r="J41" s="83"/>
      <c r="K41" s="83"/>
      <c r="L41" s="12"/>
      <c r="M41" s="13"/>
      <c r="N41" s="14"/>
      <c r="O41" s="11"/>
      <c r="P41" s="15"/>
      <c r="Q41" s="16"/>
      <c r="R41" s="2"/>
      <c r="S41" s="12"/>
      <c r="T41" s="17"/>
      <c r="U41" s="2"/>
      <c r="V41" s="18"/>
      <c r="W41" s="8"/>
      <c r="Y41" s="149" t="s">
        <v>87</v>
      </c>
      <c r="Z41" s="152">
        <f t="shared" si="1"/>
        <v>0</v>
      </c>
    </row>
    <row r="42" spans="2:26" ht="18" x14ac:dyDescent="0.35">
      <c r="B42" s="95"/>
      <c r="C42" s="96"/>
      <c r="D42" s="97"/>
      <c r="E42" s="98"/>
      <c r="F42" s="90"/>
      <c r="G42" s="91"/>
      <c r="H42" s="92"/>
      <c r="I42" s="93"/>
      <c r="J42" s="83"/>
      <c r="K42" s="83"/>
      <c r="L42" s="12"/>
      <c r="M42" s="13"/>
      <c r="N42" s="14"/>
      <c r="O42" s="11"/>
      <c r="P42" s="15"/>
      <c r="Q42" s="16"/>
      <c r="R42" s="2"/>
      <c r="S42" s="12"/>
      <c r="T42" s="17"/>
      <c r="U42" s="2"/>
      <c r="V42" s="18"/>
      <c r="W42" s="8"/>
      <c r="Y42" s="149" t="s">
        <v>46</v>
      </c>
      <c r="Z42" s="152">
        <f t="shared" si="1"/>
        <v>0</v>
      </c>
    </row>
    <row r="43" spans="2:26" ht="18" x14ac:dyDescent="0.35">
      <c r="B43" s="95"/>
      <c r="C43" s="96"/>
      <c r="D43" s="97"/>
      <c r="E43" s="98"/>
      <c r="F43" s="90"/>
      <c r="G43" s="91"/>
      <c r="H43" s="92"/>
      <c r="I43" s="93"/>
      <c r="J43" s="83"/>
      <c r="K43" s="83"/>
      <c r="L43" s="12"/>
      <c r="M43" s="13"/>
      <c r="N43" s="14"/>
      <c r="O43" s="11"/>
      <c r="P43" s="15"/>
      <c r="Q43" s="16"/>
      <c r="R43" s="2"/>
      <c r="S43" s="12"/>
      <c r="T43" s="17"/>
      <c r="U43" s="2"/>
      <c r="V43" s="18"/>
      <c r="W43" s="8"/>
      <c r="Y43" s="149" t="s">
        <v>47</v>
      </c>
      <c r="Z43" s="152">
        <f t="shared" si="1"/>
        <v>0</v>
      </c>
    </row>
    <row r="44" spans="2:26" ht="18" x14ac:dyDescent="0.35">
      <c r="B44" s="95"/>
      <c r="C44" s="96"/>
      <c r="D44" s="97"/>
      <c r="E44" s="98"/>
      <c r="F44" s="90"/>
      <c r="G44" s="91"/>
      <c r="H44" s="92"/>
      <c r="I44" s="93"/>
      <c r="J44" s="83"/>
      <c r="K44" s="83"/>
      <c r="L44" s="12"/>
      <c r="M44" s="13"/>
      <c r="N44" s="14"/>
      <c r="O44" s="11"/>
      <c r="P44" s="15"/>
      <c r="Q44" s="16"/>
      <c r="R44" s="2"/>
      <c r="S44" s="12"/>
      <c r="T44" s="17"/>
      <c r="U44" s="2"/>
      <c r="V44" s="18"/>
      <c r="W44" s="8"/>
      <c r="Y44" s="149" t="s">
        <v>48</v>
      </c>
      <c r="Z44" s="152">
        <f t="shared" si="1"/>
        <v>0</v>
      </c>
    </row>
    <row r="45" spans="2:26" ht="18" x14ac:dyDescent="0.35">
      <c r="B45" s="95"/>
      <c r="C45" s="96"/>
      <c r="D45" s="97"/>
      <c r="E45" s="98"/>
      <c r="F45" s="90"/>
      <c r="G45" s="91"/>
      <c r="H45" s="92"/>
      <c r="I45" s="93"/>
      <c r="J45" s="83"/>
      <c r="K45" s="83"/>
      <c r="L45" s="12"/>
      <c r="M45" s="13"/>
      <c r="N45" s="14"/>
      <c r="O45" s="11"/>
      <c r="P45" s="15"/>
      <c r="Q45" s="16"/>
      <c r="R45" s="2"/>
      <c r="S45" s="12"/>
      <c r="T45" s="17"/>
      <c r="U45" s="2"/>
      <c r="V45" s="18"/>
      <c r="W45" s="8"/>
      <c r="Y45" s="149" t="s">
        <v>83</v>
      </c>
      <c r="Z45" s="152">
        <f t="shared" si="1"/>
        <v>0</v>
      </c>
    </row>
    <row r="46" spans="2:26" ht="18" x14ac:dyDescent="0.35">
      <c r="B46" s="95"/>
      <c r="C46" s="96"/>
      <c r="D46" s="97"/>
      <c r="E46" s="98"/>
      <c r="F46" s="90"/>
      <c r="G46" s="91"/>
      <c r="H46" s="92"/>
      <c r="I46" s="93"/>
      <c r="J46" s="83"/>
      <c r="K46" s="83"/>
      <c r="L46" s="12"/>
      <c r="M46" s="13"/>
      <c r="N46" s="14"/>
      <c r="O46" s="11"/>
      <c r="P46" s="15"/>
      <c r="Q46" s="16"/>
      <c r="R46" s="2"/>
      <c r="S46" s="12"/>
      <c r="T46" s="17"/>
      <c r="U46" s="2"/>
      <c r="V46" s="18"/>
      <c r="W46" s="8"/>
      <c r="Y46" s="149" t="s">
        <v>96</v>
      </c>
      <c r="Z46" s="152">
        <f t="shared" si="1"/>
        <v>0</v>
      </c>
    </row>
    <row r="47" spans="2:26" ht="18" x14ac:dyDescent="0.35">
      <c r="B47" s="95"/>
      <c r="C47" s="96"/>
      <c r="D47" s="97"/>
      <c r="E47" s="98"/>
      <c r="F47" s="90"/>
      <c r="G47" s="91"/>
      <c r="H47" s="92"/>
      <c r="I47" s="93"/>
      <c r="J47" s="83"/>
      <c r="K47" s="83"/>
      <c r="L47" s="12"/>
      <c r="M47" s="13"/>
      <c r="N47" s="14"/>
      <c r="O47" s="11"/>
      <c r="P47" s="15"/>
      <c r="Q47" s="16"/>
      <c r="R47" s="2"/>
      <c r="S47" s="12"/>
      <c r="T47" s="17"/>
      <c r="U47" s="2"/>
      <c r="V47" s="18"/>
      <c r="W47" s="8"/>
      <c r="Y47" s="149" t="s">
        <v>73</v>
      </c>
      <c r="Z47" s="152">
        <f t="shared" si="1"/>
        <v>0</v>
      </c>
    </row>
    <row r="48" spans="2:26" ht="18" x14ac:dyDescent="0.35">
      <c r="B48" s="95"/>
      <c r="C48" s="96"/>
      <c r="D48" s="97"/>
      <c r="E48" s="98"/>
      <c r="F48" s="90"/>
      <c r="G48" s="91"/>
      <c r="H48" s="92"/>
      <c r="I48" s="93"/>
      <c r="J48" s="83"/>
      <c r="K48" s="83"/>
      <c r="L48" s="12"/>
      <c r="M48" s="13"/>
      <c r="N48" s="14"/>
      <c r="O48" s="11"/>
      <c r="P48" s="15"/>
      <c r="Q48" s="16"/>
      <c r="R48" s="2"/>
      <c r="S48" s="12"/>
      <c r="T48" s="17"/>
      <c r="U48" s="2"/>
      <c r="V48" s="18"/>
      <c r="W48" s="8"/>
      <c r="Y48" s="149" t="s">
        <v>74</v>
      </c>
      <c r="Z48" s="152">
        <f t="shared" si="1"/>
        <v>0</v>
      </c>
    </row>
    <row r="49" spans="2:26" ht="18" x14ac:dyDescent="0.35">
      <c r="B49" s="95"/>
      <c r="C49" s="96"/>
      <c r="D49" s="97"/>
      <c r="E49" s="98"/>
      <c r="F49" s="90"/>
      <c r="G49" s="91"/>
      <c r="H49" s="92"/>
      <c r="I49" s="93"/>
      <c r="J49" s="83"/>
      <c r="K49" s="83"/>
      <c r="L49" s="12"/>
      <c r="M49" s="13"/>
      <c r="N49" s="14"/>
      <c r="O49" s="11"/>
      <c r="P49" s="15"/>
      <c r="Q49" s="16"/>
      <c r="R49" s="2"/>
      <c r="S49" s="12"/>
      <c r="T49" s="17"/>
      <c r="U49" s="2"/>
      <c r="V49" s="18"/>
      <c r="W49" s="8"/>
      <c r="Y49" s="149" t="s">
        <v>70</v>
      </c>
      <c r="Z49" s="152">
        <f t="shared" si="1"/>
        <v>0</v>
      </c>
    </row>
    <row r="50" spans="2:26" ht="18" x14ac:dyDescent="0.35">
      <c r="B50" s="95"/>
      <c r="C50" s="96"/>
      <c r="D50" s="97"/>
      <c r="E50" s="98"/>
      <c r="F50" s="90"/>
      <c r="G50" s="91"/>
      <c r="H50" s="92"/>
      <c r="I50" s="93"/>
      <c r="J50" s="83"/>
      <c r="K50" s="83"/>
      <c r="L50" s="12"/>
      <c r="M50" s="13"/>
      <c r="N50" s="14"/>
      <c r="O50" s="11"/>
      <c r="P50" s="15"/>
      <c r="Q50" s="16"/>
      <c r="R50" s="2"/>
      <c r="S50" s="12"/>
      <c r="T50" s="17"/>
      <c r="U50" s="2"/>
      <c r="V50" s="18"/>
      <c r="W50" s="8"/>
      <c r="Y50" s="149" t="s">
        <v>64</v>
      </c>
      <c r="Z50" s="152">
        <f t="shared" si="1"/>
        <v>0</v>
      </c>
    </row>
    <row r="51" spans="2:26" ht="18" x14ac:dyDescent="0.35">
      <c r="B51" s="95"/>
      <c r="C51" s="96"/>
      <c r="D51" s="97"/>
      <c r="E51" s="98"/>
      <c r="F51" s="90"/>
      <c r="G51" s="91"/>
      <c r="H51" s="92"/>
      <c r="I51" s="93"/>
      <c r="J51" s="83"/>
      <c r="K51" s="83"/>
      <c r="L51" s="12"/>
      <c r="M51" s="13"/>
      <c r="N51" s="14"/>
      <c r="O51" s="11"/>
      <c r="P51" s="15"/>
      <c r="Q51" s="16"/>
      <c r="R51" s="2"/>
      <c r="S51" s="12"/>
      <c r="T51" s="17"/>
      <c r="U51" s="2"/>
      <c r="V51" s="18"/>
      <c r="W51" s="8"/>
      <c r="Y51" s="149" t="s">
        <v>65</v>
      </c>
      <c r="Z51" s="152">
        <f t="shared" si="1"/>
        <v>0</v>
      </c>
    </row>
    <row r="52" spans="2:26" ht="18" x14ac:dyDescent="0.35">
      <c r="B52" s="95"/>
      <c r="C52" s="96"/>
      <c r="D52" s="97"/>
      <c r="E52" s="98"/>
      <c r="F52" s="90"/>
      <c r="G52" s="91"/>
      <c r="H52" s="92"/>
      <c r="I52" s="93"/>
      <c r="J52" s="83"/>
      <c r="K52" s="83"/>
      <c r="L52" s="12"/>
      <c r="M52" s="13"/>
      <c r="N52" s="14"/>
      <c r="O52" s="11"/>
      <c r="P52" s="15"/>
      <c r="Q52" s="16"/>
      <c r="R52" s="2"/>
      <c r="S52" s="12"/>
      <c r="T52" s="17"/>
      <c r="U52" s="2"/>
      <c r="V52" s="18"/>
      <c r="W52" s="8"/>
      <c r="Y52" s="149" t="s">
        <v>66</v>
      </c>
      <c r="Z52" s="152">
        <f t="shared" si="1"/>
        <v>0</v>
      </c>
    </row>
    <row r="53" spans="2:26" ht="18" x14ac:dyDescent="0.35">
      <c r="B53" s="95"/>
      <c r="C53" s="96"/>
      <c r="D53" s="97"/>
      <c r="E53" s="98"/>
      <c r="F53" s="90"/>
      <c r="G53" s="91"/>
      <c r="H53" s="92"/>
      <c r="I53" s="93"/>
      <c r="J53" s="83"/>
      <c r="K53" s="83"/>
      <c r="L53" s="12"/>
      <c r="M53" s="13"/>
      <c r="N53" s="14"/>
      <c r="O53" s="11"/>
      <c r="P53" s="15"/>
      <c r="Q53" s="16"/>
      <c r="R53" s="2"/>
      <c r="S53" s="12"/>
      <c r="T53" s="17"/>
      <c r="U53" s="2"/>
      <c r="V53" s="18"/>
      <c r="W53" s="8"/>
      <c r="Y53" s="149" t="s">
        <v>100</v>
      </c>
      <c r="Z53" s="152">
        <f t="shared" si="1"/>
        <v>0</v>
      </c>
    </row>
    <row r="54" spans="2:26" ht="18" x14ac:dyDescent="0.35">
      <c r="B54" s="95"/>
      <c r="C54" s="96"/>
      <c r="D54" s="97"/>
      <c r="E54" s="98"/>
      <c r="F54" s="90"/>
      <c r="G54" s="91"/>
      <c r="H54" s="92"/>
      <c r="I54" s="93"/>
      <c r="J54" s="83"/>
      <c r="K54" s="83"/>
      <c r="L54" s="12"/>
      <c r="M54" s="13"/>
      <c r="N54" s="14"/>
      <c r="O54" s="11"/>
      <c r="P54" s="15"/>
      <c r="Q54" s="16"/>
      <c r="R54" s="2"/>
      <c r="S54" s="12"/>
      <c r="T54" s="17"/>
      <c r="U54" s="2"/>
      <c r="V54" s="18"/>
      <c r="W54" s="8"/>
      <c r="Y54" s="149" t="s">
        <v>101</v>
      </c>
      <c r="Z54" s="152">
        <f t="shared" si="1"/>
        <v>0</v>
      </c>
    </row>
    <row r="55" spans="2:26" ht="18" x14ac:dyDescent="0.35">
      <c r="B55" s="95"/>
      <c r="C55" s="96"/>
      <c r="D55" s="97"/>
      <c r="E55" s="98"/>
      <c r="F55" s="90"/>
      <c r="G55" s="91"/>
      <c r="H55" s="92"/>
      <c r="I55" s="93"/>
      <c r="J55" s="83"/>
      <c r="K55" s="83"/>
      <c r="L55" s="12"/>
      <c r="M55" s="13"/>
      <c r="N55" s="14"/>
      <c r="O55" s="11"/>
      <c r="P55" s="15"/>
      <c r="Q55" s="16"/>
      <c r="R55" s="2"/>
      <c r="S55" s="12"/>
      <c r="T55" s="17"/>
      <c r="U55" s="2"/>
      <c r="V55" s="18"/>
      <c r="W55" s="8"/>
      <c r="Y55" s="149" t="s">
        <v>102</v>
      </c>
      <c r="Z55" s="152">
        <f t="shared" si="1"/>
        <v>0</v>
      </c>
    </row>
    <row r="56" spans="2:26" ht="18" x14ac:dyDescent="0.35">
      <c r="B56" s="95"/>
      <c r="C56" s="96"/>
      <c r="D56" s="97"/>
      <c r="E56" s="98"/>
      <c r="F56" s="90"/>
      <c r="G56" s="91"/>
      <c r="H56" s="92"/>
      <c r="I56" s="93"/>
      <c r="J56" s="83"/>
      <c r="K56" s="83"/>
      <c r="L56" s="12"/>
      <c r="M56" s="13"/>
      <c r="N56" s="14"/>
      <c r="O56" s="11"/>
      <c r="P56" s="15"/>
      <c r="Q56" s="16"/>
      <c r="R56" s="2"/>
      <c r="S56" s="12"/>
      <c r="T56" s="17"/>
      <c r="U56" s="2"/>
      <c r="V56" s="18"/>
      <c r="W56" s="8"/>
      <c r="Y56" s="149" t="s">
        <v>26</v>
      </c>
      <c r="Z56" s="152">
        <f t="shared" si="1"/>
        <v>0</v>
      </c>
    </row>
    <row r="57" spans="2:26" ht="18" x14ac:dyDescent="0.35">
      <c r="B57" s="95"/>
      <c r="C57" s="96"/>
      <c r="D57" s="97"/>
      <c r="E57" s="98"/>
      <c r="F57" s="90"/>
      <c r="G57" s="91"/>
      <c r="H57" s="92"/>
      <c r="I57" s="93"/>
      <c r="J57" s="83"/>
      <c r="K57" s="83"/>
      <c r="L57" s="12"/>
      <c r="M57" s="13"/>
      <c r="N57" s="14"/>
      <c r="O57" s="11"/>
      <c r="P57" s="15"/>
      <c r="Q57" s="16"/>
      <c r="R57" s="2"/>
      <c r="S57" s="12"/>
      <c r="T57" s="17"/>
      <c r="U57" s="2"/>
      <c r="V57" s="18"/>
      <c r="W57" s="8"/>
      <c r="Y57" s="149" t="s">
        <v>27</v>
      </c>
      <c r="Z57" s="152">
        <f t="shared" si="1"/>
        <v>0</v>
      </c>
    </row>
    <row r="58" spans="2:26" ht="18" x14ac:dyDescent="0.35">
      <c r="B58" s="95"/>
      <c r="C58" s="96"/>
      <c r="D58" s="97"/>
      <c r="E58" s="98"/>
      <c r="F58" s="90"/>
      <c r="G58" s="91"/>
      <c r="H58" s="92"/>
      <c r="I58" s="93"/>
      <c r="J58" s="83"/>
      <c r="K58" s="83"/>
      <c r="L58" s="12"/>
      <c r="M58" s="13"/>
      <c r="N58" s="14"/>
      <c r="O58" s="11"/>
      <c r="P58" s="15"/>
      <c r="Q58" s="16"/>
      <c r="R58" s="2"/>
      <c r="S58" s="12"/>
      <c r="T58" s="17"/>
      <c r="U58" s="2"/>
      <c r="V58" s="18"/>
      <c r="W58" s="8"/>
      <c r="Y58" s="149" t="s">
        <v>28</v>
      </c>
      <c r="Z58" s="152">
        <f t="shared" si="1"/>
        <v>0</v>
      </c>
    </row>
    <row r="59" spans="2:26" ht="18" x14ac:dyDescent="0.35">
      <c r="B59" s="95"/>
      <c r="C59" s="96"/>
      <c r="D59" s="97"/>
      <c r="E59" s="98"/>
      <c r="F59" s="90"/>
      <c r="G59" s="91"/>
      <c r="H59" s="92"/>
      <c r="I59" s="93"/>
      <c r="J59" s="83"/>
      <c r="K59" s="83"/>
      <c r="L59" s="12"/>
      <c r="M59" s="13"/>
      <c r="N59" s="14"/>
      <c r="O59" s="11"/>
      <c r="P59" s="15"/>
      <c r="Q59" s="16"/>
      <c r="R59" s="2"/>
      <c r="S59" s="12"/>
      <c r="T59" s="17"/>
      <c r="U59" s="2"/>
      <c r="V59" s="18"/>
      <c r="W59" s="8"/>
      <c r="Y59" s="149" t="s">
        <v>29</v>
      </c>
      <c r="Z59" s="152">
        <f t="shared" si="1"/>
        <v>0</v>
      </c>
    </row>
    <row r="60" spans="2:26" ht="18" x14ac:dyDescent="0.35">
      <c r="B60" s="95"/>
      <c r="C60" s="96"/>
      <c r="D60" s="97"/>
      <c r="E60" s="98"/>
      <c r="F60" s="90"/>
      <c r="G60" s="91"/>
      <c r="H60" s="92"/>
      <c r="I60" s="93"/>
      <c r="J60" s="83"/>
      <c r="K60" s="83"/>
      <c r="L60" s="12"/>
      <c r="M60" s="13"/>
      <c r="N60" s="14"/>
      <c r="O60" s="11"/>
      <c r="P60" s="15"/>
      <c r="Q60" s="16"/>
      <c r="R60" s="2"/>
      <c r="S60" s="12"/>
      <c r="T60" s="17"/>
      <c r="U60" s="2"/>
      <c r="V60" s="18"/>
      <c r="W60" s="8"/>
      <c r="Y60" s="149" t="s">
        <v>34</v>
      </c>
      <c r="Z60" s="152">
        <f t="shared" si="1"/>
        <v>0</v>
      </c>
    </row>
    <row r="61" spans="2:26" ht="18" x14ac:dyDescent="0.35">
      <c r="B61" s="95"/>
      <c r="C61" s="96"/>
      <c r="D61" s="97"/>
      <c r="E61" s="98"/>
      <c r="F61" s="90"/>
      <c r="G61" s="91"/>
      <c r="H61" s="92"/>
      <c r="I61" s="93"/>
      <c r="J61" s="83"/>
      <c r="K61" s="83"/>
      <c r="L61" s="12"/>
      <c r="M61" s="13"/>
      <c r="N61" s="14"/>
      <c r="O61" s="11"/>
      <c r="P61" s="15"/>
      <c r="Q61" s="16"/>
      <c r="R61" s="2"/>
      <c r="S61" s="12"/>
      <c r="T61" s="17"/>
      <c r="U61" s="2"/>
      <c r="V61" s="18"/>
      <c r="W61" s="8"/>
      <c r="Y61" s="149" t="s">
        <v>35</v>
      </c>
      <c r="Z61" s="152">
        <f t="shared" si="1"/>
        <v>0</v>
      </c>
    </row>
    <row r="62" spans="2:26" ht="18" x14ac:dyDescent="0.35">
      <c r="B62" s="95"/>
      <c r="C62" s="96"/>
      <c r="D62" s="97"/>
      <c r="E62" s="98"/>
      <c r="F62" s="90"/>
      <c r="G62" s="91"/>
      <c r="H62" s="92"/>
      <c r="I62" s="93"/>
      <c r="J62" s="83"/>
      <c r="K62" s="83"/>
      <c r="L62" s="12"/>
      <c r="M62" s="13"/>
      <c r="N62" s="14"/>
      <c r="O62" s="11"/>
      <c r="P62" s="15"/>
      <c r="Q62" s="16"/>
      <c r="R62" s="2"/>
      <c r="S62" s="12"/>
      <c r="T62" s="17"/>
      <c r="U62" s="2"/>
      <c r="V62" s="18"/>
      <c r="W62" s="8"/>
      <c r="Y62" s="149" t="s">
        <v>36</v>
      </c>
      <c r="Z62" s="152">
        <f t="shared" si="1"/>
        <v>0</v>
      </c>
    </row>
    <row r="63" spans="2:26" ht="18" x14ac:dyDescent="0.35">
      <c r="B63" s="95"/>
      <c r="C63" s="96"/>
      <c r="D63" s="97"/>
      <c r="E63" s="98"/>
      <c r="F63" s="90"/>
      <c r="G63" s="91"/>
      <c r="H63" s="92"/>
      <c r="I63" s="93"/>
      <c r="J63" s="83"/>
      <c r="K63" s="83"/>
      <c r="L63" s="12"/>
      <c r="M63" s="13"/>
      <c r="N63" s="14"/>
      <c r="O63" s="11"/>
      <c r="P63" s="15"/>
      <c r="Q63" s="16"/>
      <c r="R63" s="2"/>
      <c r="S63" s="12"/>
      <c r="T63" s="17"/>
      <c r="U63" s="2"/>
      <c r="V63" s="18"/>
      <c r="W63" s="8"/>
      <c r="Y63" s="149" t="s">
        <v>37</v>
      </c>
      <c r="Z63" s="152">
        <f t="shared" si="1"/>
        <v>0</v>
      </c>
    </row>
    <row r="64" spans="2:26" ht="18" x14ac:dyDescent="0.35">
      <c r="B64" s="95"/>
      <c r="C64" s="96"/>
      <c r="D64" s="97"/>
      <c r="E64" s="98"/>
      <c r="F64" s="90"/>
      <c r="G64" s="91"/>
      <c r="H64" s="92"/>
      <c r="I64" s="93"/>
      <c r="J64" s="83"/>
      <c r="K64" s="83"/>
      <c r="L64" s="12"/>
      <c r="M64" s="13"/>
      <c r="N64" s="14"/>
      <c r="O64" s="11"/>
      <c r="P64" s="15"/>
      <c r="Q64" s="16"/>
      <c r="R64" s="2"/>
      <c r="S64" s="12"/>
      <c r="T64" s="17"/>
      <c r="U64" s="2"/>
      <c r="V64" s="18"/>
      <c r="W64" s="8"/>
      <c r="Y64" s="149" t="s">
        <v>38</v>
      </c>
      <c r="Z64" s="152">
        <f t="shared" si="1"/>
        <v>0</v>
      </c>
    </row>
    <row r="65" spans="2:26" ht="18" x14ac:dyDescent="0.35">
      <c r="B65" s="95"/>
      <c r="C65" s="96"/>
      <c r="D65" s="97"/>
      <c r="E65" s="98"/>
      <c r="F65" s="99"/>
      <c r="G65" s="100"/>
      <c r="H65" s="101"/>
      <c r="I65" s="102"/>
      <c r="J65" s="83"/>
      <c r="K65" s="83"/>
      <c r="L65" s="12"/>
      <c r="M65" s="13"/>
      <c r="N65" s="14"/>
      <c r="O65" s="11"/>
      <c r="P65" s="15"/>
      <c r="Q65" s="16"/>
      <c r="R65" s="2"/>
      <c r="S65" s="12"/>
      <c r="T65" s="17"/>
      <c r="U65" s="2"/>
      <c r="V65" s="18"/>
      <c r="W65" s="8"/>
      <c r="Y65" s="149" t="s">
        <v>40</v>
      </c>
      <c r="Z65" s="152">
        <f t="shared" si="1"/>
        <v>0</v>
      </c>
    </row>
    <row r="66" spans="2:26" ht="18" x14ac:dyDescent="0.35">
      <c r="B66" s="95"/>
      <c r="C66" s="96"/>
      <c r="D66" s="97"/>
      <c r="E66" s="98"/>
      <c r="F66" s="90"/>
      <c r="G66" s="91"/>
      <c r="H66" s="92"/>
      <c r="I66" s="93"/>
      <c r="J66" s="83"/>
      <c r="K66" s="83"/>
      <c r="L66" s="12"/>
      <c r="M66" s="13"/>
      <c r="N66" s="14"/>
      <c r="O66" s="11"/>
      <c r="P66" s="15"/>
      <c r="Q66" s="16"/>
      <c r="R66" s="2"/>
      <c r="S66" s="12"/>
      <c r="T66" s="17"/>
      <c r="U66" s="2"/>
      <c r="V66" s="18"/>
      <c r="W66" s="8"/>
      <c r="Y66" s="149" t="s">
        <v>41</v>
      </c>
      <c r="Z66" s="152">
        <f t="shared" si="1"/>
        <v>0</v>
      </c>
    </row>
    <row r="67" spans="2:26" ht="18" x14ac:dyDescent="0.35">
      <c r="B67" s="95"/>
      <c r="C67" s="96"/>
      <c r="D67" s="97"/>
      <c r="E67" s="98"/>
      <c r="F67" s="103"/>
      <c r="G67" s="94"/>
      <c r="H67" s="104"/>
      <c r="I67" s="105"/>
      <c r="J67" s="83"/>
      <c r="K67" s="83"/>
      <c r="L67" s="12"/>
      <c r="M67" s="13"/>
      <c r="N67" s="14"/>
      <c r="O67" s="11"/>
      <c r="P67" s="15"/>
      <c r="Q67" s="16"/>
      <c r="R67" s="2"/>
      <c r="S67" s="12"/>
      <c r="T67" s="17"/>
      <c r="U67" s="2"/>
      <c r="V67" s="18"/>
      <c r="W67" s="8"/>
      <c r="Y67" s="149" t="s">
        <v>69</v>
      </c>
      <c r="Z67" s="152">
        <f t="shared" si="1"/>
        <v>0</v>
      </c>
    </row>
    <row r="68" spans="2:26" ht="18" x14ac:dyDescent="0.35">
      <c r="B68" s="95"/>
      <c r="C68" s="96"/>
      <c r="D68" s="97"/>
      <c r="E68" s="98"/>
      <c r="F68" s="90"/>
      <c r="G68" s="91"/>
      <c r="H68" s="92"/>
      <c r="I68" s="105"/>
      <c r="J68" s="83"/>
      <c r="K68" s="83"/>
      <c r="L68" s="12"/>
      <c r="M68" s="13"/>
      <c r="N68" s="14"/>
      <c r="O68" s="11"/>
      <c r="P68" s="15"/>
      <c r="Q68" s="16"/>
      <c r="R68" s="2"/>
      <c r="S68" s="12"/>
      <c r="T68" s="17"/>
      <c r="U68" s="2"/>
      <c r="V68" s="18"/>
      <c r="W68" s="8"/>
      <c r="Y68" s="149" t="s">
        <v>108</v>
      </c>
      <c r="Z68" s="152">
        <f t="shared" si="1"/>
        <v>0</v>
      </c>
    </row>
    <row r="69" spans="2:26" ht="18" x14ac:dyDescent="0.35">
      <c r="B69" s="95"/>
      <c r="C69" s="96"/>
      <c r="D69" s="97"/>
      <c r="E69" s="98"/>
      <c r="F69" s="90"/>
      <c r="G69" s="91"/>
      <c r="H69" s="92"/>
      <c r="I69" s="105"/>
      <c r="J69" s="83"/>
      <c r="K69" s="83"/>
      <c r="L69" s="12"/>
      <c r="M69" s="13"/>
      <c r="N69" s="14"/>
      <c r="O69" s="11"/>
      <c r="P69" s="15"/>
      <c r="Q69" s="16"/>
      <c r="R69" s="2"/>
      <c r="S69" s="12"/>
      <c r="T69" s="17"/>
      <c r="U69" s="2"/>
      <c r="V69" s="18"/>
      <c r="W69" s="8"/>
      <c r="Y69" s="149" t="s">
        <v>44</v>
      </c>
      <c r="Z69" s="152">
        <f t="shared" si="1"/>
        <v>0</v>
      </c>
    </row>
    <row r="70" spans="2:26" ht="18" x14ac:dyDescent="0.35">
      <c r="B70" s="95"/>
      <c r="C70" s="96"/>
      <c r="D70" s="97"/>
      <c r="E70" s="98"/>
      <c r="F70" s="90"/>
      <c r="G70" s="91"/>
      <c r="H70" s="92"/>
      <c r="I70" s="105"/>
      <c r="J70" s="83"/>
      <c r="K70" s="83"/>
      <c r="L70" s="12"/>
      <c r="M70" s="13"/>
      <c r="N70" s="14"/>
      <c r="O70" s="11"/>
      <c r="P70" s="15"/>
      <c r="Q70" s="16"/>
      <c r="R70" s="2"/>
      <c r="S70" s="12"/>
      <c r="T70" s="17"/>
      <c r="U70" s="2"/>
      <c r="V70" s="18"/>
      <c r="W70" s="8"/>
      <c r="Y70" s="149" t="s">
        <v>45</v>
      </c>
      <c r="Z70" s="152">
        <f t="shared" si="1"/>
        <v>0</v>
      </c>
    </row>
    <row r="71" spans="2:26" ht="18" x14ac:dyDescent="0.35">
      <c r="B71" s="95"/>
      <c r="C71" s="96"/>
      <c r="D71" s="97"/>
      <c r="E71" s="98"/>
      <c r="F71" s="90"/>
      <c r="G71" s="91"/>
      <c r="H71" s="92"/>
      <c r="I71" s="105"/>
      <c r="J71" s="83"/>
      <c r="K71" s="83"/>
      <c r="L71" s="12"/>
      <c r="M71" s="13"/>
      <c r="N71" s="14"/>
      <c r="O71" s="11"/>
      <c r="P71" s="15"/>
      <c r="Q71" s="16"/>
      <c r="R71" s="2"/>
      <c r="S71" s="12"/>
      <c r="T71" s="17"/>
      <c r="U71" s="2"/>
      <c r="V71" s="18"/>
      <c r="W71" s="8"/>
      <c r="Y71" s="149" t="s">
        <v>49</v>
      </c>
      <c r="Z71" s="152">
        <f t="shared" si="1"/>
        <v>0</v>
      </c>
    </row>
    <row r="72" spans="2:26" ht="18" x14ac:dyDescent="0.35">
      <c r="B72" s="106"/>
      <c r="C72" s="107"/>
      <c r="D72" s="108"/>
      <c r="E72" s="109"/>
      <c r="F72" s="90"/>
      <c r="G72" s="91"/>
      <c r="H72" s="92"/>
      <c r="I72" s="105"/>
      <c r="J72" s="83"/>
      <c r="K72" s="83"/>
      <c r="L72" s="12"/>
      <c r="M72" s="13"/>
      <c r="N72" s="14"/>
      <c r="O72" s="11"/>
      <c r="P72" s="15"/>
      <c r="Q72" s="16"/>
      <c r="R72" s="2"/>
      <c r="S72" s="12"/>
      <c r="T72" s="17"/>
      <c r="U72" s="2"/>
      <c r="V72" s="18"/>
      <c r="W72" s="8"/>
      <c r="Y72" s="149" t="s">
        <v>50</v>
      </c>
      <c r="Z72" s="152">
        <f t="shared" si="1"/>
        <v>0</v>
      </c>
    </row>
    <row r="73" spans="2:26" ht="18" x14ac:dyDescent="0.35">
      <c r="B73" s="95"/>
      <c r="C73" s="96"/>
      <c r="D73" s="97"/>
      <c r="E73" s="98"/>
      <c r="F73" s="90"/>
      <c r="G73" s="91"/>
      <c r="H73" s="92"/>
      <c r="I73" s="105"/>
      <c r="J73" s="83"/>
      <c r="K73" s="83"/>
      <c r="L73" s="20"/>
      <c r="M73" s="21"/>
      <c r="N73" s="22"/>
      <c r="O73" s="19"/>
      <c r="P73" s="23"/>
      <c r="Q73" s="24"/>
      <c r="R73" s="2"/>
      <c r="S73" s="20"/>
      <c r="T73" s="25"/>
      <c r="U73" s="2"/>
      <c r="V73" s="26"/>
      <c r="W73" s="27"/>
      <c r="Y73" s="149" t="s">
        <v>51</v>
      </c>
      <c r="Z73" s="152">
        <f t="shared" si="1"/>
        <v>0</v>
      </c>
    </row>
    <row r="74" spans="2:26" ht="18" x14ac:dyDescent="0.35">
      <c r="B74" s="110"/>
      <c r="C74" s="111"/>
      <c r="D74" s="112"/>
      <c r="E74" s="113"/>
      <c r="F74" s="90"/>
      <c r="G74" s="91"/>
      <c r="H74" s="92"/>
      <c r="I74" s="105"/>
      <c r="J74" s="83"/>
      <c r="K74" s="83"/>
      <c r="L74" s="12"/>
      <c r="M74" s="28"/>
      <c r="N74" s="14"/>
      <c r="O74" s="11"/>
      <c r="P74" s="11"/>
      <c r="Q74" s="16"/>
      <c r="R74" s="2"/>
      <c r="S74" s="12"/>
      <c r="T74" s="17"/>
      <c r="U74" s="2"/>
      <c r="V74" s="18"/>
      <c r="W74" s="16"/>
      <c r="Y74" s="149" t="s">
        <v>52</v>
      </c>
      <c r="Z74" s="152">
        <f t="shared" si="1"/>
        <v>0</v>
      </c>
    </row>
    <row r="75" spans="2:26" ht="18" x14ac:dyDescent="0.35">
      <c r="B75" s="95"/>
      <c r="C75" s="96"/>
      <c r="D75" s="97"/>
      <c r="E75" s="113"/>
      <c r="F75" s="90"/>
      <c r="G75" s="91"/>
      <c r="H75" s="92"/>
      <c r="I75" s="105"/>
      <c r="J75" s="83"/>
      <c r="K75" s="83"/>
      <c r="L75" s="12"/>
      <c r="M75" s="28"/>
      <c r="N75" s="14"/>
      <c r="O75" s="11"/>
      <c r="P75" s="11"/>
      <c r="Q75" s="16"/>
      <c r="R75" s="2"/>
      <c r="S75" s="12"/>
      <c r="T75" s="17"/>
      <c r="U75" s="2"/>
      <c r="V75" s="18"/>
      <c r="W75" s="16"/>
      <c r="Y75" s="149" t="s">
        <v>72</v>
      </c>
      <c r="Z75" s="152">
        <f t="shared" si="1"/>
        <v>0</v>
      </c>
    </row>
    <row r="76" spans="2:26" ht="18" x14ac:dyDescent="0.35">
      <c r="B76" s="95"/>
      <c r="C76" s="96"/>
      <c r="D76" s="97"/>
      <c r="E76" s="113"/>
      <c r="F76" s="90"/>
      <c r="G76" s="91"/>
      <c r="H76" s="92"/>
      <c r="I76" s="105"/>
      <c r="J76" s="83"/>
      <c r="K76" s="83"/>
      <c r="L76" s="12"/>
      <c r="M76" s="28"/>
      <c r="N76" s="14"/>
      <c r="O76" s="11"/>
      <c r="P76" s="11"/>
      <c r="Q76" s="16"/>
      <c r="R76" s="2"/>
      <c r="S76" s="12"/>
      <c r="T76" s="17"/>
      <c r="U76" s="2"/>
      <c r="V76" s="18"/>
      <c r="W76" s="16"/>
      <c r="Y76" s="149" t="s">
        <v>71</v>
      </c>
      <c r="Z76" s="152">
        <f t="shared" si="1"/>
        <v>0</v>
      </c>
    </row>
    <row r="77" spans="2:26" ht="18" x14ac:dyDescent="0.35">
      <c r="B77" s="95"/>
      <c r="C77" s="96"/>
      <c r="D77" s="97"/>
      <c r="E77" s="113"/>
      <c r="F77" s="90"/>
      <c r="G77" s="91"/>
      <c r="H77" s="92"/>
      <c r="I77" s="105"/>
      <c r="J77" s="83"/>
      <c r="K77" s="83"/>
      <c r="L77" s="12"/>
      <c r="M77" s="28"/>
      <c r="N77" s="14"/>
      <c r="O77" s="11"/>
      <c r="P77" s="11"/>
      <c r="Q77" s="16"/>
      <c r="R77" s="2"/>
      <c r="S77" s="12"/>
      <c r="T77" s="17"/>
      <c r="U77" s="2"/>
      <c r="V77" s="18"/>
      <c r="W77" s="16"/>
      <c r="Y77" s="149" t="s">
        <v>53</v>
      </c>
      <c r="Z77" s="152">
        <f t="shared" ref="Z77:Z79" si="2">SUMIF($G$9:$G$129, Y77, $F$9:$F$129)</f>
        <v>0</v>
      </c>
    </row>
    <row r="78" spans="2:26" ht="18" x14ac:dyDescent="0.35">
      <c r="B78" s="95"/>
      <c r="C78" s="96"/>
      <c r="D78" s="97"/>
      <c r="E78" s="113"/>
      <c r="F78" s="90"/>
      <c r="G78" s="91"/>
      <c r="H78" s="92"/>
      <c r="I78" s="105"/>
      <c r="J78" s="83"/>
      <c r="K78" s="83"/>
      <c r="L78" s="12"/>
      <c r="M78" s="28"/>
      <c r="N78" s="14"/>
      <c r="O78" s="11"/>
      <c r="P78" s="11"/>
      <c r="Q78" s="16"/>
      <c r="R78" s="2"/>
      <c r="S78" s="12"/>
      <c r="T78" s="17"/>
      <c r="U78" s="2"/>
      <c r="V78" s="18"/>
      <c r="W78" s="16"/>
      <c r="Y78" s="149" t="s">
        <v>54</v>
      </c>
      <c r="Z78" s="152">
        <f t="shared" si="2"/>
        <v>0</v>
      </c>
    </row>
    <row r="79" spans="2:26" ht="18.600000000000001" thickBot="1" x14ac:dyDescent="0.4">
      <c r="B79" s="95"/>
      <c r="C79" s="96"/>
      <c r="D79" s="97"/>
      <c r="E79" s="113"/>
      <c r="F79" s="90"/>
      <c r="G79" s="91"/>
      <c r="H79" s="92"/>
      <c r="I79" s="105"/>
      <c r="J79" s="83"/>
      <c r="K79" s="83"/>
      <c r="L79" s="12"/>
      <c r="M79" s="28"/>
      <c r="N79" s="14"/>
      <c r="O79" s="11"/>
      <c r="P79" s="11"/>
      <c r="Q79" s="16"/>
      <c r="R79" s="2"/>
      <c r="S79" s="12"/>
      <c r="T79" s="17"/>
      <c r="U79" s="2"/>
      <c r="V79" s="18"/>
      <c r="W79" s="16"/>
      <c r="Y79" s="150" t="s">
        <v>55</v>
      </c>
      <c r="Z79" s="153">
        <f t="shared" si="2"/>
        <v>0</v>
      </c>
    </row>
    <row r="80" spans="2:26" ht="18" x14ac:dyDescent="0.35">
      <c r="B80" s="95"/>
      <c r="C80" s="96"/>
      <c r="D80" s="97"/>
      <c r="E80" s="113"/>
      <c r="F80" s="90"/>
      <c r="G80" s="91"/>
      <c r="H80" s="92"/>
      <c r="I80" s="105"/>
      <c r="J80" s="83"/>
      <c r="K80" s="83"/>
      <c r="L80" s="12"/>
      <c r="M80" s="28"/>
      <c r="N80" s="14"/>
      <c r="O80" s="11"/>
      <c r="P80" s="11"/>
      <c r="Q80" s="16"/>
      <c r="R80" s="2"/>
      <c r="S80" s="12"/>
      <c r="T80" s="17"/>
      <c r="U80" s="2"/>
      <c r="V80" s="18"/>
      <c r="W80" s="16"/>
    </row>
    <row r="81" spans="2:23" ht="18" x14ac:dyDescent="0.35">
      <c r="B81" s="95"/>
      <c r="C81" s="96"/>
      <c r="D81" s="97"/>
      <c r="E81" s="113"/>
      <c r="F81" s="90"/>
      <c r="G81" s="91"/>
      <c r="H81" s="92"/>
      <c r="I81" s="105"/>
      <c r="J81" s="83"/>
      <c r="K81" s="83"/>
      <c r="L81" s="12"/>
      <c r="M81" s="28"/>
      <c r="N81" s="14"/>
      <c r="O81" s="11"/>
      <c r="P81" s="11"/>
      <c r="Q81" s="16"/>
      <c r="R81" s="2"/>
      <c r="S81" s="12"/>
      <c r="T81" s="17"/>
      <c r="U81" s="2"/>
      <c r="V81" s="18"/>
      <c r="W81" s="16"/>
    </row>
    <row r="82" spans="2:23" ht="18" x14ac:dyDescent="0.35">
      <c r="B82" s="95"/>
      <c r="C82" s="96"/>
      <c r="D82" s="97"/>
      <c r="E82" s="113"/>
      <c r="F82" s="90"/>
      <c r="G82" s="91"/>
      <c r="H82" s="92"/>
      <c r="I82" s="105"/>
      <c r="J82" s="83"/>
      <c r="K82" s="83"/>
      <c r="L82" s="12"/>
      <c r="M82" s="28"/>
      <c r="N82" s="14"/>
      <c r="O82" s="11"/>
      <c r="P82" s="11"/>
      <c r="Q82" s="16"/>
      <c r="R82" s="2"/>
      <c r="S82" s="12"/>
      <c r="T82" s="17"/>
      <c r="U82" s="2"/>
      <c r="V82" s="18"/>
      <c r="W82" s="16"/>
    </row>
    <row r="83" spans="2:23" ht="18" x14ac:dyDescent="0.35">
      <c r="B83" s="95"/>
      <c r="C83" s="96"/>
      <c r="D83" s="97"/>
      <c r="E83" s="113"/>
      <c r="F83" s="90"/>
      <c r="G83" s="91"/>
      <c r="H83" s="92"/>
      <c r="I83" s="105"/>
      <c r="J83" s="83"/>
      <c r="K83" s="83"/>
      <c r="L83" s="12"/>
      <c r="M83" s="28"/>
      <c r="N83" s="14"/>
      <c r="O83" s="11"/>
      <c r="P83" s="11"/>
      <c r="Q83" s="16"/>
      <c r="R83" s="2"/>
      <c r="S83" s="12"/>
      <c r="T83" s="17"/>
      <c r="U83" s="2"/>
      <c r="V83" s="18"/>
      <c r="W83" s="16"/>
    </row>
    <row r="84" spans="2:23" ht="18" x14ac:dyDescent="0.35">
      <c r="B84" s="95"/>
      <c r="C84" s="96"/>
      <c r="D84" s="97"/>
      <c r="E84" s="113"/>
      <c r="F84" s="90"/>
      <c r="G84" s="91"/>
      <c r="H84" s="92"/>
      <c r="I84" s="105"/>
      <c r="J84" s="83"/>
      <c r="K84" s="83"/>
      <c r="L84" s="12"/>
      <c r="M84" s="28"/>
      <c r="N84" s="14"/>
      <c r="O84" s="11"/>
      <c r="P84" s="11"/>
      <c r="Q84" s="16"/>
      <c r="R84" s="2"/>
      <c r="S84" s="12"/>
      <c r="T84" s="17"/>
      <c r="U84" s="2"/>
      <c r="V84" s="18"/>
      <c r="W84" s="16"/>
    </row>
    <row r="85" spans="2:23" ht="18" x14ac:dyDescent="0.35">
      <c r="B85" s="95"/>
      <c r="C85" s="96"/>
      <c r="D85" s="97"/>
      <c r="E85" s="113"/>
      <c r="F85" s="90"/>
      <c r="G85" s="91"/>
      <c r="H85" s="92"/>
      <c r="I85" s="105"/>
      <c r="J85" s="83"/>
      <c r="K85" s="83"/>
      <c r="L85" s="12"/>
      <c r="M85" s="28"/>
      <c r="N85" s="14"/>
      <c r="O85" s="11"/>
      <c r="P85" s="11"/>
      <c r="Q85" s="16"/>
      <c r="R85" s="2"/>
      <c r="S85" s="12"/>
      <c r="T85" s="17"/>
      <c r="U85" s="2"/>
      <c r="V85" s="18"/>
      <c r="W85" s="16"/>
    </row>
    <row r="86" spans="2:23" ht="18" x14ac:dyDescent="0.35">
      <c r="B86" s="95"/>
      <c r="C86" s="96"/>
      <c r="D86" s="97"/>
      <c r="E86" s="113"/>
      <c r="F86" s="90"/>
      <c r="G86" s="91"/>
      <c r="H86" s="92"/>
      <c r="I86" s="105"/>
      <c r="J86" s="83"/>
      <c r="K86" s="83"/>
      <c r="L86" s="12"/>
      <c r="M86" s="28"/>
      <c r="N86" s="14"/>
      <c r="O86" s="11"/>
      <c r="P86" s="11"/>
      <c r="Q86" s="16"/>
      <c r="R86" s="2"/>
      <c r="S86" s="12"/>
      <c r="T86" s="17"/>
      <c r="U86" s="2"/>
      <c r="V86" s="18"/>
      <c r="W86" s="16"/>
    </row>
    <row r="87" spans="2:23" ht="18" x14ac:dyDescent="0.35">
      <c r="B87" s="95"/>
      <c r="C87" s="96"/>
      <c r="D87" s="97"/>
      <c r="E87" s="113"/>
      <c r="F87" s="90"/>
      <c r="G87" s="91"/>
      <c r="H87" s="92"/>
      <c r="I87" s="105"/>
      <c r="J87" s="83"/>
      <c r="K87" s="83"/>
      <c r="L87" s="12"/>
      <c r="M87" s="28"/>
      <c r="N87" s="14"/>
      <c r="O87" s="11"/>
      <c r="P87" s="11"/>
      <c r="Q87" s="16"/>
      <c r="R87" s="2"/>
      <c r="S87" s="12"/>
      <c r="T87" s="17"/>
      <c r="U87" s="2"/>
      <c r="V87" s="18"/>
      <c r="W87" s="16"/>
    </row>
    <row r="88" spans="2:23" ht="18" x14ac:dyDescent="0.35">
      <c r="B88" s="95"/>
      <c r="C88" s="96"/>
      <c r="D88" s="97"/>
      <c r="E88" s="113"/>
      <c r="F88" s="90"/>
      <c r="G88" s="91"/>
      <c r="H88" s="92"/>
      <c r="I88" s="105"/>
      <c r="J88" s="83"/>
      <c r="K88" s="83"/>
      <c r="L88" s="12"/>
      <c r="M88" s="28"/>
      <c r="N88" s="14"/>
      <c r="O88" s="11"/>
      <c r="P88" s="11"/>
      <c r="Q88" s="16"/>
      <c r="R88" s="2"/>
      <c r="S88" s="12"/>
      <c r="T88" s="17"/>
      <c r="U88" s="2"/>
      <c r="V88" s="18"/>
      <c r="W88" s="16"/>
    </row>
    <row r="89" spans="2:23" ht="18" x14ac:dyDescent="0.35">
      <c r="B89" s="95"/>
      <c r="C89" s="96"/>
      <c r="D89" s="97"/>
      <c r="E89" s="113"/>
      <c r="F89" s="90"/>
      <c r="G89" s="91"/>
      <c r="H89" s="92"/>
      <c r="I89" s="105"/>
      <c r="J89" s="83"/>
      <c r="K89" s="83"/>
      <c r="L89" s="12"/>
      <c r="M89" s="28"/>
      <c r="N89" s="14"/>
      <c r="O89" s="11"/>
      <c r="P89" s="11"/>
      <c r="Q89" s="16"/>
      <c r="R89" s="2"/>
      <c r="S89" s="12"/>
      <c r="T89" s="17"/>
      <c r="U89" s="2"/>
      <c r="V89" s="18"/>
      <c r="W89" s="16"/>
    </row>
    <row r="90" spans="2:23" ht="18" x14ac:dyDescent="0.35">
      <c r="B90" s="95"/>
      <c r="C90" s="96"/>
      <c r="D90" s="97"/>
      <c r="E90" s="113"/>
      <c r="F90" s="90"/>
      <c r="G90" s="91"/>
      <c r="H90" s="92"/>
      <c r="I90" s="105"/>
      <c r="J90" s="83"/>
      <c r="K90" s="83"/>
      <c r="L90" s="12"/>
      <c r="M90" s="28"/>
      <c r="N90" s="14"/>
      <c r="O90" s="11"/>
      <c r="P90" s="11"/>
      <c r="Q90" s="16"/>
      <c r="R90" s="2"/>
      <c r="S90" s="12"/>
      <c r="T90" s="17"/>
      <c r="U90" s="2"/>
      <c r="V90" s="18"/>
      <c r="W90" s="16"/>
    </row>
    <row r="91" spans="2:23" ht="18" x14ac:dyDescent="0.35">
      <c r="B91" s="95"/>
      <c r="C91" s="96"/>
      <c r="D91" s="97"/>
      <c r="E91" s="113"/>
      <c r="F91" s="90"/>
      <c r="G91" s="91"/>
      <c r="H91" s="92"/>
      <c r="I91" s="105"/>
      <c r="J91" s="83"/>
      <c r="K91" s="83"/>
      <c r="L91" s="12"/>
      <c r="M91" s="28"/>
      <c r="N91" s="14"/>
      <c r="O91" s="11"/>
      <c r="P91" s="11"/>
      <c r="Q91" s="16"/>
      <c r="R91" s="2"/>
      <c r="S91" s="12"/>
      <c r="T91" s="17"/>
      <c r="U91" s="2"/>
      <c r="V91" s="18"/>
      <c r="W91" s="16"/>
    </row>
    <row r="92" spans="2:23" ht="18" x14ac:dyDescent="0.35">
      <c r="B92" s="95"/>
      <c r="C92" s="96"/>
      <c r="D92" s="97"/>
      <c r="E92" s="113"/>
      <c r="F92" s="90"/>
      <c r="G92" s="91"/>
      <c r="H92" s="92"/>
      <c r="I92" s="105"/>
      <c r="J92" s="83"/>
      <c r="K92" s="83"/>
      <c r="L92" s="12"/>
      <c r="M92" s="28"/>
      <c r="N92" s="14"/>
      <c r="O92" s="11"/>
      <c r="P92" s="11"/>
      <c r="Q92" s="16"/>
      <c r="R92" s="2"/>
      <c r="S92" s="12"/>
      <c r="T92" s="17"/>
      <c r="U92" s="2"/>
      <c r="V92" s="18"/>
      <c r="W92" s="16"/>
    </row>
    <row r="93" spans="2:23" ht="18" x14ac:dyDescent="0.35">
      <c r="B93" s="95"/>
      <c r="C93" s="96"/>
      <c r="D93" s="97"/>
      <c r="E93" s="113"/>
      <c r="F93" s="90"/>
      <c r="G93" s="91"/>
      <c r="H93" s="92"/>
      <c r="I93" s="105"/>
      <c r="J93" s="83"/>
      <c r="K93" s="83"/>
      <c r="L93" s="12"/>
      <c r="M93" s="28"/>
      <c r="N93" s="14"/>
      <c r="O93" s="11"/>
      <c r="P93" s="11"/>
      <c r="Q93" s="16"/>
      <c r="R93" s="2"/>
      <c r="S93" s="12"/>
      <c r="T93" s="17"/>
      <c r="U93" s="2"/>
      <c r="V93" s="18"/>
      <c r="W93" s="16"/>
    </row>
    <row r="94" spans="2:23" ht="18" x14ac:dyDescent="0.35">
      <c r="B94" s="95"/>
      <c r="C94" s="96"/>
      <c r="D94" s="97"/>
      <c r="E94" s="113"/>
      <c r="F94" s="90"/>
      <c r="G94" s="91"/>
      <c r="H94" s="92"/>
      <c r="I94" s="105"/>
      <c r="J94" s="83"/>
      <c r="K94" s="83"/>
      <c r="L94" s="12"/>
      <c r="M94" s="28"/>
      <c r="N94" s="14"/>
      <c r="O94" s="11"/>
      <c r="P94" s="11"/>
      <c r="Q94" s="16"/>
      <c r="R94" s="2"/>
      <c r="S94" s="12"/>
      <c r="T94" s="17"/>
      <c r="U94" s="2"/>
      <c r="V94" s="18"/>
      <c r="W94" s="16"/>
    </row>
    <row r="95" spans="2:23" ht="18" x14ac:dyDescent="0.35">
      <c r="B95" s="95"/>
      <c r="C95" s="96"/>
      <c r="D95" s="97"/>
      <c r="E95" s="113"/>
      <c r="F95" s="90"/>
      <c r="G95" s="91"/>
      <c r="H95" s="92"/>
      <c r="I95" s="105"/>
      <c r="J95" s="83"/>
      <c r="K95" s="83"/>
      <c r="L95" s="12"/>
      <c r="M95" s="28"/>
      <c r="N95" s="14"/>
      <c r="O95" s="11"/>
      <c r="P95" s="11"/>
      <c r="Q95" s="16"/>
      <c r="R95" s="2"/>
      <c r="S95" s="12"/>
      <c r="T95" s="17"/>
      <c r="U95" s="2"/>
      <c r="V95" s="18"/>
      <c r="W95" s="16"/>
    </row>
    <row r="96" spans="2:23" ht="18" x14ac:dyDescent="0.35">
      <c r="B96" s="95"/>
      <c r="C96" s="96"/>
      <c r="D96" s="97"/>
      <c r="E96" s="113"/>
      <c r="F96" s="90"/>
      <c r="G96" s="91"/>
      <c r="H96" s="92"/>
      <c r="I96" s="105"/>
      <c r="J96" s="83"/>
      <c r="K96" s="83"/>
      <c r="L96" s="12"/>
      <c r="M96" s="28"/>
      <c r="N96" s="14"/>
      <c r="O96" s="11"/>
      <c r="P96" s="11"/>
      <c r="Q96" s="16"/>
      <c r="R96" s="2"/>
      <c r="S96" s="12"/>
      <c r="T96" s="17"/>
      <c r="U96" s="2"/>
      <c r="V96" s="18"/>
      <c r="W96" s="16"/>
    </row>
    <row r="97" spans="2:23" ht="18" x14ac:dyDescent="0.35">
      <c r="B97" s="95"/>
      <c r="C97" s="96"/>
      <c r="D97" s="97"/>
      <c r="E97" s="113"/>
      <c r="F97" s="90"/>
      <c r="G97" s="91"/>
      <c r="H97" s="92"/>
      <c r="I97" s="105"/>
      <c r="J97" s="83"/>
      <c r="K97" s="83"/>
      <c r="L97" s="12"/>
      <c r="M97" s="28"/>
      <c r="N97" s="14"/>
      <c r="O97" s="11"/>
      <c r="P97" s="11"/>
      <c r="Q97" s="16"/>
      <c r="R97" s="2"/>
      <c r="S97" s="12"/>
      <c r="T97" s="17"/>
      <c r="U97" s="2"/>
      <c r="V97" s="18"/>
      <c r="W97" s="16"/>
    </row>
    <row r="98" spans="2:23" ht="18" x14ac:dyDescent="0.35">
      <c r="B98" s="95"/>
      <c r="C98" s="96"/>
      <c r="D98" s="97"/>
      <c r="E98" s="113"/>
      <c r="F98" s="90"/>
      <c r="G98" s="91"/>
      <c r="H98" s="92"/>
      <c r="I98" s="105"/>
      <c r="J98" s="83"/>
      <c r="K98" s="83"/>
      <c r="L98" s="12"/>
      <c r="M98" s="28"/>
      <c r="N98" s="14"/>
      <c r="O98" s="11"/>
      <c r="P98" s="11"/>
      <c r="Q98" s="16"/>
      <c r="R98" s="2"/>
      <c r="S98" s="12"/>
      <c r="T98" s="17"/>
      <c r="U98" s="2"/>
      <c r="V98" s="18"/>
      <c r="W98" s="16"/>
    </row>
    <row r="99" spans="2:23" ht="18" x14ac:dyDescent="0.35">
      <c r="B99" s="95"/>
      <c r="C99" s="96"/>
      <c r="D99" s="97"/>
      <c r="E99" s="113"/>
      <c r="F99" s="90"/>
      <c r="G99" s="91"/>
      <c r="H99" s="92"/>
      <c r="I99" s="105"/>
      <c r="J99" s="83"/>
      <c r="K99" s="83"/>
      <c r="L99" s="12"/>
      <c r="M99" s="28"/>
      <c r="N99" s="14"/>
      <c r="O99" s="11"/>
      <c r="P99" s="11"/>
      <c r="Q99" s="16"/>
      <c r="R99" s="2"/>
      <c r="S99" s="12"/>
      <c r="T99" s="17"/>
      <c r="U99" s="2"/>
      <c r="V99" s="18"/>
      <c r="W99" s="16"/>
    </row>
    <row r="100" spans="2:23" ht="18" x14ac:dyDescent="0.35">
      <c r="B100" s="95"/>
      <c r="C100" s="96"/>
      <c r="D100" s="97"/>
      <c r="E100" s="113"/>
      <c r="F100" s="90"/>
      <c r="G100" s="91"/>
      <c r="H100" s="92"/>
      <c r="I100" s="105"/>
      <c r="J100" s="83"/>
      <c r="K100" s="83"/>
      <c r="L100" s="12"/>
      <c r="M100" s="28"/>
      <c r="N100" s="14"/>
      <c r="O100" s="11"/>
      <c r="P100" s="11"/>
      <c r="Q100" s="16"/>
      <c r="R100" s="2"/>
      <c r="S100" s="12"/>
      <c r="T100" s="17"/>
      <c r="U100" s="2"/>
      <c r="V100" s="18"/>
      <c r="W100" s="16"/>
    </row>
    <row r="101" spans="2:23" ht="18" x14ac:dyDescent="0.35">
      <c r="B101" s="95"/>
      <c r="C101" s="96"/>
      <c r="D101" s="97"/>
      <c r="E101" s="113"/>
      <c r="F101" s="90"/>
      <c r="G101" s="91"/>
      <c r="H101" s="92"/>
      <c r="I101" s="105"/>
      <c r="J101" s="83"/>
      <c r="K101" s="83"/>
      <c r="L101" s="12"/>
      <c r="M101" s="28"/>
      <c r="N101" s="14"/>
      <c r="O101" s="11"/>
      <c r="P101" s="11"/>
      <c r="Q101" s="16"/>
      <c r="R101" s="2"/>
      <c r="S101" s="12"/>
      <c r="T101" s="17"/>
      <c r="U101" s="2"/>
      <c r="V101" s="18"/>
      <c r="W101" s="16"/>
    </row>
    <row r="102" spans="2:23" ht="18" x14ac:dyDescent="0.35">
      <c r="B102" s="95"/>
      <c r="C102" s="96"/>
      <c r="D102" s="97"/>
      <c r="E102" s="113"/>
      <c r="F102" s="90"/>
      <c r="G102" s="91"/>
      <c r="H102" s="92"/>
      <c r="I102" s="105"/>
      <c r="J102" s="83"/>
      <c r="K102" s="83"/>
      <c r="L102" s="12"/>
      <c r="M102" s="28"/>
      <c r="N102" s="14"/>
      <c r="O102" s="11"/>
      <c r="P102" s="11"/>
      <c r="Q102" s="16"/>
      <c r="R102" s="2"/>
      <c r="S102" s="12"/>
      <c r="T102" s="17"/>
      <c r="U102" s="2"/>
      <c r="V102" s="18"/>
      <c r="W102" s="16"/>
    </row>
    <row r="103" spans="2:23" ht="18" x14ac:dyDescent="0.35">
      <c r="B103" s="95"/>
      <c r="C103" s="96"/>
      <c r="D103" s="97"/>
      <c r="E103" s="113"/>
      <c r="F103" s="90"/>
      <c r="G103" s="91"/>
      <c r="H103" s="92"/>
      <c r="I103" s="105"/>
      <c r="J103" s="83"/>
      <c r="K103" s="83"/>
      <c r="L103" s="12"/>
      <c r="M103" s="28"/>
      <c r="N103" s="14"/>
      <c r="O103" s="11"/>
      <c r="P103" s="11"/>
      <c r="Q103" s="16"/>
      <c r="R103" s="2"/>
      <c r="S103" s="12"/>
      <c r="T103" s="17"/>
      <c r="U103" s="2"/>
      <c r="V103" s="18"/>
      <c r="W103" s="16"/>
    </row>
    <row r="104" spans="2:23" ht="18" x14ac:dyDescent="0.35">
      <c r="B104" s="95"/>
      <c r="C104" s="96"/>
      <c r="D104" s="97"/>
      <c r="E104" s="113"/>
      <c r="F104" s="90"/>
      <c r="G104" s="91"/>
      <c r="H104" s="92"/>
      <c r="I104" s="105"/>
      <c r="J104" s="83"/>
      <c r="K104" s="83"/>
      <c r="L104" s="12"/>
      <c r="M104" s="28"/>
      <c r="N104" s="14"/>
      <c r="O104" s="11"/>
      <c r="P104" s="11"/>
      <c r="Q104" s="16"/>
      <c r="R104" s="2"/>
      <c r="S104" s="12"/>
      <c r="T104" s="17"/>
      <c r="U104" s="2"/>
      <c r="V104" s="18"/>
      <c r="W104" s="16"/>
    </row>
    <row r="105" spans="2:23" ht="18" x14ac:dyDescent="0.35">
      <c r="B105" s="95"/>
      <c r="C105" s="96"/>
      <c r="D105" s="97"/>
      <c r="E105" s="113"/>
      <c r="F105" s="90"/>
      <c r="G105" s="91"/>
      <c r="H105" s="92"/>
      <c r="I105" s="105"/>
      <c r="J105" s="83"/>
      <c r="K105" s="83"/>
      <c r="L105" s="12"/>
      <c r="M105" s="28"/>
      <c r="N105" s="14"/>
      <c r="O105" s="11"/>
      <c r="P105" s="11"/>
      <c r="Q105" s="16"/>
      <c r="R105" s="2"/>
      <c r="S105" s="12"/>
      <c r="T105" s="17"/>
      <c r="U105" s="2"/>
      <c r="V105" s="18"/>
      <c r="W105" s="16"/>
    </row>
    <row r="106" spans="2:23" ht="18" x14ac:dyDescent="0.35">
      <c r="B106" s="95"/>
      <c r="C106" s="96"/>
      <c r="D106" s="97"/>
      <c r="E106" s="113"/>
      <c r="F106" s="90"/>
      <c r="G106" s="91"/>
      <c r="H106" s="92"/>
      <c r="I106" s="105"/>
      <c r="J106" s="83"/>
      <c r="K106" s="83"/>
      <c r="L106" s="12"/>
      <c r="M106" s="28"/>
      <c r="N106" s="14"/>
      <c r="O106" s="11"/>
      <c r="P106" s="11"/>
      <c r="Q106" s="16"/>
      <c r="R106" s="2"/>
      <c r="S106" s="12"/>
      <c r="T106" s="17"/>
      <c r="U106" s="2"/>
      <c r="V106" s="18"/>
      <c r="W106" s="16"/>
    </row>
    <row r="107" spans="2:23" ht="18" x14ac:dyDescent="0.35">
      <c r="B107" s="95"/>
      <c r="C107" s="96"/>
      <c r="D107" s="97"/>
      <c r="E107" s="113"/>
      <c r="F107" s="90"/>
      <c r="G107" s="91"/>
      <c r="H107" s="92"/>
      <c r="I107" s="105"/>
      <c r="J107" s="83"/>
      <c r="K107" s="83"/>
      <c r="L107" s="12"/>
      <c r="M107" s="28"/>
      <c r="N107" s="14"/>
      <c r="O107" s="11"/>
      <c r="P107" s="11"/>
      <c r="Q107" s="16"/>
      <c r="R107" s="2"/>
      <c r="S107" s="12"/>
      <c r="T107" s="17"/>
      <c r="U107" s="2"/>
      <c r="V107" s="18"/>
      <c r="W107" s="16"/>
    </row>
    <row r="108" spans="2:23" ht="18" x14ac:dyDescent="0.35">
      <c r="B108" s="95"/>
      <c r="C108" s="96"/>
      <c r="D108" s="97"/>
      <c r="E108" s="113"/>
      <c r="F108" s="90"/>
      <c r="G108" s="91"/>
      <c r="H108" s="92"/>
      <c r="I108" s="105"/>
      <c r="J108" s="83"/>
      <c r="K108" s="83"/>
      <c r="L108" s="12"/>
      <c r="M108" s="28"/>
      <c r="N108" s="14"/>
      <c r="O108" s="11"/>
      <c r="P108" s="11"/>
      <c r="Q108" s="16"/>
      <c r="R108" s="2"/>
      <c r="S108" s="12"/>
      <c r="T108" s="17"/>
      <c r="U108" s="2"/>
      <c r="V108" s="18"/>
      <c r="W108" s="16"/>
    </row>
    <row r="109" spans="2:23" ht="18" x14ac:dyDescent="0.35">
      <c r="B109" s="95"/>
      <c r="C109" s="96"/>
      <c r="D109" s="97"/>
      <c r="E109" s="113"/>
      <c r="F109" s="90"/>
      <c r="G109" s="91"/>
      <c r="H109" s="92"/>
      <c r="I109" s="105"/>
      <c r="J109" s="83"/>
      <c r="K109" s="83"/>
      <c r="L109" s="12"/>
      <c r="M109" s="28"/>
      <c r="N109" s="14"/>
      <c r="O109" s="11"/>
      <c r="P109" s="11"/>
      <c r="Q109" s="16"/>
      <c r="R109" s="2"/>
      <c r="S109" s="12"/>
      <c r="T109" s="17"/>
      <c r="U109" s="2"/>
      <c r="V109" s="18"/>
      <c r="W109" s="16"/>
    </row>
    <row r="110" spans="2:23" ht="18" x14ac:dyDescent="0.35">
      <c r="B110" s="95"/>
      <c r="C110" s="96"/>
      <c r="D110" s="97"/>
      <c r="E110" s="113"/>
      <c r="F110" s="90"/>
      <c r="G110" s="91"/>
      <c r="H110" s="92"/>
      <c r="I110" s="105"/>
      <c r="J110" s="83"/>
      <c r="K110" s="83"/>
      <c r="L110" s="12"/>
      <c r="M110" s="28"/>
      <c r="N110" s="14"/>
      <c r="O110" s="11"/>
      <c r="P110" s="11"/>
      <c r="Q110" s="16"/>
      <c r="R110" s="2"/>
      <c r="S110" s="12"/>
      <c r="T110" s="17"/>
      <c r="U110" s="2"/>
      <c r="V110" s="18"/>
      <c r="W110" s="16"/>
    </row>
    <row r="111" spans="2:23" ht="18" x14ac:dyDescent="0.35">
      <c r="B111" s="95"/>
      <c r="C111" s="96"/>
      <c r="D111" s="97"/>
      <c r="E111" s="113"/>
      <c r="F111" s="90"/>
      <c r="G111" s="91"/>
      <c r="H111" s="92"/>
      <c r="I111" s="105"/>
      <c r="J111" s="83"/>
      <c r="K111" s="83"/>
      <c r="L111" s="12"/>
      <c r="M111" s="28"/>
      <c r="N111" s="14"/>
      <c r="O111" s="11"/>
      <c r="P111" s="11"/>
      <c r="Q111" s="16"/>
      <c r="R111" s="2"/>
      <c r="S111" s="12"/>
      <c r="T111" s="17"/>
      <c r="U111" s="2"/>
      <c r="V111" s="18"/>
      <c r="W111" s="16"/>
    </row>
    <row r="112" spans="2:23" ht="18" x14ac:dyDescent="0.35">
      <c r="B112" s="95"/>
      <c r="C112" s="96"/>
      <c r="D112" s="97"/>
      <c r="E112" s="113"/>
      <c r="F112" s="90"/>
      <c r="G112" s="91"/>
      <c r="H112" s="92"/>
      <c r="I112" s="105"/>
      <c r="J112" s="83"/>
      <c r="K112" s="83"/>
      <c r="L112" s="12"/>
      <c r="M112" s="28"/>
      <c r="N112" s="14"/>
      <c r="O112" s="11"/>
      <c r="P112" s="11"/>
      <c r="Q112" s="16"/>
      <c r="R112" s="2"/>
      <c r="S112" s="12"/>
      <c r="T112" s="17"/>
      <c r="U112" s="2"/>
      <c r="V112" s="18"/>
      <c r="W112" s="16"/>
    </row>
    <row r="113" spans="2:23" ht="18" x14ac:dyDescent="0.35">
      <c r="B113" s="95"/>
      <c r="C113" s="96"/>
      <c r="D113" s="97"/>
      <c r="E113" s="113"/>
      <c r="F113" s="90"/>
      <c r="G113" s="91"/>
      <c r="H113" s="92"/>
      <c r="I113" s="105"/>
      <c r="J113" s="83"/>
      <c r="K113" s="83"/>
      <c r="L113" s="12"/>
      <c r="M113" s="28"/>
      <c r="N113" s="14"/>
      <c r="O113" s="11"/>
      <c r="P113" s="11"/>
      <c r="Q113" s="16"/>
      <c r="R113" s="2"/>
      <c r="S113" s="12"/>
      <c r="T113" s="17"/>
      <c r="U113" s="2"/>
      <c r="V113" s="18"/>
      <c r="W113" s="16"/>
    </row>
    <row r="114" spans="2:23" ht="18" x14ac:dyDescent="0.35">
      <c r="B114" s="95"/>
      <c r="C114" s="96"/>
      <c r="D114" s="97"/>
      <c r="E114" s="113"/>
      <c r="F114" s="90"/>
      <c r="G114" s="91"/>
      <c r="H114" s="92"/>
      <c r="I114" s="105"/>
      <c r="J114" s="83"/>
      <c r="K114" s="83"/>
      <c r="L114" s="12"/>
      <c r="M114" s="28"/>
      <c r="N114" s="14"/>
      <c r="O114" s="11"/>
      <c r="P114" s="11"/>
      <c r="Q114" s="16"/>
      <c r="R114" s="2"/>
      <c r="S114" s="12"/>
      <c r="T114" s="17"/>
      <c r="U114" s="2"/>
      <c r="V114" s="18"/>
      <c r="W114" s="16"/>
    </row>
    <row r="115" spans="2:23" ht="18" x14ac:dyDescent="0.35">
      <c r="B115" s="95"/>
      <c r="C115" s="96"/>
      <c r="D115" s="97"/>
      <c r="E115" s="113"/>
      <c r="F115" s="90"/>
      <c r="G115" s="91"/>
      <c r="H115" s="92"/>
      <c r="I115" s="105"/>
      <c r="J115" s="83"/>
      <c r="K115" s="83"/>
      <c r="L115" s="12"/>
      <c r="M115" s="28"/>
      <c r="N115" s="14"/>
      <c r="O115" s="11"/>
      <c r="P115" s="11"/>
      <c r="Q115" s="16"/>
      <c r="R115" s="2"/>
      <c r="S115" s="12"/>
      <c r="T115" s="17"/>
      <c r="U115" s="2"/>
      <c r="V115" s="18"/>
      <c r="W115" s="16"/>
    </row>
    <row r="116" spans="2:23" ht="18" x14ac:dyDescent="0.35">
      <c r="B116" s="95"/>
      <c r="C116" s="96"/>
      <c r="D116" s="97"/>
      <c r="E116" s="113"/>
      <c r="F116" s="90"/>
      <c r="G116" s="91"/>
      <c r="H116" s="92"/>
      <c r="I116" s="105"/>
      <c r="J116" s="83"/>
      <c r="K116" s="83"/>
      <c r="L116" s="12"/>
      <c r="M116" s="28"/>
      <c r="N116" s="14"/>
      <c r="O116" s="11"/>
      <c r="P116" s="11"/>
      <c r="Q116" s="16"/>
      <c r="R116" s="2"/>
      <c r="S116" s="12"/>
      <c r="T116" s="17"/>
      <c r="U116" s="2"/>
      <c r="V116" s="18"/>
      <c r="W116" s="16"/>
    </row>
    <row r="117" spans="2:23" ht="18" x14ac:dyDescent="0.35">
      <c r="B117" s="95"/>
      <c r="C117" s="96"/>
      <c r="D117" s="97"/>
      <c r="E117" s="113"/>
      <c r="F117" s="90"/>
      <c r="G117" s="91"/>
      <c r="H117" s="92"/>
      <c r="I117" s="105"/>
      <c r="J117" s="83"/>
      <c r="K117" s="83"/>
      <c r="L117" s="12"/>
      <c r="M117" s="28"/>
      <c r="N117" s="14"/>
      <c r="O117" s="11"/>
      <c r="P117" s="11"/>
      <c r="Q117" s="16"/>
      <c r="R117" s="2"/>
      <c r="S117" s="12"/>
      <c r="T117" s="17"/>
      <c r="U117" s="2"/>
      <c r="V117" s="18"/>
      <c r="W117" s="16"/>
    </row>
    <row r="118" spans="2:23" ht="18" x14ac:dyDescent="0.35">
      <c r="B118" s="95"/>
      <c r="C118" s="96"/>
      <c r="D118" s="97"/>
      <c r="E118" s="113"/>
      <c r="F118" s="90"/>
      <c r="G118" s="91"/>
      <c r="H118" s="92"/>
      <c r="I118" s="105"/>
      <c r="J118" s="83"/>
      <c r="K118" s="83"/>
      <c r="L118" s="12"/>
      <c r="M118" s="28"/>
      <c r="N118" s="14"/>
      <c r="O118" s="11"/>
      <c r="P118" s="11"/>
      <c r="Q118" s="16"/>
      <c r="R118" s="2"/>
      <c r="S118" s="12"/>
      <c r="T118" s="17"/>
      <c r="U118" s="2"/>
      <c r="V118" s="18"/>
      <c r="W118" s="16"/>
    </row>
    <row r="119" spans="2:23" ht="18" x14ac:dyDescent="0.35">
      <c r="B119" s="95"/>
      <c r="C119" s="96"/>
      <c r="D119" s="97"/>
      <c r="E119" s="113"/>
      <c r="F119" s="90"/>
      <c r="G119" s="91"/>
      <c r="H119" s="92"/>
      <c r="I119" s="105"/>
      <c r="J119" s="83"/>
      <c r="K119" s="83"/>
      <c r="L119" s="12"/>
      <c r="M119" s="28"/>
      <c r="N119" s="14"/>
      <c r="O119" s="11"/>
      <c r="P119" s="11"/>
      <c r="Q119" s="16"/>
      <c r="R119" s="2"/>
      <c r="S119" s="12"/>
      <c r="T119" s="17"/>
      <c r="U119" s="2"/>
      <c r="V119" s="18"/>
      <c r="W119" s="16"/>
    </row>
    <row r="120" spans="2:23" ht="18" x14ac:dyDescent="0.35">
      <c r="B120" s="95"/>
      <c r="C120" s="96"/>
      <c r="D120" s="97"/>
      <c r="E120" s="113"/>
      <c r="F120" s="90"/>
      <c r="G120" s="91"/>
      <c r="H120" s="92"/>
      <c r="I120" s="105"/>
      <c r="J120" s="83"/>
      <c r="K120" s="83"/>
      <c r="L120" s="12"/>
      <c r="M120" s="28"/>
      <c r="N120" s="14"/>
      <c r="O120" s="11"/>
      <c r="P120" s="11"/>
      <c r="Q120" s="16"/>
      <c r="R120" s="2"/>
      <c r="S120" s="12"/>
      <c r="T120" s="17"/>
      <c r="U120" s="2"/>
      <c r="V120" s="18"/>
      <c r="W120" s="16"/>
    </row>
    <row r="121" spans="2:23" ht="18" x14ac:dyDescent="0.35">
      <c r="B121" s="95"/>
      <c r="C121" s="96"/>
      <c r="D121" s="97"/>
      <c r="E121" s="113"/>
      <c r="F121" s="90"/>
      <c r="G121" s="91"/>
      <c r="H121" s="92"/>
      <c r="I121" s="105"/>
      <c r="J121" s="83"/>
      <c r="K121" s="83"/>
      <c r="L121" s="12"/>
      <c r="M121" s="28"/>
      <c r="N121" s="14"/>
      <c r="O121" s="11"/>
      <c r="P121" s="11"/>
      <c r="Q121" s="16"/>
      <c r="R121" s="2"/>
      <c r="S121" s="12"/>
      <c r="T121" s="17"/>
      <c r="U121" s="2"/>
      <c r="V121" s="18"/>
      <c r="W121" s="16"/>
    </row>
    <row r="122" spans="2:23" ht="18" x14ac:dyDescent="0.35">
      <c r="B122" s="95"/>
      <c r="C122" s="96"/>
      <c r="D122" s="97"/>
      <c r="E122" s="113"/>
      <c r="F122" s="99"/>
      <c r="G122" s="100"/>
      <c r="H122" s="101"/>
      <c r="I122" s="105"/>
      <c r="J122" s="83"/>
      <c r="K122" s="83"/>
      <c r="L122" s="12"/>
      <c r="M122" s="28"/>
      <c r="N122" s="14"/>
      <c r="O122" s="11"/>
      <c r="P122" s="11"/>
      <c r="Q122" s="16"/>
      <c r="R122" s="2"/>
      <c r="S122" s="12"/>
      <c r="T122" s="17"/>
      <c r="U122" s="2"/>
      <c r="V122" s="18"/>
      <c r="W122" s="16"/>
    </row>
    <row r="123" spans="2:23" ht="18" x14ac:dyDescent="0.35">
      <c r="B123" s="95"/>
      <c r="C123" s="96"/>
      <c r="D123" s="97"/>
      <c r="E123" s="113"/>
      <c r="F123" s="99"/>
      <c r="G123" s="100"/>
      <c r="H123" s="101"/>
      <c r="I123" s="105"/>
      <c r="J123" s="83"/>
      <c r="K123" s="83"/>
      <c r="L123" s="12"/>
      <c r="M123" s="28"/>
      <c r="N123" s="14"/>
      <c r="O123" s="11"/>
      <c r="P123" s="11"/>
      <c r="Q123" s="16"/>
      <c r="R123" s="2"/>
      <c r="S123" s="12"/>
      <c r="T123" s="17"/>
      <c r="U123" s="2"/>
      <c r="V123" s="18"/>
      <c r="W123" s="16"/>
    </row>
    <row r="124" spans="2:23" ht="18" x14ac:dyDescent="0.35">
      <c r="B124" s="95"/>
      <c r="C124" s="96"/>
      <c r="D124" s="97"/>
      <c r="E124" s="113"/>
      <c r="F124" s="99"/>
      <c r="G124" s="100"/>
      <c r="H124" s="101"/>
      <c r="I124" s="105"/>
      <c r="J124" s="83"/>
      <c r="K124" s="83"/>
      <c r="L124" s="12"/>
      <c r="M124" s="28"/>
      <c r="N124" s="14"/>
      <c r="O124" s="11"/>
      <c r="P124" s="11"/>
      <c r="Q124" s="16"/>
      <c r="R124" s="2"/>
      <c r="S124" s="12"/>
      <c r="T124" s="17"/>
      <c r="U124" s="2"/>
      <c r="V124" s="18"/>
      <c r="W124" s="16"/>
    </row>
    <row r="125" spans="2:23" ht="18" x14ac:dyDescent="0.35">
      <c r="B125" s="95"/>
      <c r="C125" s="96"/>
      <c r="D125" s="97"/>
      <c r="E125" s="113"/>
      <c r="F125" s="99"/>
      <c r="G125" s="100"/>
      <c r="H125" s="101"/>
      <c r="I125" s="105"/>
      <c r="J125" s="83"/>
      <c r="K125" s="83"/>
      <c r="L125" s="12"/>
      <c r="M125" s="28"/>
      <c r="N125" s="14"/>
      <c r="O125" s="11"/>
      <c r="P125" s="11"/>
      <c r="Q125" s="16"/>
      <c r="R125" s="2"/>
      <c r="S125" s="12"/>
      <c r="T125" s="17"/>
      <c r="U125" s="2"/>
      <c r="V125" s="18"/>
      <c r="W125" s="16"/>
    </row>
    <row r="126" spans="2:23" ht="18" x14ac:dyDescent="0.35">
      <c r="B126" s="95"/>
      <c r="C126" s="96"/>
      <c r="D126" s="97"/>
      <c r="E126" s="113"/>
      <c r="F126" s="99"/>
      <c r="G126" s="100"/>
      <c r="H126" s="101"/>
      <c r="I126" s="105"/>
      <c r="J126" s="83"/>
      <c r="K126" s="83"/>
      <c r="L126" s="12"/>
      <c r="M126" s="28"/>
      <c r="N126" s="14"/>
      <c r="O126" s="11"/>
      <c r="P126" s="11"/>
      <c r="Q126" s="16"/>
      <c r="R126" s="2"/>
      <c r="S126" s="12"/>
      <c r="T126" s="17"/>
      <c r="U126" s="2"/>
      <c r="V126" s="18"/>
      <c r="W126" s="16"/>
    </row>
    <row r="127" spans="2:23" ht="18" x14ac:dyDescent="0.35">
      <c r="B127" s="95"/>
      <c r="C127" s="96"/>
      <c r="D127" s="97"/>
      <c r="E127" s="113"/>
      <c r="F127" s="99"/>
      <c r="G127" s="100"/>
      <c r="H127" s="101"/>
      <c r="I127" s="105"/>
      <c r="J127" s="83"/>
      <c r="K127" s="83"/>
      <c r="L127" s="12"/>
      <c r="M127" s="28"/>
      <c r="N127" s="14"/>
      <c r="O127" s="11"/>
      <c r="P127" s="11"/>
      <c r="Q127" s="16"/>
      <c r="R127" s="2"/>
      <c r="S127" s="12"/>
      <c r="T127" s="17"/>
      <c r="U127" s="2"/>
      <c r="V127" s="18"/>
      <c r="W127" s="16"/>
    </row>
    <row r="128" spans="2:23" ht="18" x14ac:dyDescent="0.35">
      <c r="B128" s="95"/>
      <c r="C128" s="96"/>
      <c r="D128" s="97"/>
      <c r="E128" s="113"/>
      <c r="F128" s="99"/>
      <c r="G128" s="100"/>
      <c r="H128" s="101"/>
      <c r="I128" s="105"/>
      <c r="J128" s="83"/>
      <c r="K128" s="83"/>
      <c r="L128" s="12"/>
      <c r="M128" s="28"/>
      <c r="N128" s="14"/>
      <c r="O128" s="11"/>
      <c r="P128" s="11"/>
      <c r="Q128" s="16"/>
      <c r="R128" s="2"/>
      <c r="S128" s="12"/>
      <c r="T128" s="17"/>
      <c r="U128" s="2"/>
      <c r="V128" s="18"/>
      <c r="W128" s="16"/>
    </row>
    <row r="129" spans="1:23" ht="18.600000000000001" thickBot="1" x14ac:dyDescent="0.4">
      <c r="B129" s="114"/>
      <c r="C129" s="115"/>
      <c r="D129" s="116"/>
      <c r="E129" s="113"/>
      <c r="F129" s="117"/>
      <c r="G129" s="118"/>
      <c r="H129" s="119"/>
      <c r="I129" s="105"/>
      <c r="J129" s="83"/>
      <c r="K129" s="83"/>
      <c r="L129" s="30"/>
      <c r="M129" s="31"/>
      <c r="N129" s="32"/>
      <c r="O129" s="29"/>
      <c r="P129" s="29"/>
      <c r="Q129" s="33"/>
      <c r="R129" s="2"/>
      <c r="S129" s="30"/>
      <c r="T129" s="34"/>
      <c r="U129" s="2"/>
      <c r="V129" s="35"/>
      <c r="W129" s="33"/>
    </row>
    <row r="130" spans="1:23" ht="18.600000000000001" thickBot="1" x14ac:dyDescent="0.4">
      <c r="A130" s="120" t="s">
        <v>15</v>
      </c>
      <c r="B130" s="121">
        <f>SUM(B9:B129)</f>
        <v>0</v>
      </c>
      <c r="C130" s="122"/>
      <c r="D130" s="121"/>
      <c r="E130" s="123">
        <f>SUM(E9:E129)</f>
        <v>0</v>
      </c>
      <c r="F130" s="124">
        <f>SUM(F9:F129)</f>
        <v>0</v>
      </c>
      <c r="G130" s="82"/>
      <c r="H130" s="125"/>
      <c r="I130" s="125">
        <f>SUM(I9:I129)</f>
        <v>0</v>
      </c>
      <c r="J130" s="83"/>
      <c r="K130" s="83"/>
      <c r="L130" s="126"/>
      <c r="M130" s="126">
        <f>SUM(M9:M129)</f>
        <v>0</v>
      </c>
      <c r="N130" s="127">
        <f>SUM(N9:N129)</f>
        <v>0</v>
      </c>
      <c r="O130" s="82"/>
      <c r="P130" s="82">
        <f>SUM(P9:P129)</f>
        <v>0</v>
      </c>
      <c r="Q130" s="128">
        <f>SUM(Q9:Q129)</f>
        <v>0</v>
      </c>
      <c r="R130" s="83"/>
      <c r="S130" s="84"/>
      <c r="T130" s="129">
        <f>SUM(T9:T129)</f>
        <v>0</v>
      </c>
      <c r="U130" s="83"/>
      <c r="V130" s="82"/>
      <c r="W130" s="130">
        <f>SUM(W9:W129)</f>
        <v>0</v>
      </c>
    </row>
  </sheetData>
  <mergeCells count="8">
    <mergeCell ref="V5:W5"/>
    <mergeCell ref="Y5:Z5"/>
    <mergeCell ref="E1:G1"/>
    <mergeCell ref="B2:C2"/>
    <mergeCell ref="B3:C3"/>
    <mergeCell ref="B5:I5"/>
    <mergeCell ref="L5:Q5"/>
    <mergeCell ref="S5:T5"/>
  </mergeCell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D9052C-05FB-45D8-AA32-00FC3413DDB5}">
  <sheetPr codeName="Sheet40"/>
  <dimension ref="A1:Z130"/>
  <sheetViews>
    <sheetView zoomScale="80" zoomScaleNormal="80" workbookViewId="0">
      <selection activeCell="I15" sqref="I15"/>
    </sheetView>
  </sheetViews>
  <sheetFormatPr defaultColWidth="9.109375" defaultRowHeight="14.4" x14ac:dyDescent="0.3"/>
  <cols>
    <col min="1" max="1" width="15.5546875" style="36" customWidth="1"/>
    <col min="2" max="2" width="15.88671875" style="36" customWidth="1"/>
    <col min="3" max="3" width="20" style="76" customWidth="1"/>
    <col min="4" max="4" width="20.33203125" style="36" customWidth="1"/>
    <col min="5" max="5" width="22.33203125" style="36" customWidth="1"/>
    <col min="6" max="6" width="14.6640625" style="36" customWidth="1"/>
    <col min="7" max="7" width="22" style="76" customWidth="1"/>
    <col min="8" max="8" width="18.88671875" style="36" customWidth="1"/>
    <col min="9" max="9" width="23" style="36" customWidth="1"/>
    <col min="10" max="11" width="9.109375" style="36"/>
    <col min="12" max="12" width="20.6640625" style="76" customWidth="1"/>
    <col min="13" max="13" width="15.44140625" style="76" customWidth="1"/>
    <col min="14" max="14" width="22.6640625" style="36" customWidth="1"/>
    <col min="15" max="15" width="20.5546875" style="76" customWidth="1"/>
    <col min="16" max="16" width="13.33203125" style="76" customWidth="1"/>
    <col min="17" max="17" width="21.5546875" style="76" customWidth="1"/>
    <col min="18" max="18" width="9.109375" style="36"/>
    <col min="19" max="19" width="22" style="76" customWidth="1"/>
    <col min="20" max="20" width="22.33203125" style="76" customWidth="1"/>
    <col min="21" max="21" width="9.109375" style="36"/>
    <col min="22" max="22" width="21.88671875" style="76" customWidth="1"/>
    <col min="23" max="23" width="23.109375" style="76" customWidth="1"/>
    <col min="24" max="24" width="9.109375" style="36"/>
    <col min="25" max="25" width="21.33203125" style="36" customWidth="1"/>
    <col min="26" max="26" width="21.88671875" style="36" customWidth="1"/>
    <col min="27" max="16384" width="9.109375" style="36"/>
  </cols>
  <sheetData>
    <row r="1" spans="2:26" ht="21" x14ac:dyDescent="0.4">
      <c r="E1" s="189">
        <v>44186</v>
      </c>
      <c r="F1" s="189"/>
      <c r="G1" s="189"/>
    </row>
    <row r="2" spans="2:26" ht="18" x14ac:dyDescent="0.35">
      <c r="B2" s="190" t="s">
        <v>0</v>
      </c>
      <c r="C2" s="190"/>
      <c r="D2" s="1"/>
    </row>
    <row r="3" spans="2:26" ht="18" x14ac:dyDescent="0.35">
      <c r="B3" s="190" t="s">
        <v>1</v>
      </c>
      <c r="C3" s="190"/>
      <c r="D3" s="77">
        <f>(D2-E130-I130)</f>
        <v>0</v>
      </c>
    </row>
    <row r="5" spans="2:26" ht="36.6" x14ac:dyDescent="0.7">
      <c r="B5" s="187" t="s">
        <v>2</v>
      </c>
      <c r="C5" s="187"/>
      <c r="D5" s="187"/>
      <c r="E5" s="187"/>
      <c r="F5" s="187"/>
      <c r="G5" s="187"/>
      <c r="H5" s="187"/>
      <c r="I5" s="187"/>
      <c r="L5" s="187" t="s">
        <v>3</v>
      </c>
      <c r="M5" s="187"/>
      <c r="N5" s="187"/>
      <c r="O5" s="187"/>
      <c r="P5" s="187"/>
      <c r="Q5" s="187"/>
      <c r="S5" s="191" t="s">
        <v>4</v>
      </c>
      <c r="T5" s="191"/>
      <c r="V5" s="187" t="s">
        <v>5</v>
      </c>
      <c r="W5" s="187"/>
      <c r="Y5" s="188" t="s">
        <v>105</v>
      </c>
      <c r="Z5" s="187"/>
    </row>
    <row r="7" spans="2:26" ht="15" thickBot="1" x14ac:dyDescent="0.35"/>
    <row r="8" spans="2:26" ht="18.600000000000001" thickBot="1" x14ac:dyDescent="0.4">
      <c r="B8" s="78" t="s">
        <v>6</v>
      </c>
      <c r="C8" s="79" t="s">
        <v>7</v>
      </c>
      <c r="D8" s="78" t="s">
        <v>8</v>
      </c>
      <c r="E8" s="80" t="s">
        <v>9</v>
      </c>
      <c r="F8" s="81" t="s">
        <v>6</v>
      </c>
      <c r="G8" s="81" t="s">
        <v>10</v>
      </c>
      <c r="H8" s="81" t="s">
        <v>8</v>
      </c>
      <c r="I8" s="82" t="s">
        <v>9</v>
      </c>
      <c r="J8" s="83"/>
      <c r="K8" s="83"/>
      <c r="L8" s="84" t="s">
        <v>11</v>
      </c>
      <c r="M8" s="84" t="s">
        <v>6</v>
      </c>
      <c r="N8" s="84" t="s">
        <v>9</v>
      </c>
      <c r="O8" s="82" t="s">
        <v>12</v>
      </c>
      <c r="P8" s="82" t="s">
        <v>6</v>
      </c>
      <c r="Q8" s="82" t="s">
        <v>9</v>
      </c>
      <c r="R8" s="83"/>
      <c r="S8" s="84" t="s">
        <v>13</v>
      </c>
      <c r="T8" s="85" t="s">
        <v>9</v>
      </c>
      <c r="U8" s="83"/>
      <c r="V8" s="82" t="s">
        <v>14</v>
      </c>
      <c r="W8" s="82" t="s">
        <v>9</v>
      </c>
      <c r="Y8" s="146" t="s">
        <v>106</v>
      </c>
      <c r="Z8" s="147" t="s">
        <v>107</v>
      </c>
    </row>
    <row r="9" spans="2:26" ht="18" x14ac:dyDescent="0.35">
      <c r="B9" s="86"/>
      <c r="C9" s="87"/>
      <c r="D9" s="88"/>
      <c r="E9" s="89"/>
      <c r="F9" s="90"/>
      <c r="G9" s="91"/>
      <c r="H9" s="92"/>
      <c r="I9" s="93"/>
      <c r="J9" s="83"/>
      <c r="K9" s="83"/>
      <c r="L9" s="3"/>
      <c r="M9" s="4"/>
      <c r="N9" s="5"/>
      <c r="O9" s="6"/>
      <c r="P9" s="7"/>
      <c r="Q9" s="8"/>
      <c r="R9" s="2"/>
      <c r="S9" s="3"/>
      <c r="T9" s="9"/>
      <c r="U9" s="2"/>
      <c r="V9" s="10"/>
      <c r="W9" s="8"/>
      <c r="Y9" s="148" t="s">
        <v>88</v>
      </c>
      <c r="Z9" s="151">
        <f>SUMIF($C$9:$C$129, Y9, $B$9:$B$129)</f>
        <v>0</v>
      </c>
    </row>
    <row r="10" spans="2:26" ht="18" x14ac:dyDescent="0.35">
      <c r="B10" s="95"/>
      <c r="C10" s="96"/>
      <c r="D10" s="97"/>
      <c r="E10" s="98"/>
      <c r="F10" s="90"/>
      <c r="G10" s="91"/>
      <c r="H10" s="92"/>
      <c r="I10" s="93"/>
      <c r="J10" s="83"/>
      <c r="K10" s="83"/>
      <c r="L10" s="12"/>
      <c r="M10" s="13"/>
      <c r="N10" s="14"/>
      <c r="O10" s="11"/>
      <c r="P10" s="15"/>
      <c r="Q10" s="16"/>
      <c r="R10" s="2"/>
      <c r="S10" s="12"/>
      <c r="T10" s="17"/>
      <c r="U10" s="2"/>
      <c r="V10" s="18"/>
      <c r="W10" s="8"/>
      <c r="Y10" s="149" t="s">
        <v>76</v>
      </c>
      <c r="Z10" s="151">
        <f t="shared" ref="Z10:Z11" si="0">SUMIF($C$9:$C$129, Y10, $B$9:$B$129)</f>
        <v>0</v>
      </c>
    </row>
    <row r="11" spans="2:26" ht="18" x14ac:dyDescent="0.35">
      <c r="B11" s="95"/>
      <c r="C11" s="96"/>
      <c r="D11" s="97"/>
      <c r="E11" s="98"/>
      <c r="F11" s="90"/>
      <c r="G11" s="91"/>
      <c r="H11" s="92"/>
      <c r="I11" s="93"/>
      <c r="J11" s="83"/>
      <c r="K11" s="83"/>
      <c r="L11" s="12"/>
      <c r="M11" s="13"/>
      <c r="N11" s="14"/>
      <c r="O11" s="11"/>
      <c r="P11" s="15"/>
      <c r="Q11" s="16"/>
      <c r="R11" s="2"/>
      <c r="S11" s="12"/>
      <c r="T11" s="17"/>
      <c r="U11" s="2"/>
      <c r="V11" s="18"/>
      <c r="W11" s="8"/>
      <c r="Y11" s="149" t="s">
        <v>77</v>
      </c>
      <c r="Z11" s="151">
        <f t="shared" si="0"/>
        <v>0</v>
      </c>
    </row>
    <row r="12" spans="2:26" ht="18" x14ac:dyDescent="0.35">
      <c r="B12" s="95"/>
      <c r="C12" s="96"/>
      <c r="D12" s="97"/>
      <c r="E12" s="98"/>
      <c r="F12" s="90"/>
      <c r="G12" s="91"/>
      <c r="H12" s="92"/>
      <c r="I12" s="93"/>
      <c r="J12" s="83"/>
      <c r="K12" s="83"/>
      <c r="L12" s="12"/>
      <c r="M12" s="13"/>
      <c r="N12" s="14"/>
      <c r="O12" s="11"/>
      <c r="P12" s="15"/>
      <c r="Q12" s="16"/>
      <c r="R12" s="2"/>
      <c r="S12" s="12"/>
      <c r="T12" s="17"/>
      <c r="U12" s="2"/>
      <c r="V12" s="18"/>
      <c r="W12" s="8"/>
      <c r="Y12" s="149" t="s">
        <v>89</v>
      </c>
      <c r="Z12" s="152">
        <f>SUMIF($G$9:$G$129, Y12, $F$9:$F$129)</f>
        <v>0</v>
      </c>
    </row>
    <row r="13" spans="2:26" ht="18" x14ac:dyDescent="0.35">
      <c r="B13" s="95"/>
      <c r="C13" s="96"/>
      <c r="D13" s="97"/>
      <c r="E13" s="98"/>
      <c r="F13" s="90"/>
      <c r="G13" s="91"/>
      <c r="H13" s="92"/>
      <c r="I13" s="93"/>
      <c r="J13" s="83"/>
      <c r="K13" s="83"/>
      <c r="L13" s="12"/>
      <c r="M13" s="13"/>
      <c r="N13" s="14"/>
      <c r="O13" s="11"/>
      <c r="P13" s="15"/>
      <c r="Q13" s="16"/>
      <c r="R13" s="2"/>
      <c r="S13" s="12"/>
      <c r="T13" s="17"/>
      <c r="U13" s="2"/>
      <c r="V13" s="18"/>
      <c r="W13" s="8"/>
      <c r="Y13" s="149" t="s">
        <v>20</v>
      </c>
      <c r="Z13" s="152">
        <f t="shared" ref="Z13:Z76" si="1">SUMIF($G$9:$G$129, Y13, $F$9:$F$129)</f>
        <v>0</v>
      </c>
    </row>
    <row r="14" spans="2:26" ht="18" x14ac:dyDescent="0.35">
      <c r="B14" s="95"/>
      <c r="C14" s="96"/>
      <c r="D14" s="97"/>
      <c r="E14" s="98"/>
      <c r="F14" s="90"/>
      <c r="G14" s="91"/>
      <c r="H14" s="92"/>
      <c r="I14" s="93"/>
      <c r="J14" s="83"/>
      <c r="K14" s="83"/>
      <c r="L14" s="12"/>
      <c r="M14" s="13"/>
      <c r="N14" s="14"/>
      <c r="O14" s="11"/>
      <c r="P14" s="15"/>
      <c r="Q14" s="16"/>
      <c r="R14" s="2"/>
      <c r="S14" s="12"/>
      <c r="T14" s="17"/>
      <c r="U14" s="2"/>
      <c r="V14" s="18"/>
      <c r="W14" s="8"/>
      <c r="Y14" s="149" t="s">
        <v>19</v>
      </c>
      <c r="Z14" s="152">
        <f t="shared" si="1"/>
        <v>0</v>
      </c>
    </row>
    <row r="15" spans="2:26" ht="18" x14ac:dyDescent="0.35">
      <c r="B15" s="95"/>
      <c r="C15" s="96"/>
      <c r="D15" s="97"/>
      <c r="E15" s="98"/>
      <c r="F15" s="90"/>
      <c r="G15" s="91"/>
      <c r="H15" s="92"/>
      <c r="I15" s="93"/>
      <c r="J15" s="83"/>
      <c r="K15" s="83"/>
      <c r="L15" s="12"/>
      <c r="M15" s="13"/>
      <c r="N15" s="14"/>
      <c r="O15" s="11"/>
      <c r="P15" s="15"/>
      <c r="Q15" s="16"/>
      <c r="R15" s="2"/>
      <c r="S15" s="12"/>
      <c r="T15" s="17"/>
      <c r="U15" s="2"/>
      <c r="V15" s="18"/>
      <c r="W15" s="8"/>
      <c r="Y15" s="149" t="s">
        <v>18</v>
      </c>
      <c r="Z15" s="152">
        <f t="shared" si="1"/>
        <v>0</v>
      </c>
    </row>
    <row r="16" spans="2:26" ht="18" x14ac:dyDescent="0.35">
      <c r="B16" s="95"/>
      <c r="C16" s="96"/>
      <c r="D16" s="97"/>
      <c r="E16" s="98"/>
      <c r="F16" s="90"/>
      <c r="G16" s="91"/>
      <c r="H16" s="92"/>
      <c r="I16" s="93"/>
      <c r="J16" s="83"/>
      <c r="K16" s="83"/>
      <c r="L16" s="12"/>
      <c r="M16" s="13"/>
      <c r="N16" s="14"/>
      <c r="O16" s="11"/>
      <c r="P16" s="15"/>
      <c r="Q16" s="16"/>
      <c r="R16" s="2"/>
      <c r="S16" s="12"/>
      <c r="T16" s="17"/>
      <c r="U16" s="2"/>
      <c r="V16" s="18"/>
      <c r="W16" s="8"/>
      <c r="Y16" s="149" t="s">
        <v>22</v>
      </c>
      <c r="Z16" s="152">
        <f t="shared" si="1"/>
        <v>0</v>
      </c>
    </row>
    <row r="17" spans="2:26" ht="18" x14ac:dyDescent="0.35">
      <c r="B17" s="95"/>
      <c r="C17" s="96"/>
      <c r="D17" s="97"/>
      <c r="E17" s="98"/>
      <c r="F17" s="90"/>
      <c r="G17" s="91"/>
      <c r="H17" s="92"/>
      <c r="I17" s="93"/>
      <c r="J17" s="83"/>
      <c r="K17" s="83"/>
      <c r="L17" s="12"/>
      <c r="M17" s="13"/>
      <c r="N17" s="14"/>
      <c r="O17" s="11"/>
      <c r="P17" s="15"/>
      <c r="Q17" s="16"/>
      <c r="R17" s="2"/>
      <c r="S17" s="12"/>
      <c r="T17" s="17"/>
      <c r="U17" s="2"/>
      <c r="V17" s="18"/>
      <c r="W17" s="8"/>
      <c r="Y17" s="149" t="s">
        <v>67</v>
      </c>
      <c r="Z17" s="152">
        <f t="shared" si="1"/>
        <v>0</v>
      </c>
    </row>
    <row r="18" spans="2:26" ht="18" x14ac:dyDescent="0.35">
      <c r="B18" s="95"/>
      <c r="C18" s="96"/>
      <c r="D18" s="97"/>
      <c r="E18" s="98"/>
      <c r="F18" s="90"/>
      <c r="G18" s="91"/>
      <c r="H18" s="92"/>
      <c r="I18" s="93"/>
      <c r="J18" s="83"/>
      <c r="K18" s="83"/>
      <c r="L18" s="12"/>
      <c r="M18" s="13"/>
      <c r="N18" s="14"/>
      <c r="O18" s="11"/>
      <c r="P18" s="15"/>
      <c r="Q18" s="16"/>
      <c r="R18" s="2"/>
      <c r="S18" s="12"/>
      <c r="T18" s="17"/>
      <c r="U18" s="2"/>
      <c r="V18" s="18"/>
      <c r="W18" s="8"/>
      <c r="Y18" s="149" t="s">
        <v>90</v>
      </c>
      <c r="Z18" s="152">
        <f t="shared" si="1"/>
        <v>0</v>
      </c>
    </row>
    <row r="19" spans="2:26" ht="18" x14ac:dyDescent="0.35">
      <c r="B19" s="95"/>
      <c r="C19" s="96"/>
      <c r="D19" s="97"/>
      <c r="E19" s="98"/>
      <c r="F19" s="90"/>
      <c r="G19" s="91"/>
      <c r="H19" s="92"/>
      <c r="I19" s="93"/>
      <c r="J19" s="83"/>
      <c r="K19" s="83"/>
      <c r="L19" s="12"/>
      <c r="M19" s="13"/>
      <c r="N19" s="14"/>
      <c r="O19" s="11"/>
      <c r="P19" s="15"/>
      <c r="Q19" s="16"/>
      <c r="R19" s="2"/>
      <c r="S19" s="12"/>
      <c r="T19" s="17"/>
      <c r="U19" s="2"/>
      <c r="V19" s="18"/>
      <c r="W19" s="8"/>
      <c r="Y19" s="149" t="s">
        <v>91</v>
      </c>
      <c r="Z19" s="152">
        <f t="shared" si="1"/>
        <v>0</v>
      </c>
    </row>
    <row r="20" spans="2:26" ht="18" x14ac:dyDescent="0.35">
      <c r="B20" s="95"/>
      <c r="C20" s="96"/>
      <c r="D20" s="97"/>
      <c r="E20" s="98"/>
      <c r="F20" s="90"/>
      <c r="G20" s="91"/>
      <c r="H20" s="92"/>
      <c r="I20" s="93"/>
      <c r="J20" s="83"/>
      <c r="K20" s="83"/>
      <c r="L20" s="12"/>
      <c r="M20" s="13"/>
      <c r="N20" s="14"/>
      <c r="O20" s="11"/>
      <c r="P20" s="15"/>
      <c r="Q20" s="16"/>
      <c r="R20" s="2"/>
      <c r="S20" s="12"/>
      <c r="T20" s="17"/>
      <c r="U20" s="2"/>
      <c r="V20" s="18"/>
      <c r="W20" s="8"/>
      <c r="Y20" s="149" t="s">
        <v>92</v>
      </c>
      <c r="Z20" s="152">
        <f t="shared" si="1"/>
        <v>0</v>
      </c>
    </row>
    <row r="21" spans="2:26" ht="18" x14ac:dyDescent="0.35">
      <c r="B21" s="95"/>
      <c r="C21" s="96"/>
      <c r="D21" s="97"/>
      <c r="E21" s="98"/>
      <c r="F21" s="90"/>
      <c r="G21" s="91"/>
      <c r="H21" s="92"/>
      <c r="I21" s="93"/>
      <c r="J21" s="83"/>
      <c r="K21" s="83"/>
      <c r="L21" s="12"/>
      <c r="M21" s="13"/>
      <c r="N21" s="14"/>
      <c r="O21" s="11"/>
      <c r="P21" s="15"/>
      <c r="Q21" s="16"/>
      <c r="R21" s="2"/>
      <c r="S21" s="12"/>
      <c r="T21" s="17"/>
      <c r="U21" s="2"/>
      <c r="V21" s="18"/>
      <c r="W21" s="8"/>
      <c r="Y21" s="149" t="s">
        <v>68</v>
      </c>
      <c r="Z21" s="152">
        <f t="shared" si="1"/>
        <v>0</v>
      </c>
    </row>
    <row r="22" spans="2:26" ht="18" x14ac:dyDescent="0.35">
      <c r="B22" s="95"/>
      <c r="C22" s="96"/>
      <c r="D22" s="97"/>
      <c r="E22" s="98"/>
      <c r="F22" s="90"/>
      <c r="G22" s="91"/>
      <c r="H22" s="92"/>
      <c r="I22" s="93"/>
      <c r="J22" s="83"/>
      <c r="K22" s="83"/>
      <c r="L22" s="12"/>
      <c r="M22" s="13"/>
      <c r="N22" s="14"/>
      <c r="O22" s="11"/>
      <c r="P22" s="15"/>
      <c r="Q22" s="16"/>
      <c r="R22" s="2"/>
      <c r="S22" s="12"/>
      <c r="T22" s="17"/>
      <c r="U22" s="2"/>
      <c r="V22" s="18"/>
      <c r="W22" s="8"/>
      <c r="Y22" s="149" t="s">
        <v>93</v>
      </c>
      <c r="Z22" s="152">
        <f t="shared" si="1"/>
        <v>0</v>
      </c>
    </row>
    <row r="23" spans="2:26" ht="18" x14ac:dyDescent="0.35">
      <c r="B23" s="95"/>
      <c r="C23" s="96"/>
      <c r="D23" s="97"/>
      <c r="E23" s="98"/>
      <c r="F23" s="90"/>
      <c r="G23" s="91"/>
      <c r="H23" s="92"/>
      <c r="I23" s="93"/>
      <c r="J23" s="83"/>
      <c r="K23" s="83"/>
      <c r="L23" s="12"/>
      <c r="M23" s="13"/>
      <c r="N23" s="14"/>
      <c r="O23" s="11"/>
      <c r="P23" s="15"/>
      <c r="Q23" s="16"/>
      <c r="R23" s="2"/>
      <c r="S23" s="12"/>
      <c r="T23" s="17"/>
      <c r="U23" s="2"/>
      <c r="V23" s="18"/>
      <c r="W23" s="8"/>
      <c r="Y23" s="149" t="s">
        <v>23</v>
      </c>
      <c r="Z23" s="152">
        <f t="shared" si="1"/>
        <v>0</v>
      </c>
    </row>
    <row r="24" spans="2:26" ht="18" x14ac:dyDescent="0.35">
      <c r="B24" s="95"/>
      <c r="C24" s="96"/>
      <c r="D24" s="97"/>
      <c r="E24" s="98"/>
      <c r="F24" s="90"/>
      <c r="G24" s="91"/>
      <c r="H24" s="92"/>
      <c r="I24" s="93"/>
      <c r="J24" s="83"/>
      <c r="K24" s="83"/>
      <c r="L24" s="12"/>
      <c r="M24" s="13"/>
      <c r="N24" s="14"/>
      <c r="O24" s="11"/>
      <c r="P24" s="15"/>
      <c r="Q24" s="16"/>
      <c r="R24" s="2"/>
      <c r="S24" s="12"/>
      <c r="T24" s="17"/>
      <c r="U24" s="2"/>
      <c r="V24" s="18"/>
      <c r="W24" s="8"/>
      <c r="Y24" s="149" t="s">
        <v>24</v>
      </c>
      <c r="Z24" s="152">
        <f t="shared" si="1"/>
        <v>0</v>
      </c>
    </row>
    <row r="25" spans="2:26" ht="18" x14ac:dyDescent="0.35">
      <c r="B25" s="95"/>
      <c r="C25" s="96"/>
      <c r="D25" s="97"/>
      <c r="E25" s="98"/>
      <c r="F25" s="90"/>
      <c r="G25" s="91"/>
      <c r="H25" s="92"/>
      <c r="I25" s="93"/>
      <c r="J25" s="83"/>
      <c r="K25" s="83"/>
      <c r="L25" s="12"/>
      <c r="M25" s="13"/>
      <c r="N25" s="14"/>
      <c r="O25" s="11"/>
      <c r="P25" s="15"/>
      <c r="Q25" s="16"/>
      <c r="R25" s="2"/>
      <c r="S25" s="12"/>
      <c r="T25" s="17"/>
      <c r="U25" s="2"/>
      <c r="V25" s="18"/>
      <c r="W25" s="8"/>
      <c r="Y25" s="149" t="s">
        <v>25</v>
      </c>
      <c r="Z25" s="152">
        <f t="shared" si="1"/>
        <v>0</v>
      </c>
    </row>
    <row r="26" spans="2:26" ht="18" x14ac:dyDescent="0.35">
      <c r="B26" s="95"/>
      <c r="C26" s="96"/>
      <c r="D26" s="97"/>
      <c r="E26" s="98"/>
      <c r="F26" s="90"/>
      <c r="G26" s="91"/>
      <c r="H26" s="92"/>
      <c r="I26" s="93"/>
      <c r="J26" s="83"/>
      <c r="K26" s="83"/>
      <c r="L26" s="12"/>
      <c r="M26" s="13"/>
      <c r="N26" s="14"/>
      <c r="O26" s="11"/>
      <c r="P26" s="15"/>
      <c r="Q26" s="16"/>
      <c r="R26" s="2"/>
      <c r="S26" s="12"/>
      <c r="T26" s="17"/>
      <c r="U26" s="2"/>
      <c r="V26" s="18"/>
      <c r="W26" s="8"/>
      <c r="Y26" s="149" t="s">
        <v>98</v>
      </c>
      <c r="Z26" s="152">
        <f t="shared" si="1"/>
        <v>0</v>
      </c>
    </row>
    <row r="27" spans="2:26" ht="18" x14ac:dyDescent="0.35">
      <c r="B27" s="95"/>
      <c r="C27" s="96"/>
      <c r="D27" s="97"/>
      <c r="E27" s="98"/>
      <c r="F27" s="90"/>
      <c r="G27" s="91"/>
      <c r="H27" s="92"/>
      <c r="I27" s="93"/>
      <c r="J27" s="83"/>
      <c r="K27" s="83"/>
      <c r="L27" s="12"/>
      <c r="M27" s="13"/>
      <c r="N27" s="14"/>
      <c r="O27" s="11"/>
      <c r="P27" s="15"/>
      <c r="Q27" s="16"/>
      <c r="R27" s="2"/>
      <c r="S27" s="12"/>
      <c r="T27" s="17"/>
      <c r="U27" s="2"/>
      <c r="V27" s="18"/>
      <c r="W27" s="8"/>
      <c r="Y27" s="149" t="s">
        <v>94</v>
      </c>
      <c r="Z27" s="152">
        <f t="shared" si="1"/>
        <v>0</v>
      </c>
    </row>
    <row r="28" spans="2:26" ht="18" x14ac:dyDescent="0.35">
      <c r="B28" s="95"/>
      <c r="C28" s="96"/>
      <c r="D28" s="97"/>
      <c r="E28" s="98"/>
      <c r="F28" s="90"/>
      <c r="G28" s="91"/>
      <c r="H28" s="92"/>
      <c r="I28" s="93"/>
      <c r="J28" s="83"/>
      <c r="K28" s="83"/>
      <c r="L28" s="12"/>
      <c r="M28" s="13"/>
      <c r="N28" s="14"/>
      <c r="O28" s="11"/>
      <c r="P28" s="15"/>
      <c r="Q28" s="16"/>
      <c r="R28" s="2"/>
      <c r="S28" s="12"/>
      <c r="T28" s="17"/>
      <c r="U28" s="2"/>
      <c r="V28" s="18"/>
      <c r="W28" s="8"/>
      <c r="Y28" s="149" t="s">
        <v>42</v>
      </c>
      <c r="Z28" s="152">
        <f t="shared" si="1"/>
        <v>0</v>
      </c>
    </row>
    <row r="29" spans="2:26" ht="18" x14ac:dyDescent="0.35">
      <c r="B29" s="95"/>
      <c r="C29" s="96"/>
      <c r="D29" s="97"/>
      <c r="E29" s="98"/>
      <c r="F29" s="90"/>
      <c r="G29" s="91"/>
      <c r="H29" s="92"/>
      <c r="I29" s="93"/>
      <c r="J29" s="83"/>
      <c r="K29" s="83"/>
      <c r="L29" s="12"/>
      <c r="M29" s="13"/>
      <c r="N29" s="14"/>
      <c r="O29" s="11"/>
      <c r="P29" s="15"/>
      <c r="Q29" s="16"/>
      <c r="R29" s="2"/>
      <c r="S29" s="12"/>
      <c r="T29" s="17"/>
      <c r="U29" s="2"/>
      <c r="V29" s="18"/>
      <c r="W29" s="8"/>
      <c r="Y29" s="149" t="s">
        <v>39</v>
      </c>
      <c r="Z29" s="152">
        <f t="shared" si="1"/>
        <v>0</v>
      </c>
    </row>
    <row r="30" spans="2:26" ht="18" x14ac:dyDescent="0.35">
      <c r="B30" s="95"/>
      <c r="C30" s="96"/>
      <c r="D30" s="97"/>
      <c r="E30" s="98"/>
      <c r="F30" s="90"/>
      <c r="G30" s="91"/>
      <c r="H30" s="92"/>
      <c r="I30" s="93"/>
      <c r="J30" s="83"/>
      <c r="K30" s="83"/>
      <c r="L30" s="12"/>
      <c r="M30" s="13"/>
      <c r="N30" s="14"/>
      <c r="O30" s="11"/>
      <c r="P30" s="15"/>
      <c r="Q30" s="16"/>
      <c r="R30" s="2"/>
      <c r="S30" s="12"/>
      <c r="T30" s="17"/>
      <c r="U30" s="2"/>
      <c r="V30" s="18"/>
      <c r="W30" s="8"/>
      <c r="Y30" s="149" t="s">
        <v>99</v>
      </c>
      <c r="Z30" s="152">
        <f t="shared" si="1"/>
        <v>0</v>
      </c>
    </row>
    <row r="31" spans="2:26" ht="18" x14ac:dyDescent="0.35">
      <c r="B31" s="95"/>
      <c r="C31" s="96"/>
      <c r="D31" s="97"/>
      <c r="E31" s="98"/>
      <c r="F31" s="90"/>
      <c r="G31" s="91"/>
      <c r="H31" s="92"/>
      <c r="I31" s="93"/>
      <c r="J31" s="83"/>
      <c r="K31" s="83"/>
      <c r="L31" s="12"/>
      <c r="M31" s="13"/>
      <c r="N31" s="14"/>
      <c r="O31" s="11"/>
      <c r="P31" s="15"/>
      <c r="Q31" s="16"/>
      <c r="R31" s="2"/>
      <c r="S31" s="12"/>
      <c r="T31" s="17"/>
      <c r="U31" s="2"/>
      <c r="V31" s="18"/>
      <c r="W31" s="8"/>
      <c r="Y31" s="149" t="s">
        <v>95</v>
      </c>
      <c r="Z31" s="152">
        <f t="shared" si="1"/>
        <v>0</v>
      </c>
    </row>
    <row r="32" spans="2:26" ht="18" x14ac:dyDescent="0.35">
      <c r="B32" s="95"/>
      <c r="C32" s="96"/>
      <c r="D32" s="97"/>
      <c r="E32" s="98"/>
      <c r="F32" s="90"/>
      <c r="G32" s="91"/>
      <c r="H32" s="92"/>
      <c r="I32" s="93"/>
      <c r="J32" s="83"/>
      <c r="K32" s="83"/>
      <c r="L32" s="12"/>
      <c r="M32" s="13"/>
      <c r="N32" s="14"/>
      <c r="O32" s="11"/>
      <c r="P32" s="15"/>
      <c r="Q32" s="16"/>
      <c r="R32" s="2"/>
      <c r="S32" s="12"/>
      <c r="T32" s="17"/>
      <c r="U32" s="2"/>
      <c r="V32" s="18"/>
      <c r="W32" s="8"/>
      <c r="Y32" s="149" t="s">
        <v>97</v>
      </c>
      <c r="Z32" s="152">
        <f t="shared" si="1"/>
        <v>0</v>
      </c>
    </row>
    <row r="33" spans="2:26" ht="18" x14ac:dyDescent="0.35">
      <c r="B33" s="95"/>
      <c r="C33" s="96"/>
      <c r="D33" s="97"/>
      <c r="E33" s="98"/>
      <c r="F33" s="90"/>
      <c r="G33" s="91"/>
      <c r="H33" s="92"/>
      <c r="I33" s="93"/>
      <c r="J33" s="83"/>
      <c r="K33" s="83"/>
      <c r="L33" s="12"/>
      <c r="M33" s="13"/>
      <c r="N33" s="14"/>
      <c r="O33" s="11"/>
      <c r="P33" s="15"/>
      <c r="Q33" s="16"/>
      <c r="R33" s="2"/>
      <c r="S33" s="12"/>
      <c r="T33" s="17"/>
      <c r="U33" s="2"/>
      <c r="V33" s="18"/>
      <c r="W33" s="8"/>
      <c r="Y33" s="149" t="s">
        <v>43</v>
      </c>
      <c r="Z33" s="152">
        <f t="shared" si="1"/>
        <v>0</v>
      </c>
    </row>
    <row r="34" spans="2:26" ht="18" x14ac:dyDescent="0.35">
      <c r="B34" s="95"/>
      <c r="C34" s="96"/>
      <c r="D34" s="97"/>
      <c r="E34" s="98"/>
      <c r="F34" s="90"/>
      <c r="G34" s="91"/>
      <c r="H34" s="92"/>
      <c r="I34" s="93"/>
      <c r="J34" s="83"/>
      <c r="K34" s="83"/>
      <c r="L34" s="12"/>
      <c r="M34" s="13"/>
      <c r="N34" s="14"/>
      <c r="O34" s="11"/>
      <c r="P34" s="15"/>
      <c r="Q34" s="16"/>
      <c r="R34" s="2"/>
      <c r="S34" s="12"/>
      <c r="T34" s="17"/>
      <c r="U34" s="2"/>
      <c r="V34" s="18"/>
      <c r="W34" s="8"/>
      <c r="Y34" s="149" t="s">
        <v>32</v>
      </c>
      <c r="Z34" s="152">
        <f t="shared" si="1"/>
        <v>0</v>
      </c>
    </row>
    <row r="35" spans="2:26" ht="18" x14ac:dyDescent="0.35">
      <c r="B35" s="95"/>
      <c r="C35" s="96"/>
      <c r="D35" s="97"/>
      <c r="E35" s="98"/>
      <c r="F35" s="90"/>
      <c r="G35" s="91"/>
      <c r="H35" s="92"/>
      <c r="I35" s="93"/>
      <c r="J35" s="83"/>
      <c r="K35" s="83"/>
      <c r="L35" s="12"/>
      <c r="M35" s="13"/>
      <c r="N35" s="14"/>
      <c r="O35" s="11"/>
      <c r="P35" s="15"/>
      <c r="Q35" s="16"/>
      <c r="R35" s="2"/>
      <c r="S35" s="12"/>
      <c r="T35" s="17"/>
      <c r="U35" s="2"/>
      <c r="V35" s="18"/>
      <c r="W35" s="8"/>
      <c r="Y35" s="149" t="s">
        <v>33</v>
      </c>
      <c r="Z35" s="152">
        <f t="shared" si="1"/>
        <v>0</v>
      </c>
    </row>
    <row r="36" spans="2:26" ht="18" x14ac:dyDescent="0.35">
      <c r="B36" s="95"/>
      <c r="C36" s="96"/>
      <c r="D36" s="97"/>
      <c r="E36" s="98"/>
      <c r="F36" s="90"/>
      <c r="G36" s="91"/>
      <c r="H36" s="92"/>
      <c r="I36" s="93"/>
      <c r="J36" s="83"/>
      <c r="K36" s="83"/>
      <c r="L36" s="12"/>
      <c r="M36" s="13"/>
      <c r="N36" s="14"/>
      <c r="O36" s="11"/>
      <c r="P36" s="15"/>
      <c r="Q36" s="16"/>
      <c r="R36" s="2"/>
      <c r="S36" s="12"/>
      <c r="T36" s="17"/>
      <c r="U36" s="2"/>
      <c r="V36" s="18"/>
      <c r="W36" s="8"/>
      <c r="Y36" s="149" t="s">
        <v>30</v>
      </c>
      <c r="Z36" s="152">
        <f t="shared" si="1"/>
        <v>0</v>
      </c>
    </row>
    <row r="37" spans="2:26" ht="18" x14ac:dyDescent="0.35">
      <c r="B37" s="95"/>
      <c r="C37" s="96"/>
      <c r="D37" s="97"/>
      <c r="E37" s="98"/>
      <c r="F37" s="90"/>
      <c r="G37" s="91"/>
      <c r="H37" s="92"/>
      <c r="I37" s="93"/>
      <c r="J37" s="83"/>
      <c r="K37" s="83"/>
      <c r="L37" s="12"/>
      <c r="M37" s="13"/>
      <c r="N37" s="14"/>
      <c r="O37" s="11"/>
      <c r="P37" s="15"/>
      <c r="Q37" s="16"/>
      <c r="R37" s="2"/>
      <c r="S37" s="12"/>
      <c r="T37" s="17"/>
      <c r="U37" s="2"/>
      <c r="V37" s="18"/>
      <c r="W37" s="8"/>
      <c r="Y37" s="149" t="s">
        <v>31</v>
      </c>
      <c r="Z37" s="152">
        <f t="shared" si="1"/>
        <v>0</v>
      </c>
    </row>
    <row r="38" spans="2:26" ht="18" x14ac:dyDescent="0.35">
      <c r="B38" s="95"/>
      <c r="C38" s="96"/>
      <c r="D38" s="97"/>
      <c r="E38" s="98"/>
      <c r="F38" s="90"/>
      <c r="G38" s="91"/>
      <c r="H38" s="92"/>
      <c r="I38" s="93"/>
      <c r="J38" s="83"/>
      <c r="K38" s="83"/>
      <c r="L38" s="12"/>
      <c r="M38" s="13"/>
      <c r="N38" s="14"/>
      <c r="O38" s="11"/>
      <c r="P38" s="15"/>
      <c r="Q38" s="16"/>
      <c r="R38" s="2"/>
      <c r="S38" s="12"/>
      <c r="T38" s="17"/>
      <c r="U38" s="2"/>
      <c r="V38" s="18"/>
      <c r="W38" s="8"/>
      <c r="Y38" s="149" t="s">
        <v>84</v>
      </c>
      <c r="Z38" s="152">
        <f t="shared" si="1"/>
        <v>0</v>
      </c>
    </row>
    <row r="39" spans="2:26" ht="18" x14ac:dyDescent="0.35">
      <c r="B39" s="95"/>
      <c r="C39" s="96"/>
      <c r="D39" s="97"/>
      <c r="E39" s="98"/>
      <c r="F39" s="90"/>
      <c r="G39" s="91"/>
      <c r="H39" s="92"/>
      <c r="I39" s="93"/>
      <c r="J39" s="83"/>
      <c r="K39" s="83"/>
      <c r="L39" s="12"/>
      <c r="M39" s="13"/>
      <c r="N39" s="14"/>
      <c r="O39" s="11"/>
      <c r="P39" s="15"/>
      <c r="Q39" s="16"/>
      <c r="R39" s="2"/>
      <c r="S39" s="12"/>
      <c r="T39" s="17"/>
      <c r="U39" s="2"/>
      <c r="V39" s="18"/>
      <c r="W39" s="8"/>
      <c r="Y39" s="149" t="s">
        <v>85</v>
      </c>
      <c r="Z39" s="152">
        <f t="shared" si="1"/>
        <v>0</v>
      </c>
    </row>
    <row r="40" spans="2:26" ht="18" x14ac:dyDescent="0.35">
      <c r="B40" s="95"/>
      <c r="C40" s="96"/>
      <c r="D40" s="97"/>
      <c r="E40" s="98"/>
      <c r="F40" s="90"/>
      <c r="G40" s="91"/>
      <c r="H40" s="92"/>
      <c r="I40" s="93"/>
      <c r="J40" s="83"/>
      <c r="K40" s="83"/>
      <c r="L40" s="12"/>
      <c r="M40" s="13"/>
      <c r="N40" s="14"/>
      <c r="O40" s="11"/>
      <c r="P40" s="15"/>
      <c r="Q40" s="16"/>
      <c r="R40" s="2"/>
      <c r="S40" s="12"/>
      <c r="T40" s="17"/>
      <c r="U40" s="2"/>
      <c r="V40" s="18"/>
      <c r="W40" s="8"/>
      <c r="Y40" s="149" t="s">
        <v>86</v>
      </c>
      <c r="Z40" s="152">
        <f t="shared" si="1"/>
        <v>0</v>
      </c>
    </row>
    <row r="41" spans="2:26" ht="18" x14ac:dyDescent="0.35">
      <c r="B41" s="95"/>
      <c r="C41" s="96"/>
      <c r="D41" s="97"/>
      <c r="E41" s="98"/>
      <c r="F41" s="90"/>
      <c r="G41" s="91"/>
      <c r="H41" s="92"/>
      <c r="I41" s="93"/>
      <c r="J41" s="83"/>
      <c r="K41" s="83"/>
      <c r="L41" s="12"/>
      <c r="M41" s="13"/>
      <c r="N41" s="14"/>
      <c r="O41" s="11"/>
      <c r="P41" s="15"/>
      <c r="Q41" s="16"/>
      <c r="R41" s="2"/>
      <c r="S41" s="12"/>
      <c r="T41" s="17"/>
      <c r="U41" s="2"/>
      <c r="V41" s="18"/>
      <c r="W41" s="8"/>
      <c r="Y41" s="149" t="s">
        <v>87</v>
      </c>
      <c r="Z41" s="152">
        <f t="shared" si="1"/>
        <v>0</v>
      </c>
    </row>
    <row r="42" spans="2:26" ht="18" x14ac:dyDescent="0.35">
      <c r="B42" s="95"/>
      <c r="C42" s="96"/>
      <c r="D42" s="97"/>
      <c r="E42" s="98"/>
      <c r="F42" s="90"/>
      <c r="G42" s="91"/>
      <c r="H42" s="92"/>
      <c r="I42" s="93"/>
      <c r="J42" s="83"/>
      <c r="K42" s="83"/>
      <c r="L42" s="12"/>
      <c r="M42" s="13"/>
      <c r="N42" s="14"/>
      <c r="O42" s="11"/>
      <c r="P42" s="15"/>
      <c r="Q42" s="16"/>
      <c r="R42" s="2"/>
      <c r="S42" s="12"/>
      <c r="T42" s="17"/>
      <c r="U42" s="2"/>
      <c r="V42" s="18"/>
      <c r="W42" s="8"/>
      <c r="Y42" s="149" t="s">
        <v>46</v>
      </c>
      <c r="Z42" s="152">
        <f t="shared" si="1"/>
        <v>0</v>
      </c>
    </row>
    <row r="43" spans="2:26" ht="18" x14ac:dyDescent="0.35">
      <c r="B43" s="95"/>
      <c r="C43" s="96"/>
      <c r="D43" s="97"/>
      <c r="E43" s="98"/>
      <c r="F43" s="90"/>
      <c r="G43" s="91"/>
      <c r="H43" s="92"/>
      <c r="I43" s="93"/>
      <c r="J43" s="83"/>
      <c r="K43" s="83"/>
      <c r="L43" s="12"/>
      <c r="M43" s="13"/>
      <c r="N43" s="14"/>
      <c r="O43" s="11"/>
      <c r="P43" s="15"/>
      <c r="Q43" s="16"/>
      <c r="R43" s="2"/>
      <c r="S43" s="12"/>
      <c r="T43" s="17"/>
      <c r="U43" s="2"/>
      <c r="V43" s="18"/>
      <c r="W43" s="8"/>
      <c r="Y43" s="149" t="s">
        <v>47</v>
      </c>
      <c r="Z43" s="152">
        <f t="shared" si="1"/>
        <v>0</v>
      </c>
    </row>
    <row r="44" spans="2:26" ht="18" x14ac:dyDescent="0.35">
      <c r="B44" s="95"/>
      <c r="C44" s="96"/>
      <c r="D44" s="97"/>
      <c r="E44" s="98"/>
      <c r="F44" s="90"/>
      <c r="G44" s="91"/>
      <c r="H44" s="92"/>
      <c r="I44" s="93"/>
      <c r="J44" s="83"/>
      <c r="K44" s="83"/>
      <c r="L44" s="12"/>
      <c r="M44" s="13"/>
      <c r="N44" s="14"/>
      <c r="O44" s="11"/>
      <c r="P44" s="15"/>
      <c r="Q44" s="16"/>
      <c r="R44" s="2"/>
      <c r="S44" s="12"/>
      <c r="T44" s="17"/>
      <c r="U44" s="2"/>
      <c r="V44" s="18"/>
      <c r="W44" s="8"/>
      <c r="Y44" s="149" t="s">
        <v>48</v>
      </c>
      <c r="Z44" s="152">
        <f t="shared" si="1"/>
        <v>0</v>
      </c>
    </row>
    <row r="45" spans="2:26" ht="18" x14ac:dyDescent="0.35">
      <c r="B45" s="95"/>
      <c r="C45" s="96"/>
      <c r="D45" s="97"/>
      <c r="E45" s="98"/>
      <c r="F45" s="90"/>
      <c r="G45" s="91"/>
      <c r="H45" s="92"/>
      <c r="I45" s="93"/>
      <c r="J45" s="83"/>
      <c r="K45" s="83"/>
      <c r="L45" s="12"/>
      <c r="M45" s="13"/>
      <c r="N45" s="14"/>
      <c r="O45" s="11"/>
      <c r="P45" s="15"/>
      <c r="Q45" s="16"/>
      <c r="R45" s="2"/>
      <c r="S45" s="12"/>
      <c r="T45" s="17"/>
      <c r="U45" s="2"/>
      <c r="V45" s="18"/>
      <c r="W45" s="8"/>
      <c r="Y45" s="149" t="s">
        <v>83</v>
      </c>
      <c r="Z45" s="152">
        <f t="shared" si="1"/>
        <v>0</v>
      </c>
    </row>
    <row r="46" spans="2:26" ht="18" x14ac:dyDescent="0.35">
      <c r="B46" s="95"/>
      <c r="C46" s="96"/>
      <c r="D46" s="97"/>
      <c r="E46" s="98"/>
      <c r="F46" s="90"/>
      <c r="G46" s="91"/>
      <c r="H46" s="92"/>
      <c r="I46" s="93"/>
      <c r="J46" s="83"/>
      <c r="K46" s="83"/>
      <c r="L46" s="12"/>
      <c r="M46" s="13"/>
      <c r="N46" s="14"/>
      <c r="O46" s="11"/>
      <c r="P46" s="15"/>
      <c r="Q46" s="16"/>
      <c r="R46" s="2"/>
      <c r="S46" s="12"/>
      <c r="T46" s="17"/>
      <c r="U46" s="2"/>
      <c r="V46" s="18"/>
      <c r="W46" s="8"/>
      <c r="Y46" s="149" t="s">
        <v>96</v>
      </c>
      <c r="Z46" s="152">
        <f t="shared" si="1"/>
        <v>0</v>
      </c>
    </row>
    <row r="47" spans="2:26" ht="18" x14ac:dyDescent="0.35">
      <c r="B47" s="95"/>
      <c r="C47" s="96"/>
      <c r="D47" s="97"/>
      <c r="E47" s="98"/>
      <c r="F47" s="90"/>
      <c r="G47" s="91"/>
      <c r="H47" s="92"/>
      <c r="I47" s="93"/>
      <c r="J47" s="83"/>
      <c r="K47" s="83"/>
      <c r="L47" s="12"/>
      <c r="M47" s="13"/>
      <c r="N47" s="14"/>
      <c r="O47" s="11"/>
      <c r="P47" s="15"/>
      <c r="Q47" s="16"/>
      <c r="R47" s="2"/>
      <c r="S47" s="12"/>
      <c r="T47" s="17"/>
      <c r="U47" s="2"/>
      <c r="V47" s="18"/>
      <c r="W47" s="8"/>
      <c r="Y47" s="149" t="s">
        <v>73</v>
      </c>
      <c r="Z47" s="152">
        <f t="shared" si="1"/>
        <v>0</v>
      </c>
    </row>
    <row r="48" spans="2:26" ht="18" x14ac:dyDescent="0.35">
      <c r="B48" s="95"/>
      <c r="C48" s="96"/>
      <c r="D48" s="97"/>
      <c r="E48" s="98"/>
      <c r="F48" s="90"/>
      <c r="G48" s="91"/>
      <c r="H48" s="92"/>
      <c r="I48" s="93"/>
      <c r="J48" s="83"/>
      <c r="K48" s="83"/>
      <c r="L48" s="12"/>
      <c r="M48" s="13"/>
      <c r="N48" s="14"/>
      <c r="O48" s="11"/>
      <c r="P48" s="15"/>
      <c r="Q48" s="16"/>
      <c r="R48" s="2"/>
      <c r="S48" s="12"/>
      <c r="T48" s="17"/>
      <c r="U48" s="2"/>
      <c r="V48" s="18"/>
      <c r="W48" s="8"/>
      <c r="Y48" s="149" t="s">
        <v>74</v>
      </c>
      <c r="Z48" s="152">
        <f t="shared" si="1"/>
        <v>0</v>
      </c>
    </row>
    <row r="49" spans="2:26" ht="18" x14ac:dyDescent="0.35">
      <c r="B49" s="95"/>
      <c r="C49" s="96"/>
      <c r="D49" s="97"/>
      <c r="E49" s="98"/>
      <c r="F49" s="90"/>
      <c r="G49" s="91"/>
      <c r="H49" s="92"/>
      <c r="I49" s="93"/>
      <c r="J49" s="83"/>
      <c r="K49" s="83"/>
      <c r="L49" s="12"/>
      <c r="M49" s="13"/>
      <c r="N49" s="14"/>
      <c r="O49" s="11"/>
      <c r="P49" s="15"/>
      <c r="Q49" s="16"/>
      <c r="R49" s="2"/>
      <c r="S49" s="12"/>
      <c r="T49" s="17"/>
      <c r="U49" s="2"/>
      <c r="V49" s="18"/>
      <c r="W49" s="8"/>
      <c r="Y49" s="149" t="s">
        <v>70</v>
      </c>
      <c r="Z49" s="152">
        <f t="shared" si="1"/>
        <v>0</v>
      </c>
    </row>
    <row r="50" spans="2:26" ht="18" x14ac:dyDescent="0.35">
      <c r="B50" s="95"/>
      <c r="C50" s="96"/>
      <c r="D50" s="97"/>
      <c r="E50" s="98"/>
      <c r="F50" s="90"/>
      <c r="G50" s="91"/>
      <c r="H50" s="92"/>
      <c r="I50" s="93"/>
      <c r="J50" s="83"/>
      <c r="K50" s="83"/>
      <c r="L50" s="12"/>
      <c r="M50" s="13"/>
      <c r="N50" s="14"/>
      <c r="O50" s="11"/>
      <c r="P50" s="15"/>
      <c r="Q50" s="16"/>
      <c r="R50" s="2"/>
      <c r="S50" s="12"/>
      <c r="T50" s="17"/>
      <c r="U50" s="2"/>
      <c r="V50" s="18"/>
      <c r="W50" s="8"/>
      <c r="Y50" s="149" t="s">
        <v>64</v>
      </c>
      <c r="Z50" s="152">
        <f t="shared" si="1"/>
        <v>0</v>
      </c>
    </row>
    <row r="51" spans="2:26" ht="18" x14ac:dyDescent="0.35">
      <c r="B51" s="95"/>
      <c r="C51" s="96"/>
      <c r="D51" s="97"/>
      <c r="E51" s="98"/>
      <c r="F51" s="90"/>
      <c r="G51" s="91"/>
      <c r="H51" s="92"/>
      <c r="I51" s="93"/>
      <c r="J51" s="83"/>
      <c r="K51" s="83"/>
      <c r="L51" s="12"/>
      <c r="M51" s="13"/>
      <c r="N51" s="14"/>
      <c r="O51" s="11"/>
      <c r="P51" s="15"/>
      <c r="Q51" s="16"/>
      <c r="R51" s="2"/>
      <c r="S51" s="12"/>
      <c r="T51" s="17"/>
      <c r="U51" s="2"/>
      <c r="V51" s="18"/>
      <c r="W51" s="8"/>
      <c r="Y51" s="149" t="s">
        <v>65</v>
      </c>
      <c r="Z51" s="152">
        <f t="shared" si="1"/>
        <v>0</v>
      </c>
    </row>
    <row r="52" spans="2:26" ht="18" x14ac:dyDescent="0.35">
      <c r="B52" s="95"/>
      <c r="C52" s="96"/>
      <c r="D52" s="97"/>
      <c r="E52" s="98"/>
      <c r="F52" s="90"/>
      <c r="G52" s="91"/>
      <c r="H52" s="92"/>
      <c r="I52" s="93"/>
      <c r="J52" s="83"/>
      <c r="K52" s="83"/>
      <c r="L52" s="12"/>
      <c r="M52" s="13"/>
      <c r="N52" s="14"/>
      <c r="O52" s="11"/>
      <c r="P52" s="15"/>
      <c r="Q52" s="16"/>
      <c r="R52" s="2"/>
      <c r="S52" s="12"/>
      <c r="T52" s="17"/>
      <c r="U52" s="2"/>
      <c r="V52" s="18"/>
      <c r="W52" s="8"/>
      <c r="Y52" s="149" t="s">
        <v>66</v>
      </c>
      <c r="Z52" s="152">
        <f t="shared" si="1"/>
        <v>0</v>
      </c>
    </row>
    <row r="53" spans="2:26" ht="18" x14ac:dyDescent="0.35">
      <c r="B53" s="95"/>
      <c r="C53" s="96"/>
      <c r="D53" s="97"/>
      <c r="E53" s="98"/>
      <c r="F53" s="90"/>
      <c r="G53" s="91"/>
      <c r="H53" s="92"/>
      <c r="I53" s="93"/>
      <c r="J53" s="83"/>
      <c r="K53" s="83"/>
      <c r="L53" s="12"/>
      <c r="M53" s="13"/>
      <c r="N53" s="14"/>
      <c r="O53" s="11"/>
      <c r="P53" s="15"/>
      <c r="Q53" s="16"/>
      <c r="R53" s="2"/>
      <c r="S53" s="12"/>
      <c r="T53" s="17"/>
      <c r="U53" s="2"/>
      <c r="V53" s="18"/>
      <c r="W53" s="8"/>
      <c r="Y53" s="149" t="s">
        <v>100</v>
      </c>
      <c r="Z53" s="152">
        <f t="shared" si="1"/>
        <v>0</v>
      </c>
    </row>
    <row r="54" spans="2:26" ht="18" x14ac:dyDescent="0.35">
      <c r="B54" s="95"/>
      <c r="C54" s="96"/>
      <c r="D54" s="97"/>
      <c r="E54" s="98"/>
      <c r="F54" s="90"/>
      <c r="G54" s="91"/>
      <c r="H54" s="92"/>
      <c r="I54" s="93"/>
      <c r="J54" s="83"/>
      <c r="K54" s="83"/>
      <c r="L54" s="12"/>
      <c r="M54" s="13"/>
      <c r="N54" s="14"/>
      <c r="O54" s="11"/>
      <c r="P54" s="15"/>
      <c r="Q54" s="16"/>
      <c r="R54" s="2"/>
      <c r="S54" s="12"/>
      <c r="T54" s="17"/>
      <c r="U54" s="2"/>
      <c r="V54" s="18"/>
      <c r="W54" s="8"/>
      <c r="Y54" s="149" t="s">
        <v>101</v>
      </c>
      <c r="Z54" s="152">
        <f t="shared" si="1"/>
        <v>0</v>
      </c>
    </row>
    <row r="55" spans="2:26" ht="18" x14ac:dyDescent="0.35">
      <c r="B55" s="95"/>
      <c r="C55" s="96"/>
      <c r="D55" s="97"/>
      <c r="E55" s="98"/>
      <c r="F55" s="90"/>
      <c r="G55" s="91"/>
      <c r="H55" s="92"/>
      <c r="I55" s="93"/>
      <c r="J55" s="83"/>
      <c r="K55" s="83"/>
      <c r="L55" s="12"/>
      <c r="M55" s="13"/>
      <c r="N55" s="14"/>
      <c r="O55" s="11"/>
      <c r="P55" s="15"/>
      <c r="Q55" s="16"/>
      <c r="R55" s="2"/>
      <c r="S55" s="12"/>
      <c r="T55" s="17"/>
      <c r="U55" s="2"/>
      <c r="V55" s="18"/>
      <c r="W55" s="8"/>
      <c r="Y55" s="149" t="s">
        <v>102</v>
      </c>
      <c r="Z55" s="152">
        <f t="shared" si="1"/>
        <v>0</v>
      </c>
    </row>
    <row r="56" spans="2:26" ht="18" x14ac:dyDescent="0.35">
      <c r="B56" s="95"/>
      <c r="C56" s="96"/>
      <c r="D56" s="97"/>
      <c r="E56" s="98"/>
      <c r="F56" s="90"/>
      <c r="G56" s="91"/>
      <c r="H56" s="92"/>
      <c r="I56" s="93"/>
      <c r="J56" s="83"/>
      <c r="K56" s="83"/>
      <c r="L56" s="12"/>
      <c r="M56" s="13"/>
      <c r="N56" s="14"/>
      <c r="O56" s="11"/>
      <c r="P56" s="15"/>
      <c r="Q56" s="16"/>
      <c r="R56" s="2"/>
      <c r="S56" s="12"/>
      <c r="T56" s="17"/>
      <c r="U56" s="2"/>
      <c r="V56" s="18"/>
      <c r="W56" s="8"/>
      <c r="Y56" s="149" t="s">
        <v>26</v>
      </c>
      <c r="Z56" s="152">
        <f t="shared" si="1"/>
        <v>0</v>
      </c>
    </row>
    <row r="57" spans="2:26" ht="18" x14ac:dyDescent="0.35">
      <c r="B57" s="95"/>
      <c r="C57" s="96"/>
      <c r="D57" s="97"/>
      <c r="E57" s="98"/>
      <c r="F57" s="90"/>
      <c r="G57" s="91"/>
      <c r="H57" s="92"/>
      <c r="I57" s="93"/>
      <c r="J57" s="83"/>
      <c r="K57" s="83"/>
      <c r="L57" s="12"/>
      <c r="M57" s="13"/>
      <c r="N57" s="14"/>
      <c r="O57" s="11"/>
      <c r="P57" s="15"/>
      <c r="Q57" s="16"/>
      <c r="R57" s="2"/>
      <c r="S57" s="12"/>
      <c r="T57" s="17"/>
      <c r="U57" s="2"/>
      <c r="V57" s="18"/>
      <c r="W57" s="8"/>
      <c r="Y57" s="149" t="s">
        <v>27</v>
      </c>
      <c r="Z57" s="152">
        <f t="shared" si="1"/>
        <v>0</v>
      </c>
    </row>
    <row r="58" spans="2:26" ht="18" x14ac:dyDescent="0.35">
      <c r="B58" s="95"/>
      <c r="C58" s="96"/>
      <c r="D58" s="97"/>
      <c r="E58" s="98"/>
      <c r="F58" s="90"/>
      <c r="G58" s="91"/>
      <c r="H58" s="92"/>
      <c r="I58" s="93"/>
      <c r="J58" s="83"/>
      <c r="K58" s="83"/>
      <c r="L58" s="12"/>
      <c r="M58" s="13"/>
      <c r="N58" s="14"/>
      <c r="O58" s="11"/>
      <c r="P58" s="15"/>
      <c r="Q58" s="16"/>
      <c r="R58" s="2"/>
      <c r="S58" s="12"/>
      <c r="T58" s="17"/>
      <c r="U58" s="2"/>
      <c r="V58" s="18"/>
      <c r="W58" s="8"/>
      <c r="Y58" s="149" t="s">
        <v>28</v>
      </c>
      <c r="Z58" s="152">
        <f t="shared" si="1"/>
        <v>0</v>
      </c>
    </row>
    <row r="59" spans="2:26" ht="18" x14ac:dyDescent="0.35">
      <c r="B59" s="95"/>
      <c r="C59" s="96"/>
      <c r="D59" s="97"/>
      <c r="E59" s="98"/>
      <c r="F59" s="90"/>
      <c r="G59" s="91"/>
      <c r="H59" s="92"/>
      <c r="I59" s="93"/>
      <c r="J59" s="83"/>
      <c r="K59" s="83"/>
      <c r="L59" s="12"/>
      <c r="M59" s="13"/>
      <c r="N59" s="14"/>
      <c r="O59" s="11"/>
      <c r="P59" s="15"/>
      <c r="Q59" s="16"/>
      <c r="R59" s="2"/>
      <c r="S59" s="12"/>
      <c r="T59" s="17"/>
      <c r="U59" s="2"/>
      <c r="V59" s="18"/>
      <c r="W59" s="8"/>
      <c r="Y59" s="149" t="s">
        <v>29</v>
      </c>
      <c r="Z59" s="152">
        <f t="shared" si="1"/>
        <v>0</v>
      </c>
    </row>
    <row r="60" spans="2:26" ht="18" x14ac:dyDescent="0.35">
      <c r="B60" s="95"/>
      <c r="C60" s="96"/>
      <c r="D60" s="97"/>
      <c r="E60" s="98"/>
      <c r="F60" s="90"/>
      <c r="G60" s="91"/>
      <c r="H60" s="92"/>
      <c r="I60" s="93"/>
      <c r="J60" s="83"/>
      <c r="K60" s="83"/>
      <c r="L60" s="12"/>
      <c r="M60" s="13"/>
      <c r="N60" s="14"/>
      <c r="O60" s="11"/>
      <c r="P60" s="15"/>
      <c r="Q60" s="16"/>
      <c r="R60" s="2"/>
      <c r="S60" s="12"/>
      <c r="T60" s="17"/>
      <c r="U60" s="2"/>
      <c r="V60" s="18"/>
      <c r="W60" s="8"/>
      <c r="Y60" s="149" t="s">
        <v>34</v>
      </c>
      <c r="Z60" s="152">
        <f t="shared" si="1"/>
        <v>0</v>
      </c>
    </row>
    <row r="61" spans="2:26" ht="18" x14ac:dyDescent="0.35">
      <c r="B61" s="95"/>
      <c r="C61" s="96"/>
      <c r="D61" s="97"/>
      <c r="E61" s="98"/>
      <c r="F61" s="90"/>
      <c r="G61" s="91"/>
      <c r="H61" s="92"/>
      <c r="I61" s="93"/>
      <c r="J61" s="83"/>
      <c r="K61" s="83"/>
      <c r="L61" s="12"/>
      <c r="M61" s="13"/>
      <c r="N61" s="14"/>
      <c r="O61" s="11"/>
      <c r="P61" s="15"/>
      <c r="Q61" s="16"/>
      <c r="R61" s="2"/>
      <c r="S61" s="12"/>
      <c r="T61" s="17"/>
      <c r="U61" s="2"/>
      <c r="V61" s="18"/>
      <c r="W61" s="8"/>
      <c r="Y61" s="149" t="s">
        <v>35</v>
      </c>
      <c r="Z61" s="152">
        <f t="shared" si="1"/>
        <v>0</v>
      </c>
    </row>
    <row r="62" spans="2:26" ht="18" x14ac:dyDescent="0.35">
      <c r="B62" s="95"/>
      <c r="C62" s="96"/>
      <c r="D62" s="97"/>
      <c r="E62" s="98"/>
      <c r="F62" s="90"/>
      <c r="G62" s="91"/>
      <c r="H62" s="92"/>
      <c r="I62" s="93"/>
      <c r="J62" s="83"/>
      <c r="K62" s="83"/>
      <c r="L62" s="12"/>
      <c r="M62" s="13"/>
      <c r="N62" s="14"/>
      <c r="O62" s="11"/>
      <c r="P62" s="15"/>
      <c r="Q62" s="16"/>
      <c r="R62" s="2"/>
      <c r="S62" s="12"/>
      <c r="T62" s="17"/>
      <c r="U62" s="2"/>
      <c r="V62" s="18"/>
      <c r="W62" s="8"/>
      <c r="Y62" s="149" t="s">
        <v>36</v>
      </c>
      <c r="Z62" s="152">
        <f t="shared" si="1"/>
        <v>0</v>
      </c>
    </row>
    <row r="63" spans="2:26" ht="18" x14ac:dyDescent="0.35">
      <c r="B63" s="95"/>
      <c r="C63" s="96"/>
      <c r="D63" s="97"/>
      <c r="E63" s="98"/>
      <c r="F63" s="90"/>
      <c r="G63" s="91"/>
      <c r="H63" s="92"/>
      <c r="I63" s="93"/>
      <c r="J63" s="83"/>
      <c r="K63" s="83"/>
      <c r="L63" s="12"/>
      <c r="M63" s="13"/>
      <c r="N63" s="14"/>
      <c r="O63" s="11"/>
      <c r="P63" s="15"/>
      <c r="Q63" s="16"/>
      <c r="R63" s="2"/>
      <c r="S63" s="12"/>
      <c r="T63" s="17"/>
      <c r="U63" s="2"/>
      <c r="V63" s="18"/>
      <c r="W63" s="8"/>
      <c r="Y63" s="149" t="s">
        <v>37</v>
      </c>
      <c r="Z63" s="152">
        <f t="shared" si="1"/>
        <v>0</v>
      </c>
    </row>
    <row r="64" spans="2:26" ht="18" x14ac:dyDescent="0.35">
      <c r="B64" s="95"/>
      <c r="C64" s="96"/>
      <c r="D64" s="97"/>
      <c r="E64" s="98"/>
      <c r="F64" s="90"/>
      <c r="G64" s="91"/>
      <c r="H64" s="92"/>
      <c r="I64" s="93"/>
      <c r="J64" s="83"/>
      <c r="K64" s="83"/>
      <c r="L64" s="12"/>
      <c r="M64" s="13"/>
      <c r="N64" s="14"/>
      <c r="O64" s="11"/>
      <c r="P64" s="15"/>
      <c r="Q64" s="16"/>
      <c r="R64" s="2"/>
      <c r="S64" s="12"/>
      <c r="T64" s="17"/>
      <c r="U64" s="2"/>
      <c r="V64" s="18"/>
      <c r="W64" s="8"/>
      <c r="Y64" s="149" t="s">
        <v>38</v>
      </c>
      <c r="Z64" s="152">
        <f t="shared" si="1"/>
        <v>0</v>
      </c>
    </row>
    <row r="65" spans="2:26" ht="18" x14ac:dyDescent="0.35">
      <c r="B65" s="95"/>
      <c r="C65" s="96"/>
      <c r="D65" s="97"/>
      <c r="E65" s="98"/>
      <c r="F65" s="99"/>
      <c r="G65" s="100"/>
      <c r="H65" s="101"/>
      <c r="I65" s="102"/>
      <c r="J65" s="83"/>
      <c r="K65" s="83"/>
      <c r="L65" s="12"/>
      <c r="M65" s="13"/>
      <c r="N65" s="14"/>
      <c r="O65" s="11"/>
      <c r="P65" s="15"/>
      <c r="Q65" s="16"/>
      <c r="R65" s="2"/>
      <c r="S65" s="12"/>
      <c r="T65" s="17"/>
      <c r="U65" s="2"/>
      <c r="V65" s="18"/>
      <c r="W65" s="8"/>
      <c r="Y65" s="149" t="s">
        <v>40</v>
      </c>
      <c r="Z65" s="152">
        <f t="shared" si="1"/>
        <v>0</v>
      </c>
    </row>
    <row r="66" spans="2:26" ht="18" x14ac:dyDescent="0.35">
      <c r="B66" s="95"/>
      <c r="C66" s="96"/>
      <c r="D66" s="97"/>
      <c r="E66" s="98"/>
      <c r="F66" s="90"/>
      <c r="G66" s="91"/>
      <c r="H66" s="92"/>
      <c r="I66" s="93"/>
      <c r="J66" s="83"/>
      <c r="K66" s="83"/>
      <c r="L66" s="12"/>
      <c r="M66" s="13"/>
      <c r="N66" s="14"/>
      <c r="O66" s="11"/>
      <c r="P66" s="15"/>
      <c r="Q66" s="16"/>
      <c r="R66" s="2"/>
      <c r="S66" s="12"/>
      <c r="T66" s="17"/>
      <c r="U66" s="2"/>
      <c r="V66" s="18"/>
      <c r="W66" s="8"/>
      <c r="Y66" s="149" t="s">
        <v>41</v>
      </c>
      <c r="Z66" s="152">
        <f t="shared" si="1"/>
        <v>0</v>
      </c>
    </row>
    <row r="67" spans="2:26" ht="18" x14ac:dyDescent="0.35">
      <c r="B67" s="95"/>
      <c r="C67" s="96"/>
      <c r="D67" s="97"/>
      <c r="E67" s="98"/>
      <c r="F67" s="103"/>
      <c r="G67" s="94"/>
      <c r="H67" s="104"/>
      <c r="I67" s="105"/>
      <c r="J67" s="83"/>
      <c r="K67" s="83"/>
      <c r="L67" s="12"/>
      <c r="M67" s="13"/>
      <c r="N67" s="14"/>
      <c r="O67" s="11"/>
      <c r="P67" s="15"/>
      <c r="Q67" s="16"/>
      <c r="R67" s="2"/>
      <c r="S67" s="12"/>
      <c r="T67" s="17"/>
      <c r="U67" s="2"/>
      <c r="V67" s="18"/>
      <c r="W67" s="8"/>
      <c r="Y67" s="149" t="s">
        <v>69</v>
      </c>
      <c r="Z67" s="152">
        <f t="shared" si="1"/>
        <v>0</v>
      </c>
    </row>
    <row r="68" spans="2:26" ht="18" x14ac:dyDescent="0.35">
      <c r="B68" s="95"/>
      <c r="C68" s="96"/>
      <c r="D68" s="97"/>
      <c r="E68" s="98"/>
      <c r="F68" s="90"/>
      <c r="G68" s="91"/>
      <c r="H68" s="92"/>
      <c r="I68" s="105"/>
      <c r="J68" s="83"/>
      <c r="K68" s="83"/>
      <c r="L68" s="12"/>
      <c r="M68" s="13"/>
      <c r="N68" s="14"/>
      <c r="O68" s="11"/>
      <c r="P68" s="15"/>
      <c r="Q68" s="16"/>
      <c r="R68" s="2"/>
      <c r="S68" s="12"/>
      <c r="T68" s="17"/>
      <c r="U68" s="2"/>
      <c r="V68" s="18"/>
      <c r="W68" s="8"/>
      <c r="Y68" s="149" t="s">
        <v>108</v>
      </c>
      <c r="Z68" s="152">
        <f t="shared" si="1"/>
        <v>0</v>
      </c>
    </row>
    <row r="69" spans="2:26" ht="18" x14ac:dyDescent="0.35">
      <c r="B69" s="95"/>
      <c r="C69" s="96"/>
      <c r="D69" s="97"/>
      <c r="E69" s="98"/>
      <c r="F69" s="90"/>
      <c r="G69" s="91"/>
      <c r="H69" s="92"/>
      <c r="I69" s="105"/>
      <c r="J69" s="83"/>
      <c r="K69" s="83"/>
      <c r="L69" s="12"/>
      <c r="M69" s="13"/>
      <c r="N69" s="14"/>
      <c r="O69" s="11"/>
      <c r="P69" s="15"/>
      <c r="Q69" s="16"/>
      <c r="R69" s="2"/>
      <c r="S69" s="12"/>
      <c r="T69" s="17"/>
      <c r="U69" s="2"/>
      <c r="V69" s="18"/>
      <c r="W69" s="8"/>
      <c r="Y69" s="149" t="s">
        <v>44</v>
      </c>
      <c r="Z69" s="152">
        <f t="shared" si="1"/>
        <v>0</v>
      </c>
    </row>
    <row r="70" spans="2:26" ht="18" x14ac:dyDescent="0.35">
      <c r="B70" s="95"/>
      <c r="C70" s="96"/>
      <c r="D70" s="97"/>
      <c r="E70" s="98"/>
      <c r="F70" s="90"/>
      <c r="G70" s="91"/>
      <c r="H70" s="92"/>
      <c r="I70" s="105"/>
      <c r="J70" s="83"/>
      <c r="K70" s="83"/>
      <c r="L70" s="12"/>
      <c r="M70" s="13"/>
      <c r="N70" s="14"/>
      <c r="O70" s="11"/>
      <c r="P70" s="15"/>
      <c r="Q70" s="16"/>
      <c r="R70" s="2"/>
      <c r="S70" s="12"/>
      <c r="T70" s="17"/>
      <c r="U70" s="2"/>
      <c r="V70" s="18"/>
      <c r="W70" s="8"/>
      <c r="Y70" s="149" t="s">
        <v>45</v>
      </c>
      <c r="Z70" s="152">
        <f t="shared" si="1"/>
        <v>0</v>
      </c>
    </row>
    <row r="71" spans="2:26" ht="18" x14ac:dyDescent="0.35">
      <c r="B71" s="95"/>
      <c r="C71" s="96"/>
      <c r="D71" s="97"/>
      <c r="E71" s="98"/>
      <c r="F71" s="90"/>
      <c r="G71" s="91"/>
      <c r="H71" s="92"/>
      <c r="I71" s="105"/>
      <c r="J71" s="83"/>
      <c r="K71" s="83"/>
      <c r="L71" s="12"/>
      <c r="M71" s="13"/>
      <c r="N71" s="14"/>
      <c r="O71" s="11"/>
      <c r="P71" s="15"/>
      <c r="Q71" s="16"/>
      <c r="R71" s="2"/>
      <c r="S71" s="12"/>
      <c r="T71" s="17"/>
      <c r="U71" s="2"/>
      <c r="V71" s="18"/>
      <c r="W71" s="8"/>
      <c r="Y71" s="149" t="s">
        <v>49</v>
      </c>
      <c r="Z71" s="152">
        <f t="shared" si="1"/>
        <v>0</v>
      </c>
    </row>
    <row r="72" spans="2:26" ht="18" x14ac:dyDescent="0.35">
      <c r="B72" s="106"/>
      <c r="C72" s="107"/>
      <c r="D72" s="108"/>
      <c r="E72" s="109"/>
      <c r="F72" s="90"/>
      <c r="G72" s="91"/>
      <c r="H72" s="92"/>
      <c r="I72" s="105"/>
      <c r="J72" s="83"/>
      <c r="K72" s="83"/>
      <c r="L72" s="12"/>
      <c r="M72" s="13"/>
      <c r="N72" s="14"/>
      <c r="O72" s="11"/>
      <c r="P72" s="15"/>
      <c r="Q72" s="16"/>
      <c r="R72" s="2"/>
      <c r="S72" s="12"/>
      <c r="T72" s="17"/>
      <c r="U72" s="2"/>
      <c r="V72" s="18"/>
      <c r="W72" s="8"/>
      <c r="Y72" s="149" t="s">
        <v>50</v>
      </c>
      <c r="Z72" s="152">
        <f t="shared" si="1"/>
        <v>0</v>
      </c>
    </row>
    <row r="73" spans="2:26" ht="18" x14ac:dyDescent="0.35">
      <c r="B73" s="95"/>
      <c r="C73" s="96"/>
      <c r="D73" s="97"/>
      <c r="E73" s="98"/>
      <c r="F73" s="90"/>
      <c r="G73" s="91"/>
      <c r="H73" s="92"/>
      <c r="I73" s="105"/>
      <c r="J73" s="83"/>
      <c r="K73" s="83"/>
      <c r="L73" s="20"/>
      <c r="M73" s="21"/>
      <c r="N73" s="22"/>
      <c r="O73" s="19"/>
      <c r="P73" s="23"/>
      <c r="Q73" s="24"/>
      <c r="R73" s="2"/>
      <c r="S73" s="20"/>
      <c r="T73" s="25"/>
      <c r="U73" s="2"/>
      <c r="V73" s="26"/>
      <c r="W73" s="27"/>
      <c r="Y73" s="149" t="s">
        <v>51</v>
      </c>
      <c r="Z73" s="152">
        <f t="shared" si="1"/>
        <v>0</v>
      </c>
    </row>
    <row r="74" spans="2:26" ht="18" x14ac:dyDescent="0.35">
      <c r="B74" s="110"/>
      <c r="C74" s="111"/>
      <c r="D74" s="112"/>
      <c r="E74" s="113"/>
      <c r="F74" s="90"/>
      <c r="G74" s="91"/>
      <c r="H74" s="92"/>
      <c r="I74" s="105"/>
      <c r="J74" s="83"/>
      <c r="K74" s="83"/>
      <c r="L74" s="12"/>
      <c r="M74" s="28"/>
      <c r="N74" s="14"/>
      <c r="O74" s="11"/>
      <c r="P74" s="11"/>
      <c r="Q74" s="16"/>
      <c r="R74" s="2"/>
      <c r="S74" s="12"/>
      <c r="T74" s="17"/>
      <c r="U74" s="2"/>
      <c r="V74" s="18"/>
      <c r="W74" s="16"/>
      <c r="Y74" s="149" t="s">
        <v>52</v>
      </c>
      <c r="Z74" s="152">
        <f t="shared" si="1"/>
        <v>0</v>
      </c>
    </row>
    <row r="75" spans="2:26" ht="18" x14ac:dyDescent="0.35">
      <c r="B75" s="95"/>
      <c r="C75" s="96"/>
      <c r="D75" s="97"/>
      <c r="E75" s="113"/>
      <c r="F75" s="90"/>
      <c r="G75" s="91"/>
      <c r="H75" s="92"/>
      <c r="I75" s="105"/>
      <c r="J75" s="83"/>
      <c r="K75" s="83"/>
      <c r="L75" s="12"/>
      <c r="M75" s="28"/>
      <c r="N75" s="14"/>
      <c r="O75" s="11"/>
      <c r="P75" s="11"/>
      <c r="Q75" s="16"/>
      <c r="R75" s="2"/>
      <c r="S75" s="12"/>
      <c r="T75" s="17"/>
      <c r="U75" s="2"/>
      <c r="V75" s="18"/>
      <c r="W75" s="16"/>
      <c r="Y75" s="149" t="s">
        <v>72</v>
      </c>
      <c r="Z75" s="152">
        <f t="shared" si="1"/>
        <v>0</v>
      </c>
    </row>
    <row r="76" spans="2:26" ht="18" x14ac:dyDescent="0.35">
      <c r="B76" s="95"/>
      <c r="C76" s="96"/>
      <c r="D76" s="97"/>
      <c r="E76" s="113"/>
      <c r="F76" s="90"/>
      <c r="G76" s="91"/>
      <c r="H76" s="92"/>
      <c r="I76" s="105"/>
      <c r="J76" s="83"/>
      <c r="K76" s="83"/>
      <c r="L76" s="12"/>
      <c r="M76" s="28"/>
      <c r="N76" s="14"/>
      <c r="O76" s="11"/>
      <c r="P76" s="11"/>
      <c r="Q76" s="16"/>
      <c r="R76" s="2"/>
      <c r="S76" s="12"/>
      <c r="T76" s="17"/>
      <c r="U76" s="2"/>
      <c r="V76" s="18"/>
      <c r="W76" s="16"/>
      <c r="Y76" s="149" t="s">
        <v>71</v>
      </c>
      <c r="Z76" s="152">
        <f t="shared" si="1"/>
        <v>0</v>
      </c>
    </row>
    <row r="77" spans="2:26" ht="18" x14ac:dyDescent="0.35">
      <c r="B77" s="95"/>
      <c r="C77" s="96"/>
      <c r="D77" s="97"/>
      <c r="E77" s="113"/>
      <c r="F77" s="90"/>
      <c r="G77" s="91"/>
      <c r="H77" s="92"/>
      <c r="I77" s="105"/>
      <c r="J77" s="83"/>
      <c r="K77" s="83"/>
      <c r="L77" s="12"/>
      <c r="M77" s="28"/>
      <c r="N77" s="14"/>
      <c r="O77" s="11"/>
      <c r="P77" s="11"/>
      <c r="Q77" s="16"/>
      <c r="R77" s="2"/>
      <c r="S77" s="12"/>
      <c r="T77" s="17"/>
      <c r="U77" s="2"/>
      <c r="V77" s="18"/>
      <c r="W77" s="16"/>
      <c r="Y77" s="149" t="s">
        <v>53</v>
      </c>
      <c r="Z77" s="152">
        <f t="shared" ref="Z77:Z79" si="2">SUMIF($G$9:$G$129, Y77, $F$9:$F$129)</f>
        <v>0</v>
      </c>
    </row>
    <row r="78" spans="2:26" ht="18" x14ac:dyDescent="0.35">
      <c r="B78" s="95"/>
      <c r="C78" s="96"/>
      <c r="D78" s="97"/>
      <c r="E78" s="113"/>
      <c r="F78" s="90"/>
      <c r="G78" s="91"/>
      <c r="H78" s="92"/>
      <c r="I78" s="105"/>
      <c r="J78" s="83"/>
      <c r="K78" s="83"/>
      <c r="L78" s="12"/>
      <c r="M78" s="28"/>
      <c r="N78" s="14"/>
      <c r="O78" s="11"/>
      <c r="P78" s="11"/>
      <c r="Q78" s="16"/>
      <c r="R78" s="2"/>
      <c r="S78" s="12"/>
      <c r="T78" s="17"/>
      <c r="U78" s="2"/>
      <c r="V78" s="18"/>
      <c r="W78" s="16"/>
      <c r="Y78" s="149" t="s">
        <v>54</v>
      </c>
      <c r="Z78" s="152">
        <f t="shared" si="2"/>
        <v>0</v>
      </c>
    </row>
    <row r="79" spans="2:26" ht="18.600000000000001" thickBot="1" x14ac:dyDescent="0.4">
      <c r="B79" s="95"/>
      <c r="C79" s="96"/>
      <c r="D79" s="97"/>
      <c r="E79" s="113"/>
      <c r="F79" s="90"/>
      <c r="G79" s="91"/>
      <c r="H79" s="92"/>
      <c r="I79" s="105"/>
      <c r="J79" s="83"/>
      <c r="K79" s="83"/>
      <c r="L79" s="12"/>
      <c r="M79" s="28"/>
      <c r="N79" s="14"/>
      <c r="O79" s="11"/>
      <c r="P79" s="11"/>
      <c r="Q79" s="16"/>
      <c r="R79" s="2"/>
      <c r="S79" s="12"/>
      <c r="T79" s="17"/>
      <c r="U79" s="2"/>
      <c r="V79" s="18"/>
      <c r="W79" s="16"/>
      <c r="Y79" s="150" t="s">
        <v>55</v>
      </c>
      <c r="Z79" s="153">
        <f t="shared" si="2"/>
        <v>0</v>
      </c>
    </row>
    <row r="80" spans="2:26" ht="18" x14ac:dyDescent="0.35">
      <c r="B80" s="95"/>
      <c r="C80" s="96"/>
      <c r="D80" s="97"/>
      <c r="E80" s="113"/>
      <c r="F80" s="90"/>
      <c r="G80" s="91"/>
      <c r="H80" s="92"/>
      <c r="I80" s="105"/>
      <c r="J80" s="83"/>
      <c r="K80" s="83"/>
      <c r="L80" s="12"/>
      <c r="M80" s="28"/>
      <c r="N80" s="14"/>
      <c r="O80" s="11"/>
      <c r="P80" s="11"/>
      <c r="Q80" s="16"/>
      <c r="R80" s="2"/>
      <c r="S80" s="12"/>
      <c r="T80" s="17"/>
      <c r="U80" s="2"/>
      <c r="V80" s="18"/>
      <c r="W80" s="16"/>
    </row>
    <row r="81" spans="2:23" ht="18" x14ac:dyDescent="0.35">
      <c r="B81" s="95"/>
      <c r="C81" s="96"/>
      <c r="D81" s="97"/>
      <c r="E81" s="113"/>
      <c r="F81" s="90"/>
      <c r="G81" s="91"/>
      <c r="H81" s="92"/>
      <c r="I81" s="105"/>
      <c r="J81" s="83"/>
      <c r="K81" s="83"/>
      <c r="L81" s="12"/>
      <c r="M81" s="28"/>
      <c r="N81" s="14"/>
      <c r="O81" s="11"/>
      <c r="P81" s="11"/>
      <c r="Q81" s="16"/>
      <c r="R81" s="2"/>
      <c r="S81" s="12"/>
      <c r="T81" s="17"/>
      <c r="U81" s="2"/>
      <c r="V81" s="18"/>
      <c r="W81" s="16"/>
    </row>
    <row r="82" spans="2:23" ht="18" x14ac:dyDescent="0.35">
      <c r="B82" s="95"/>
      <c r="C82" s="96"/>
      <c r="D82" s="97"/>
      <c r="E82" s="113"/>
      <c r="F82" s="90"/>
      <c r="G82" s="91"/>
      <c r="H82" s="92"/>
      <c r="I82" s="105"/>
      <c r="J82" s="83"/>
      <c r="K82" s="83"/>
      <c r="L82" s="12"/>
      <c r="M82" s="28"/>
      <c r="N82" s="14"/>
      <c r="O82" s="11"/>
      <c r="P82" s="11"/>
      <c r="Q82" s="16"/>
      <c r="R82" s="2"/>
      <c r="S82" s="12"/>
      <c r="T82" s="17"/>
      <c r="U82" s="2"/>
      <c r="V82" s="18"/>
      <c r="W82" s="16"/>
    </row>
    <row r="83" spans="2:23" ht="18" x14ac:dyDescent="0.35">
      <c r="B83" s="95"/>
      <c r="C83" s="96"/>
      <c r="D83" s="97"/>
      <c r="E83" s="113"/>
      <c r="F83" s="90"/>
      <c r="G83" s="91"/>
      <c r="H83" s="92"/>
      <c r="I83" s="105"/>
      <c r="J83" s="83"/>
      <c r="K83" s="83"/>
      <c r="L83" s="12"/>
      <c r="M83" s="28"/>
      <c r="N83" s="14"/>
      <c r="O83" s="11"/>
      <c r="P83" s="11"/>
      <c r="Q83" s="16"/>
      <c r="R83" s="2"/>
      <c r="S83" s="12"/>
      <c r="T83" s="17"/>
      <c r="U83" s="2"/>
      <c r="V83" s="18"/>
      <c r="W83" s="16"/>
    </row>
    <row r="84" spans="2:23" ht="18" x14ac:dyDescent="0.35">
      <c r="B84" s="95"/>
      <c r="C84" s="96"/>
      <c r="D84" s="97"/>
      <c r="E84" s="113"/>
      <c r="F84" s="90"/>
      <c r="G84" s="91"/>
      <c r="H84" s="92"/>
      <c r="I84" s="105"/>
      <c r="J84" s="83"/>
      <c r="K84" s="83"/>
      <c r="L84" s="12"/>
      <c r="M84" s="28"/>
      <c r="N84" s="14"/>
      <c r="O84" s="11"/>
      <c r="P84" s="11"/>
      <c r="Q84" s="16"/>
      <c r="R84" s="2"/>
      <c r="S84" s="12"/>
      <c r="T84" s="17"/>
      <c r="U84" s="2"/>
      <c r="V84" s="18"/>
      <c r="W84" s="16"/>
    </row>
    <row r="85" spans="2:23" ht="18" x14ac:dyDescent="0.35">
      <c r="B85" s="95"/>
      <c r="C85" s="96"/>
      <c r="D85" s="97"/>
      <c r="E85" s="113"/>
      <c r="F85" s="90"/>
      <c r="G85" s="91"/>
      <c r="H85" s="92"/>
      <c r="I85" s="105"/>
      <c r="J85" s="83"/>
      <c r="K85" s="83"/>
      <c r="L85" s="12"/>
      <c r="M85" s="28"/>
      <c r="N85" s="14"/>
      <c r="O85" s="11"/>
      <c r="P85" s="11"/>
      <c r="Q85" s="16"/>
      <c r="R85" s="2"/>
      <c r="S85" s="12"/>
      <c r="T85" s="17"/>
      <c r="U85" s="2"/>
      <c r="V85" s="18"/>
      <c r="W85" s="16"/>
    </row>
    <row r="86" spans="2:23" ht="18" x14ac:dyDescent="0.35">
      <c r="B86" s="95"/>
      <c r="C86" s="96"/>
      <c r="D86" s="97"/>
      <c r="E86" s="113"/>
      <c r="F86" s="90"/>
      <c r="G86" s="91"/>
      <c r="H86" s="92"/>
      <c r="I86" s="105"/>
      <c r="J86" s="83"/>
      <c r="K86" s="83"/>
      <c r="L86" s="12"/>
      <c r="M86" s="28"/>
      <c r="N86" s="14"/>
      <c r="O86" s="11"/>
      <c r="P86" s="11"/>
      <c r="Q86" s="16"/>
      <c r="R86" s="2"/>
      <c r="S86" s="12"/>
      <c r="T86" s="17"/>
      <c r="U86" s="2"/>
      <c r="V86" s="18"/>
      <c r="W86" s="16"/>
    </row>
    <row r="87" spans="2:23" ht="18" x14ac:dyDescent="0.35">
      <c r="B87" s="95"/>
      <c r="C87" s="96"/>
      <c r="D87" s="97"/>
      <c r="E87" s="113"/>
      <c r="F87" s="90"/>
      <c r="G87" s="91"/>
      <c r="H87" s="92"/>
      <c r="I87" s="105"/>
      <c r="J87" s="83"/>
      <c r="K87" s="83"/>
      <c r="L87" s="12"/>
      <c r="M87" s="28"/>
      <c r="N87" s="14"/>
      <c r="O87" s="11"/>
      <c r="P87" s="11"/>
      <c r="Q87" s="16"/>
      <c r="R87" s="2"/>
      <c r="S87" s="12"/>
      <c r="T87" s="17"/>
      <c r="U87" s="2"/>
      <c r="V87" s="18"/>
      <c r="W87" s="16"/>
    </row>
    <row r="88" spans="2:23" ht="18" x14ac:dyDescent="0.35">
      <c r="B88" s="95"/>
      <c r="C88" s="96"/>
      <c r="D88" s="97"/>
      <c r="E88" s="113"/>
      <c r="F88" s="90"/>
      <c r="G88" s="91"/>
      <c r="H88" s="92"/>
      <c r="I88" s="105"/>
      <c r="J88" s="83"/>
      <c r="K88" s="83"/>
      <c r="L88" s="12"/>
      <c r="M88" s="28"/>
      <c r="N88" s="14"/>
      <c r="O88" s="11"/>
      <c r="P88" s="11"/>
      <c r="Q88" s="16"/>
      <c r="R88" s="2"/>
      <c r="S88" s="12"/>
      <c r="T88" s="17"/>
      <c r="U88" s="2"/>
      <c r="V88" s="18"/>
      <c r="W88" s="16"/>
    </row>
    <row r="89" spans="2:23" ht="18" x14ac:dyDescent="0.35">
      <c r="B89" s="95"/>
      <c r="C89" s="96"/>
      <c r="D89" s="97"/>
      <c r="E89" s="113"/>
      <c r="F89" s="90"/>
      <c r="G89" s="91"/>
      <c r="H89" s="92"/>
      <c r="I89" s="105"/>
      <c r="J89" s="83"/>
      <c r="K89" s="83"/>
      <c r="L89" s="12"/>
      <c r="M89" s="28"/>
      <c r="N89" s="14"/>
      <c r="O89" s="11"/>
      <c r="P89" s="11"/>
      <c r="Q89" s="16"/>
      <c r="R89" s="2"/>
      <c r="S89" s="12"/>
      <c r="T89" s="17"/>
      <c r="U89" s="2"/>
      <c r="V89" s="18"/>
      <c r="W89" s="16"/>
    </row>
    <row r="90" spans="2:23" ht="18" x14ac:dyDescent="0.35">
      <c r="B90" s="95"/>
      <c r="C90" s="96"/>
      <c r="D90" s="97"/>
      <c r="E90" s="113"/>
      <c r="F90" s="90"/>
      <c r="G90" s="91"/>
      <c r="H90" s="92"/>
      <c r="I90" s="105"/>
      <c r="J90" s="83"/>
      <c r="K90" s="83"/>
      <c r="L90" s="12"/>
      <c r="M90" s="28"/>
      <c r="N90" s="14"/>
      <c r="O90" s="11"/>
      <c r="P90" s="11"/>
      <c r="Q90" s="16"/>
      <c r="R90" s="2"/>
      <c r="S90" s="12"/>
      <c r="T90" s="17"/>
      <c r="U90" s="2"/>
      <c r="V90" s="18"/>
      <c r="W90" s="16"/>
    </row>
    <row r="91" spans="2:23" ht="18" x14ac:dyDescent="0.35">
      <c r="B91" s="95"/>
      <c r="C91" s="96"/>
      <c r="D91" s="97"/>
      <c r="E91" s="113"/>
      <c r="F91" s="90"/>
      <c r="G91" s="91"/>
      <c r="H91" s="92"/>
      <c r="I91" s="105"/>
      <c r="J91" s="83"/>
      <c r="K91" s="83"/>
      <c r="L91" s="12"/>
      <c r="M91" s="28"/>
      <c r="N91" s="14"/>
      <c r="O91" s="11"/>
      <c r="P91" s="11"/>
      <c r="Q91" s="16"/>
      <c r="R91" s="2"/>
      <c r="S91" s="12"/>
      <c r="T91" s="17"/>
      <c r="U91" s="2"/>
      <c r="V91" s="18"/>
      <c r="W91" s="16"/>
    </row>
    <row r="92" spans="2:23" ht="18" x14ac:dyDescent="0.35">
      <c r="B92" s="95"/>
      <c r="C92" s="96"/>
      <c r="D92" s="97"/>
      <c r="E92" s="113"/>
      <c r="F92" s="90"/>
      <c r="G92" s="91"/>
      <c r="H92" s="92"/>
      <c r="I92" s="105"/>
      <c r="J92" s="83"/>
      <c r="K92" s="83"/>
      <c r="L92" s="12"/>
      <c r="M92" s="28"/>
      <c r="N92" s="14"/>
      <c r="O92" s="11"/>
      <c r="P92" s="11"/>
      <c r="Q92" s="16"/>
      <c r="R92" s="2"/>
      <c r="S92" s="12"/>
      <c r="T92" s="17"/>
      <c r="U92" s="2"/>
      <c r="V92" s="18"/>
      <c r="W92" s="16"/>
    </row>
    <row r="93" spans="2:23" ht="18" x14ac:dyDescent="0.35">
      <c r="B93" s="95"/>
      <c r="C93" s="96"/>
      <c r="D93" s="97"/>
      <c r="E93" s="113"/>
      <c r="F93" s="90"/>
      <c r="G93" s="91"/>
      <c r="H93" s="92"/>
      <c r="I93" s="105"/>
      <c r="J93" s="83"/>
      <c r="K93" s="83"/>
      <c r="L93" s="12"/>
      <c r="M93" s="28"/>
      <c r="N93" s="14"/>
      <c r="O93" s="11"/>
      <c r="P93" s="11"/>
      <c r="Q93" s="16"/>
      <c r="R93" s="2"/>
      <c r="S93" s="12"/>
      <c r="T93" s="17"/>
      <c r="U93" s="2"/>
      <c r="V93" s="18"/>
      <c r="W93" s="16"/>
    </row>
    <row r="94" spans="2:23" ht="18" x14ac:dyDescent="0.35">
      <c r="B94" s="95"/>
      <c r="C94" s="96"/>
      <c r="D94" s="97"/>
      <c r="E94" s="113"/>
      <c r="F94" s="90"/>
      <c r="G94" s="91"/>
      <c r="H94" s="92"/>
      <c r="I94" s="105"/>
      <c r="J94" s="83"/>
      <c r="K94" s="83"/>
      <c r="L94" s="12"/>
      <c r="M94" s="28"/>
      <c r="N94" s="14"/>
      <c r="O94" s="11"/>
      <c r="P94" s="11"/>
      <c r="Q94" s="16"/>
      <c r="R94" s="2"/>
      <c r="S94" s="12"/>
      <c r="T94" s="17"/>
      <c r="U94" s="2"/>
      <c r="V94" s="18"/>
      <c r="W94" s="16"/>
    </row>
    <row r="95" spans="2:23" ht="18" x14ac:dyDescent="0.35">
      <c r="B95" s="95"/>
      <c r="C95" s="96"/>
      <c r="D95" s="97"/>
      <c r="E95" s="113"/>
      <c r="F95" s="90"/>
      <c r="G95" s="91"/>
      <c r="H95" s="92"/>
      <c r="I95" s="105"/>
      <c r="J95" s="83"/>
      <c r="K95" s="83"/>
      <c r="L95" s="12"/>
      <c r="M95" s="28"/>
      <c r="N95" s="14"/>
      <c r="O95" s="11"/>
      <c r="P95" s="11"/>
      <c r="Q95" s="16"/>
      <c r="R95" s="2"/>
      <c r="S95" s="12"/>
      <c r="T95" s="17"/>
      <c r="U95" s="2"/>
      <c r="V95" s="18"/>
      <c r="W95" s="16"/>
    </row>
    <row r="96" spans="2:23" ht="18" x14ac:dyDescent="0.35">
      <c r="B96" s="95"/>
      <c r="C96" s="96"/>
      <c r="D96" s="97"/>
      <c r="E96" s="113"/>
      <c r="F96" s="90"/>
      <c r="G96" s="91"/>
      <c r="H96" s="92"/>
      <c r="I96" s="105"/>
      <c r="J96" s="83"/>
      <c r="K96" s="83"/>
      <c r="L96" s="12"/>
      <c r="M96" s="28"/>
      <c r="N96" s="14"/>
      <c r="O96" s="11"/>
      <c r="P96" s="11"/>
      <c r="Q96" s="16"/>
      <c r="R96" s="2"/>
      <c r="S96" s="12"/>
      <c r="T96" s="17"/>
      <c r="U96" s="2"/>
      <c r="V96" s="18"/>
      <c r="W96" s="16"/>
    </row>
    <row r="97" spans="2:23" ht="18" x14ac:dyDescent="0.35">
      <c r="B97" s="95"/>
      <c r="C97" s="96"/>
      <c r="D97" s="97"/>
      <c r="E97" s="113"/>
      <c r="F97" s="90"/>
      <c r="G97" s="91"/>
      <c r="H97" s="92"/>
      <c r="I97" s="105"/>
      <c r="J97" s="83"/>
      <c r="K97" s="83"/>
      <c r="L97" s="12"/>
      <c r="M97" s="28"/>
      <c r="N97" s="14"/>
      <c r="O97" s="11"/>
      <c r="P97" s="11"/>
      <c r="Q97" s="16"/>
      <c r="R97" s="2"/>
      <c r="S97" s="12"/>
      <c r="T97" s="17"/>
      <c r="U97" s="2"/>
      <c r="V97" s="18"/>
      <c r="W97" s="16"/>
    </row>
    <row r="98" spans="2:23" ht="18" x14ac:dyDescent="0.35">
      <c r="B98" s="95"/>
      <c r="C98" s="96"/>
      <c r="D98" s="97"/>
      <c r="E98" s="113"/>
      <c r="F98" s="90"/>
      <c r="G98" s="91"/>
      <c r="H98" s="92"/>
      <c r="I98" s="105"/>
      <c r="J98" s="83"/>
      <c r="K98" s="83"/>
      <c r="L98" s="12"/>
      <c r="M98" s="28"/>
      <c r="N98" s="14"/>
      <c r="O98" s="11"/>
      <c r="P98" s="11"/>
      <c r="Q98" s="16"/>
      <c r="R98" s="2"/>
      <c r="S98" s="12"/>
      <c r="T98" s="17"/>
      <c r="U98" s="2"/>
      <c r="V98" s="18"/>
      <c r="W98" s="16"/>
    </row>
    <row r="99" spans="2:23" ht="18" x14ac:dyDescent="0.35">
      <c r="B99" s="95"/>
      <c r="C99" s="96"/>
      <c r="D99" s="97"/>
      <c r="E99" s="113"/>
      <c r="F99" s="90"/>
      <c r="G99" s="91"/>
      <c r="H99" s="92"/>
      <c r="I99" s="105"/>
      <c r="J99" s="83"/>
      <c r="K99" s="83"/>
      <c r="L99" s="12"/>
      <c r="M99" s="28"/>
      <c r="N99" s="14"/>
      <c r="O99" s="11"/>
      <c r="P99" s="11"/>
      <c r="Q99" s="16"/>
      <c r="R99" s="2"/>
      <c r="S99" s="12"/>
      <c r="T99" s="17"/>
      <c r="U99" s="2"/>
      <c r="V99" s="18"/>
      <c r="W99" s="16"/>
    </row>
    <row r="100" spans="2:23" ht="18" x14ac:dyDescent="0.35">
      <c r="B100" s="95"/>
      <c r="C100" s="96"/>
      <c r="D100" s="97"/>
      <c r="E100" s="113"/>
      <c r="F100" s="90"/>
      <c r="G100" s="91"/>
      <c r="H100" s="92"/>
      <c r="I100" s="105"/>
      <c r="J100" s="83"/>
      <c r="K100" s="83"/>
      <c r="L100" s="12"/>
      <c r="M100" s="28"/>
      <c r="N100" s="14"/>
      <c r="O100" s="11"/>
      <c r="P100" s="11"/>
      <c r="Q100" s="16"/>
      <c r="R100" s="2"/>
      <c r="S100" s="12"/>
      <c r="T100" s="17"/>
      <c r="U100" s="2"/>
      <c r="V100" s="18"/>
      <c r="W100" s="16"/>
    </row>
    <row r="101" spans="2:23" ht="18" x14ac:dyDescent="0.35">
      <c r="B101" s="95"/>
      <c r="C101" s="96"/>
      <c r="D101" s="97"/>
      <c r="E101" s="113"/>
      <c r="F101" s="90"/>
      <c r="G101" s="91"/>
      <c r="H101" s="92"/>
      <c r="I101" s="105"/>
      <c r="J101" s="83"/>
      <c r="K101" s="83"/>
      <c r="L101" s="12"/>
      <c r="M101" s="28"/>
      <c r="N101" s="14"/>
      <c r="O101" s="11"/>
      <c r="P101" s="11"/>
      <c r="Q101" s="16"/>
      <c r="R101" s="2"/>
      <c r="S101" s="12"/>
      <c r="T101" s="17"/>
      <c r="U101" s="2"/>
      <c r="V101" s="18"/>
      <c r="W101" s="16"/>
    </row>
    <row r="102" spans="2:23" ht="18" x14ac:dyDescent="0.35">
      <c r="B102" s="95"/>
      <c r="C102" s="96"/>
      <c r="D102" s="97"/>
      <c r="E102" s="113"/>
      <c r="F102" s="90"/>
      <c r="G102" s="91"/>
      <c r="H102" s="92"/>
      <c r="I102" s="105"/>
      <c r="J102" s="83"/>
      <c r="K102" s="83"/>
      <c r="L102" s="12"/>
      <c r="M102" s="28"/>
      <c r="N102" s="14"/>
      <c r="O102" s="11"/>
      <c r="P102" s="11"/>
      <c r="Q102" s="16"/>
      <c r="R102" s="2"/>
      <c r="S102" s="12"/>
      <c r="T102" s="17"/>
      <c r="U102" s="2"/>
      <c r="V102" s="18"/>
      <c r="W102" s="16"/>
    </row>
    <row r="103" spans="2:23" ht="18" x14ac:dyDescent="0.35">
      <c r="B103" s="95"/>
      <c r="C103" s="96"/>
      <c r="D103" s="97"/>
      <c r="E103" s="113"/>
      <c r="F103" s="90"/>
      <c r="G103" s="91"/>
      <c r="H103" s="92"/>
      <c r="I103" s="105"/>
      <c r="J103" s="83"/>
      <c r="K103" s="83"/>
      <c r="L103" s="12"/>
      <c r="M103" s="28"/>
      <c r="N103" s="14"/>
      <c r="O103" s="11"/>
      <c r="P103" s="11"/>
      <c r="Q103" s="16"/>
      <c r="R103" s="2"/>
      <c r="S103" s="12"/>
      <c r="T103" s="17"/>
      <c r="U103" s="2"/>
      <c r="V103" s="18"/>
      <c r="W103" s="16"/>
    </row>
    <row r="104" spans="2:23" ht="18" x14ac:dyDescent="0.35">
      <c r="B104" s="95"/>
      <c r="C104" s="96"/>
      <c r="D104" s="97"/>
      <c r="E104" s="113"/>
      <c r="F104" s="90"/>
      <c r="G104" s="91"/>
      <c r="H104" s="92"/>
      <c r="I104" s="105"/>
      <c r="J104" s="83"/>
      <c r="K104" s="83"/>
      <c r="L104" s="12"/>
      <c r="M104" s="28"/>
      <c r="N104" s="14"/>
      <c r="O104" s="11"/>
      <c r="P104" s="11"/>
      <c r="Q104" s="16"/>
      <c r="R104" s="2"/>
      <c r="S104" s="12"/>
      <c r="T104" s="17"/>
      <c r="U104" s="2"/>
      <c r="V104" s="18"/>
      <c r="W104" s="16"/>
    </row>
    <row r="105" spans="2:23" ht="18" x14ac:dyDescent="0.35">
      <c r="B105" s="95"/>
      <c r="C105" s="96"/>
      <c r="D105" s="97"/>
      <c r="E105" s="113"/>
      <c r="F105" s="90"/>
      <c r="G105" s="91"/>
      <c r="H105" s="92"/>
      <c r="I105" s="105"/>
      <c r="J105" s="83"/>
      <c r="K105" s="83"/>
      <c r="L105" s="12"/>
      <c r="M105" s="28"/>
      <c r="N105" s="14"/>
      <c r="O105" s="11"/>
      <c r="P105" s="11"/>
      <c r="Q105" s="16"/>
      <c r="R105" s="2"/>
      <c r="S105" s="12"/>
      <c r="T105" s="17"/>
      <c r="U105" s="2"/>
      <c r="V105" s="18"/>
      <c r="W105" s="16"/>
    </row>
    <row r="106" spans="2:23" ht="18" x14ac:dyDescent="0.35">
      <c r="B106" s="95"/>
      <c r="C106" s="96"/>
      <c r="D106" s="97"/>
      <c r="E106" s="113"/>
      <c r="F106" s="90"/>
      <c r="G106" s="91"/>
      <c r="H106" s="92"/>
      <c r="I106" s="105"/>
      <c r="J106" s="83"/>
      <c r="K106" s="83"/>
      <c r="L106" s="12"/>
      <c r="M106" s="28"/>
      <c r="N106" s="14"/>
      <c r="O106" s="11"/>
      <c r="P106" s="11"/>
      <c r="Q106" s="16"/>
      <c r="R106" s="2"/>
      <c r="S106" s="12"/>
      <c r="T106" s="17"/>
      <c r="U106" s="2"/>
      <c r="V106" s="18"/>
      <c r="W106" s="16"/>
    </row>
    <row r="107" spans="2:23" ht="18" x14ac:dyDescent="0.35">
      <c r="B107" s="95"/>
      <c r="C107" s="96"/>
      <c r="D107" s="97"/>
      <c r="E107" s="113"/>
      <c r="F107" s="90"/>
      <c r="G107" s="91"/>
      <c r="H107" s="92"/>
      <c r="I107" s="105"/>
      <c r="J107" s="83"/>
      <c r="K107" s="83"/>
      <c r="L107" s="12"/>
      <c r="M107" s="28"/>
      <c r="N107" s="14"/>
      <c r="O107" s="11"/>
      <c r="P107" s="11"/>
      <c r="Q107" s="16"/>
      <c r="R107" s="2"/>
      <c r="S107" s="12"/>
      <c r="T107" s="17"/>
      <c r="U107" s="2"/>
      <c r="V107" s="18"/>
      <c r="W107" s="16"/>
    </row>
    <row r="108" spans="2:23" ht="18" x14ac:dyDescent="0.35">
      <c r="B108" s="95"/>
      <c r="C108" s="96"/>
      <c r="D108" s="97"/>
      <c r="E108" s="113"/>
      <c r="F108" s="90"/>
      <c r="G108" s="91"/>
      <c r="H108" s="92"/>
      <c r="I108" s="105"/>
      <c r="J108" s="83"/>
      <c r="K108" s="83"/>
      <c r="L108" s="12"/>
      <c r="M108" s="28"/>
      <c r="N108" s="14"/>
      <c r="O108" s="11"/>
      <c r="P108" s="11"/>
      <c r="Q108" s="16"/>
      <c r="R108" s="2"/>
      <c r="S108" s="12"/>
      <c r="T108" s="17"/>
      <c r="U108" s="2"/>
      <c r="V108" s="18"/>
      <c r="W108" s="16"/>
    </row>
    <row r="109" spans="2:23" ht="18" x14ac:dyDescent="0.35">
      <c r="B109" s="95"/>
      <c r="C109" s="96"/>
      <c r="D109" s="97"/>
      <c r="E109" s="113"/>
      <c r="F109" s="90"/>
      <c r="G109" s="91"/>
      <c r="H109" s="92"/>
      <c r="I109" s="105"/>
      <c r="J109" s="83"/>
      <c r="K109" s="83"/>
      <c r="L109" s="12"/>
      <c r="M109" s="28"/>
      <c r="N109" s="14"/>
      <c r="O109" s="11"/>
      <c r="P109" s="11"/>
      <c r="Q109" s="16"/>
      <c r="R109" s="2"/>
      <c r="S109" s="12"/>
      <c r="T109" s="17"/>
      <c r="U109" s="2"/>
      <c r="V109" s="18"/>
      <c r="W109" s="16"/>
    </row>
    <row r="110" spans="2:23" ht="18" x14ac:dyDescent="0.35">
      <c r="B110" s="95"/>
      <c r="C110" s="96"/>
      <c r="D110" s="97"/>
      <c r="E110" s="113"/>
      <c r="F110" s="90"/>
      <c r="G110" s="91"/>
      <c r="H110" s="92"/>
      <c r="I110" s="105"/>
      <c r="J110" s="83"/>
      <c r="K110" s="83"/>
      <c r="L110" s="12"/>
      <c r="M110" s="28"/>
      <c r="N110" s="14"/>
      <c r="O110" s="11"/>
      <c r="P110" s="11"/>
      <c r="Q110" s="16"/>
      <c r="R110" s="2"/>
      <c r="S110" s="12"/>
      <c r="T110" s="17"/>
      <c r="U110" s="2"/>
      <c r="V110" s="18"/>
      <c r="W110" s="16"/>
    </row>
    <row r="111" spans="2:23" ht="18" x14ac:dyDescent="0.35">
      <c r="B111" s="95"/>
      <c r="C111" s="96"/>
      <c r="D111" s="97"/>
      <c r="E111" s="113"/>
      <c r="F111" s="90"/>
      <c r="G111" s="91"/>
      <c r="H111" s="92"/>
      <c r="I111" s="105"/>
      <c r="J111" s="83"/>
      <c r="K111" s="83"/>
      <c r="L111" s="12"/>
      <c r="M111" s="28"/>
      <c r="N111" s="14"/>
      <c r="O111" s="11"/>
      <c r="P111" s="11"/>
      <c r="Q111" s="16"/>
      <c r="R111" s="2"/>
      <c r="S111" s="12"/>
      <c r="T111" s="17"/>
      <c r="U111" s="2"/>
      <c r="V111" s="18"/>
      <c r="W111" s="16"/>
    </row>
    <row r="112" spans="2:23" ht="18" x14ac:dyDescent="0.35">
      <c r="B112" s="95"/>
      <c r="C112" s="96"/>
      <c r="D112" s="97"/>
      <c r="E112" s="113"/>
      <c r="F112" s="90"/>
      <c r="G112" s="91"/>
      <c r="H112" s="92"/>
      <c r="I112" s="105"/>
      <c r="J112" s="83"/>
      <c r="K112" s="83"/>
      <c r="L112" s="12"/>
      <c r="M112" s="28"/>
      <c r="N112" s="14"/>
      <c r="O112" s="11"/>
      <c r="P112" s="11"/>
      <c r="Q112" s="16"/>
      <c r="R112" s="2"/>
      <c r="S112" s="12"/>
      <c r="T112" s="17"/>
      <c r="U112" s="2"/>
      <c r="V112" s="18"/>
      <c r="W112" s="16"/>
    </row>
    <row r="113" spans="2:23" ht="18" x14ac:dyDescent="0.35">
      <c r="B113" s="95"/>
      <c r="C113" s="96"/>
      <c r="D113" s="97"/>
      <c r="E113" s="113"/>
      <c r="F113" s="90"/>
      <c r="G113" s="91"/>
      <c r="H113" s="92"/>
      <c r="I113" s="105"/>
      <c r="J113" s="83"/>
      <c r="K113" s="83"/>
      <c r="L113" s="12"/>
      <c r="M113" s="28"/>
      <c r="N113" s="14"/>
      <c r="O113" s="11"/>
      <c r="P113" s="11"/>
      <c r="Q113" s="16"/>
      <c r="R113" s="2"/>
      <c r="S113" s="12"/>
      <c r="T113" s="17"/>
      <c r="U113" s="2"/>
      <c r="V113" s="18"/>
      <c r="W113" s="16"/>
    </row>
    <row r="114" spans="2:23" ht="18" x14ac:dyDescent="0.35">
      <c r="B114" s="95"/>
      <c r="C114" s="96"/>
      <c r="D114" s="97"/>
      <c r="E114" s="113"/>
      <c r="F114" s="90"/>
      <c r="G114" s="91"/>
      <c r="H114" s="92"/>
      <c r="I114" s="105"/>
      <c r="J114" s="83"/>
      <c r="K114" s="83"/>
      <c r="L114" s="12"/>
      <c r="M114" s="28"/>
      <c r="N114" s="14"/>
      <c r="O114" s="11"/>
      <c r="P114" s="11"/>
      <c r="Q114" s="16"/>
      <c r="R114" s="2"/>
      <c r="S114" s="12"/>
      <c r="T114" s="17"/>
      <c r="U114" s="2"/>
      <c r="V114" s="18"/>
      <c r="W114" s="16"/>
    </row>
    <row r="115" spans="2:23" ht="18" x14ac:dyDescent="0.35">
      <c r="B115" s="95"/>
      <c r="C115" s="96"/>
      <c r="D115" s="97"/>
      <c r="E115" s="113"/>
      <c r="F115" s="90"/>
      <c r="G115" s="91"/>
      <c r="H115" s="92"/>
      <c r="I115" s="105"/>
      <c r="J115" s="83"/>
      <c r="K115" s="83"/>
      <c r="L115" s="12"/>
      <c r="M115" s="28"/>
      <c r="N115" s="14"/>
      <c r="O115" s="11"/>
      <c r="P115" s="11"/>
      <c r="Q115" s="16"/>
      <c r="R115" s="2"/>
      <c r="S115" s="12"/>
      <c r="T115" s="17"/>
      <c r="U115" s="2"/>
      <c r="V115" s="18"/>
      <c r="W115" s="16"/>
    </row>
    <row r="116" spans="2:23" ht="18" x14ac:dyDescent="0.35">
      <c r="B116" s="95"/>
      <c r="C116" s="96"/>
      <c r="D116" s="97"/>
      <c r="E116" s="113"/>
      <c r="F116" s="90"/>
      <c r="G116" s="91"/>
      <c r="H116" s="92"/>
      <c r="I116" s="105"/>
      <c r="J116" s="83"/>
      <c r="K116" s="83"/>
      <c r="L116" s="12"/>
      <c r="M116" s="28"/>
      <c r="N116" s="14"/>
      <c r="O116" s="11"/>
      <c r="P116" s="11"/>
      <c r="Q116" s="16"/>
      <c r="R116" s="2"/>
      <c r="S116" s="12"/>
      <c r="T116" s="17"/>
      <c r="U116" s="2"/>
      <c r="V116" s="18"/>
      <c r="W116" s="16"/>
    </row>
    <row r="117" spans="2:23" ht="18" x14ac:dyDescent="0.35">
      <c r="B117" s="95"/>
      <c r="C117" s="96"/>
      <c r="D117" s="97"/>
      <c r="E117" s="113"/>
      <c r="F117" s="90"/>
      <c r="G117" s="91"/>
      <c r="H117" s="92"/>
      <c r="I117" s="105"/>
      <c r="J117" s="83"/>
      <c r="K117" s="83"/>
      <c r="L117" s="12"/>
      <c r="M117" s="28"/>
      <c r="N117" s="14"/>
      <c r="O117" s="11"/>
      <c r="P117" s="11"/>
      <c r="Q117" s="16"/>
      <c r="R117" s="2"/>
      <c r="S117" s="12"/>
      <c r="T117" s="17"/>
      <c r="U117" s="2"/>
      <c r="V117" s="18"/>
      <c r="W117" s="16"/>
    </row>
    <row r="118" spans="2:23" ht="18" x14ac:dyDescent="0.35">
      <c r="B118" s="95"/>
      <c r="C118" s="96"/>
      <c r="D118" s="97"/>
      <c r="E118" s="113"/>
      <c r="F118" s="90"/>
      <c r="G118" s="91"/>
      <c r="H118" s="92"/>
      <c r="I118" s="105"/>
      <c r="J118" s="83"/>
      <c r="K118" s="83"/>
      <c r="L118" s="12"/>
      <c r="M118" s="28"/>
      <c r="N118" s="14"/>
      <c r="O118" s="11"/>
      <c r="P118" s="11"/>
      <c r="Q118" s="16"/>
      <c r="R118" s="2"/>
      <c r="S118" s="12"/>
      <c r="T118" s="17"/>
      <c r="U118" s="2"/>
      <c r="V118" s="18"/>
      <c r="W118" s="16"/>
    </row>
    <row r="119" spans="2:23" ht="18" x14ac:dyDescent="0.35">
      <c r="B119" s="95"/>
      <c r="C119" s="96"/>
      <c r="D119" s="97"/>
      <c r="E119" s="113"/>
      <c r="F119" s="90"/>
      <c r="G119" s="91"/>
      <c r="H119" s="92"/>
      <c r="I119" s="105"/>
      <c r="J119" s="83"/>
      <c r="K119" s="83"/>
      <c r="L119" s="12"/>
      <c r="M119" s="28"/>
      <c r="N119" s="14"/>
      <c r="O119" s="11"/>
      <c r="P119" s="11"/>
      <c r="Q119" s="16"/>
      <c r="R119" s="2"/>
      <c r="S119" s="12"/>
      <c r="T119" s="17"/>
      <c r="U119" s="2"/>
      <c r="V119" s="18"/>
      <c r="W119" s="16"/>
    </row>
    <row r="120" spans="2:23" ht="18" x14ac:dyDescent="0.35">
      <c r="B120" s="95"/>
      <c r="C120" s="96"/>
      <c r="D120" s="97"/>
      <c r="E120" s="113"/>
      <c r="F120" s="90"/>
      <c r="G120" s="91"/>
      <c r="H120" s="92"/>
      <c r="I120" s="105"/>
      <c r="J120" s="83"/>
      <c r="K120" s="83"/>
      <c r="L120" s="12"/>
      <c r="M120" s="28"/>
      <c r="N120" s="14"/>
      <c r="O120" s="11"/>
      <c r="P120" s="11"/>
      <c r="Q120" s="16"/>
      <c r="R120" s="2"/>
      <c r="S120" s="12"/>
      <c r="T120" s="17"/>
      <c r="U120" s="2"/>
      <c r="V120" s="18"/>
      <c r="W120" s="16"/>
    </row>
    <row r="121" spans="2:23" ht="18" x14ac:dyDescent="0.35">
      <c r="B121" s="95"/>
      <c r="C121" s="96"/>
      <c r="D121" s="97"/>
      <c r="E121" s="113"/>
      <c r="F121" s="90"/>
      <c r="G121" s="91"/>
      <c r="H121" s="92"/>
      <c r="I121" s="105"/>
      <c r="J121" s="83"/>
      <c r="K121" s="83"/>
      <c r="L121" s="12"/>
      <c r="M121" s="28"/>
      <c r="N121" s="14"/>
      <c r="O121" s="11"/>
      <c r="P121" s="11"/>
      <c r="Q121" s="16"/>
      <c r="R121" s="2"/>
      <c r="S121" s="12"/>
      <c r="T121" s="17"/>
      <c r="U121" s="2"/>
      <c r="V121" s="18"/>
      <c r="W121" s="16"/>
    </row>
    <row r="122" spans="2:23" ht="18" x14ac:dyDescent="0.35">
      <c r="B122" s="95"/>
      <c r="C122" s="96"/>
      <c r="D122" s="97"/>
      <c r="E122" s="113"/>
      <c r="F122" s="99"/>
      <c r="G122" s="100"/>
      <c r="H122" s="101"/>
      <c r="I122" s="105"/>
      <c r="J122" s="83"/>
      <c r="K122" s="83"/>
      <c r="L122" s="12"/>
      <c r="M122" s="28"/>
      <c r="N122" s="14"/>
      <c r="O122" s="11"/>
      <c r="P122" s="11"/>
      <c r="Q122" s="16"/>
      <c r="R122" s="2"/>
      <c r="S122" s="12"/>
      <c r="T122" s="17"/>
      <c r="U122" s="2"/>
      <c r="V122" s="18"/>
      <c r="W122" s="16"/>
    </row>
    <row r="123" spans="2:23" ht="18" x14ac:dyDescent="0.35">
      <c r="B123" s="95"/>
      <c r="C123" s="96"/>
      <c r="D123" s="97"/>
      <c r="E123" s="113"/>
      <c r="F123" s="99"/>
      <c r="G123" s="100"/>
      <c r="H123" s="101"/>
      <c r="I123" s="105"/>
      <c r="J123" s="83"/>
      <c r="K123" s="83"/>
      <c r="L123" s="12"/>
      <c r="M123" s="28"/>
      <c r="N123" s="14"/>
      <c r="O123" s="11"/>
      <c r="P123" s="11"/>
      <c r="Q123" s="16"/>
      <c r="R123" s="2"/>
      <c r="S123" s="12"/>
      <c r="T123" s="17"/>
      <c r="U123" s="2"/>
      <c r="V123" s="18"/>
      <c r="W123" s="16"/>
    </row>
    <row r="124" spans="2:23" ht="18" x14ac:dyDescent="0.35">
      <c r="B124" s="95"/>
      <c r="C124" s="96"/>
      <c r="D124" s="97"/>
      <c r="E124" s="113"/>
      <c r="F124" s="99"/>
      <c r="G124" s="100"/>
      <c r="H124" s="101"/>
      <c r="I124" s="105"/>
      <c r="J124" s="83"/>
      <c r="K124" s="83"/>
      <c r="L124" s="12"/>
      <c r="M124" s="28"/>
      <c r="N124" s="14"/>
      <c r="O124" s="11"/>
      <c r="P124" s="11"/>
      <c r="Q124" s="16"/>
      <c r="R124" s="2"/>
      <c r="S124" s="12"/>
      <c r="T124" s="17"/>
      <c r="U124" s="2"/>
      <c r="V124" s="18"/>
      <c r="W124" s="16"/>
    </row>
    <row r="125" spans="2:23" ht="18" x14ac:dyDescent="0.35">
      <c r="B125" s="95"/>
      <c r="C125" s="96"/>
      <c r="D125" s="97"/>
      <c r="E125" s="113"/>
      <c r="F125" s="99"/>
      <c r="G125" s="100"/>
      <c r="H125" s="101"/>
      <c r="I125" s="105"/>
      <c r="J125" s="83"/>
      <c r="K125" s="83"/>
      <c r="L125" s="12"/>
      <c r="M125" s="28"/>
      <c r="N125" s="14"/>
      <c r="O125" s="11"/>
      <c r="P125" s="11"/>
      <c r="Q125" s="16"/>
      <c r="R125" s="2"/>
      <c r="S125" s="12"/>
      <c r="T125" s="17"/>
      <c r="U125" s="2"/>
      <c r="V125" s="18"/>
      <c r="W125" s="16"/>
    </row>
    <row r="126" spans="2:23" ht="18" x14ac:dyDescent="0.35">
      <c r="B126" s="95"/>
      <c r="C126" s="96"/>
      <c r="D126" s="97"/>
      <c r="E126" s="113"/>
      <c r="F126" s="99"/>
      <c r="G126" s="100"/>
      <c r="H126" s="101"/>
      <c r="I126" s="105"/>
      <c r="J126" s="83"/>
      <c r="K126" s="83"/>
      <c r="L126" s="12"/>
      <c r="M126" s="28"/>
      <c r="N126" s="14"/>
      <c r="O126" s="11"/>
      <c r="P126" s="11"/>
      <c r="Q126" s="16"/>
      <c r="R126" s="2"/>
      <c r="S126" s="12"/>
      <c r="T126" s="17"/>
      <c r="U126" s="2"/>
      <c r="V126" s="18"/>
      <c r="W126" s="16"/>
    </row>
    <row r="127" spans="2:23" ht="18" x14ac:dyDescent="0.35">
      <c r="B127" s="95"/>
      <c r="C127" s="96"/>
      <c r="D127" s="97"/>
      <c r="E127" s="113"/>
      <c r="F127" s="99"/>
      <c r="G127" s="100"/>
      <c r="H127" s="101"/>
      <c r="I127" s="105"/>
      <c r="J127" s="83"/>
      <c r="K127" s="83"/>
      <c r="L127" s="12"/>
      <c r="M127" s="28"/>
      <c r="N127" s="14"/>
      <c r="O127" s="11"/>
      <c r="P127" s="11"/>
      <c r="Q127" s="16"/>
      <c r="R127" s="2"/>
      <c r="S127" s="12"/>
      <c r="T127" s="17"/>
      <c r="U127" s="2"/>
      <c r="V127" s="18"/>
      <c r="W127" s="16"/>
    </row>
    <row r="128" spans="2:23" ht="18" x14ac:dyDescent="0.35">
      <c r="B128" s="95"/>
      <c r="C128" s="96"/>
      <c r="D128" s="97"/>
      <c r="E128" s="113"/>
      <c r="F128" s="99"/>
      <c r="G128" s="100"/>
      <c r="H128" s="101"/>
      <c r="I128" s="105"/>
      <c r="J128" s="83"/>
      <c r="K128" s="83"/>
      <c r="L128" s="12"/>
      <c r="M128" s="28"/>
      <c r="N128" s="14"/>
      <c r="O128" s="11"/>
      <c r="P128" s="11"/>
      <c r="Q128" s="16"/>
      <c r="R128" s="2"/>
      <c r="S128" s="12"/>
      <c r="T128" s="17"/>
      <c r="U128" s="2"/>
      <c r="V128" s="18"/>
      <c r="W128" s="16"/>
    </row>
    <row r="129" spans="1:23" ht="18.600000000000001" thickBot="1" x14ac:dyDescent="0.4">
      <c r="B129" s="114"/>
      <c r="C129" s="115"/>
      <c r="D129" s="116"/>
      <c r="E129" s="113"/>
      <c r="F129" s="117"/>
      <c r="G129" s="118"/>
      <c r="H129" s="119"/>
      <c r="I129" s="105"/>
      <c r="J129" s="83"/>
      <c r="K129" s="83"/>
      <c r="L129" s="30"/>
      <c r="M129" s="31"/>
      <c r="N129" s="32"/>
      <c r="O129" s="29"/>
      <c r="P129" s="29"/>
      <c r="Q129" s="33"/>
      <c r="R129" s="2"/>
      <c r="S129" s="30"/>
      <c r="T129" s="34"/>
      <c r="U129" s="2"/>
      <c r="V129" s="35"/>
      <c r="W129" s="33"/>
    </row>
    <row r="130" spans="1:23" ht="18.600000000000001" thickBot="1" x14ac:dyDescent="0.4">
      <c r="A130" s="120" t="s">
        <v>15</v>
      </c>
      <c r="B130" s="121">
        <f>SUM(B9:B129)</f>
        <v>0</v>
      </c>
      <c r="C130" s="122"/>
      <c r="D130" s="121"/>
      <c r="E130" s="123">
        <f>SUM(E9:E129)</f>
        <v>0</v>
      </c>
      <c r="F130" s="124">
        <f>SUM(F9:F129)</f>
        <v>0</v>
      </c>
      <c r="G130" s="82"/>
      <c r="H130" s="125"/>
      <c r="I130" s="125">
        <f>SUM(I9:I129)</f>
        <v>0</v>
      </c>
      <c r="J130" s="83"/>
      <c r="K130" s="83"/>
      <c r="L130" s="126"/>
      <c r="M130" s="126">
        <f>SUM(M9:M129)</f>
        <v>0</v>
      </c>
      <c r="N130" s="127">
        <f>SUM(N9:N129)</f>
        <v>0</v>
      </c>
      <c r="O130" s="82"/>
      <c r="P130" s="82">
        <f>SUM(P9:P129)</f>
        <v>0</v>
      </c>
      <c r="Q130" s="128">
        <f>SUM(Q9:Q129)</f>
        <v>0</v>
      </c>
      <c r="R130" s="83"/>
      <c r="S130" s="84"/>
      <c r="T130" s="129">
        <f>SUM(T9:T129)</f>
        <v>0</v>
      </c>
      <c r="U130" s="83"/>
      <c r="V130" s="82"/>
      <c r="W130" s="130">
        <f>SUM(W9:W129)</f>
        <v>0</v>
      </c>
    </row>
  </sheetData>
  <mergeCells count="8">
    <mergeCell ref="V5:W5"/>
    <mergeCell ref="Y5:Z5"/>
    <mergeCell ref="E1:G1"/>
    <mergeCell ref="B2:C2"/>
    <mergeCell ref="B3:C3"/>
    <mergeCell ref="B5:I5"/>
    <mergeCell ref="L5:Q5"/>
    <mergeCell ref="S5:T5"/>
  </mergeCell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4B1AA-5AB0-449C-85D3-963089FF67AE}">
  <sheetPr codeName="Sheet41"/>
  <dimension ref="A1:Z130"/>
  <sheetViews>
    <sheetView zoomScale="80" zoomScaleNormal="80" workbookViewId="0">
      <selection activeCell="E2" sqref="E2"/>
    </sheetView>
  </sheetViews>
  <sheetFormatPr defaultColWidth="9.109375" defaultRowHeight="14.4" x14ac:dyDescent="0.3"/>
  <cols>
    <col min="1" max="1" width="15.5546875" style="36" customWidth="1"/>
    <col min="2" max="2" width="15.88671875" style="36" customWidth="1"/>
    <col min="3" max="3" width="20" style="76" customWidth="1"/>
    <col min="4" max="4" width="20.33203125" style="36" customWidth="1"/>
    <col min="5" max="5" width="22.33203125" style="36" customWidth="1"/>
    <col min="6" max="6" width="14.6640625" style="36" customWidth="1"/>
    <col min="7" max="7" width="22" style="76" customWidth="1"/>
    <col min="8" max="8" width="18.88671875" style="36" customWidth="1"/>
    <col min="9" max="9" width="23" style="36" customWidth="1"/>
    <col min="10" max="11" width="9.109375" style="36"/>
    <col min="12" max="12" width="20.6640625" style="76" customWidth="1"/>
    <col min="13" max="13" width="15.44140625" style="76" customWidth="1"/>
    <col min="14" max="14" width="22.6640625" style="36" customWidth="1"/>
    <col min="15" max="15" width="20.5546875" style="76" customWidth="1"/>
    <col min="16" max="16" width="13.33203125" style="76" customWidth="1"/>
    <col min="17" max="17" width="21.5546875" style="76" customWidth="1"/>
    <col min="18" max="18" width="9.109375" style="36"/>
    <col min="19" max="19" width="22" style="76" customWidth="1"/>
    <col min="20" max="20" width="22.33203125" style="76" customWidth="1"/>
    <col min="21" max="21" width="9.109375" style="36"/>
    <col min="22" max="22" width="21.88671875" style="76" customWidth="1"/>
    <col min="23" max="23" width="23.109375" style="76" customWidth="1"/>
    <col min="24" max="24" width="9.109375" style="36"/>
    <col min="25" max="25" width="21.33203125" style="36" customWidth="1"/>
    <col min="26" max="26" width="21.88671875" style="36" customWidth="1"/>
    <col min="27" max="16384" width="9.109375" style="36"/>
  </cols>
  <sheetData>
    <row r="1" spans="2:26" ht="21" x14ac:dyDescent="0.4">
      <c r="E1" s="189">
        <v>44187</v>
      </c>
      <c r="F1" s="189"/>
      <c r="G1" s="189"/>
    </row>
    <row r="2" spans="2:26" ht="18" x14ac:dyDescent="0.35">
      <c r="B2" s="190" t="s">
        <v>0</v>
      </c>
      <c r="C2" s="190"/>
      <c r="D2" s="1"/>
    </row>
    <row r="3" spans="2:26" ht="18" x14ac:dyDescent="0.35">
      <c r="B3" s="190" t="s">
        <v>1</v>
      </c>
      <c r="C3" s="190"/>
      <c r="D3" s="77">
        <f>(D2-E130-I130)</f>
        <v>0</v>
      </c>
    </row>
    <row r="5" spans="2:26" ht="36.6" x14ac:dyDescent="0.7">
      <c r="B5" s="187" t="s">
        <v>2</v>
      </c>
      <c r="C5" s="187"/>
      <c r="D5" s="187"/>
      <c r="E5" s="187"/>
      <c r="F5" s="187"/>
      <c r="G5" s="187"/>
      <c r="H5" s="187"/>
      <c r="I5" s="187"/>
      <c r="L5" s="187" t="s">
        <v>3</v>
      </c>
      <c r="M5" s="187"/>
      <c r="N5" s="187"/>
      <c r="O5" s="187"/>
      <c r="P5" s="187"/>
      <c r="Q5" s="187"/>
      <c r="S5" s="191" t="s">
        <v>4</v>
      </c>
      <c r="T5" s="191"/>
      <c r="V5" s="187" t="s">
        <v>5</v>
      </c>
      <c r="W5" s="187"/>
      <c r="Y5" s="188" t="s">
        <v>105</v>
      </c>
      <c r="Z5" s="187"/>
    </row>
    <row r="7" spans="2:26" ht="15" thickBot="1" x14ac:dyDescent="0.35"/>
    <row r="8" spans="2:26" ht="18.600000000000001" thickBot="1" x14ac:dyDescent="0.4">
      <c r="B8" s="78" t="s">
        <v>6</v>
      </c>
      <c r="C8" s="79" t="s">
        <v>7</v>
      </c>
      <c r="D8" s="78" t="s">
        <v>8</v>
      </c>
      <c r="E8" s="80" t="s">
        <v>9</v>
      </c>
      <c r="F8" s="81" t="s">
        <v>6</v>
      </c>
      <c r="G8" s="81" t="s">
        <v>10</v>
      </c>
      <c r="H8" s="81" t="s">
        <v>8</v>
      </c>
      <c r="I8" s="82" t="s">
        <v>9</v>
      </c>
      <c r="J8" s="83"/>
      <c r="K8" s="83"/>
      <c r="L8" s="84" t="s">
        <v>11</v>
      </c>
      <c r="M8" s="84" t="s">
        <v>6</v>
      </c>
      <c r="N8" s="84" t="s">
        <v>9</v>
      </c>
      <c r="O8" s="82" t="s">
        <v>12</v>
      </c>
      <c r="P8" s="82" t="s">
        <v>6</v>
      </c>
      <c r="Q8" s="82" t="s">
        <v>9</v>
      </c>
      <c r="R8" s="83"/>
      <c r="S8" s="84" t="s">
        <v>13</v>
      </c>
      <c r="T8" s="85" t="s">
        <v>9</v>
      </c>
      <c r="U8" s="83"/>
      <c r="V8" s="82" t="s">
        <v>14</v>
      </c>
      <c r="W8" s="82" t="s">
        <v>9</v>
      </c>
      <c r="Y8" s="146" t="s">
        <v>106</v>
      </c>
      <c r="Z8" s="147" t="s">
        <v>107</v>
      </c>
    </row>
    <row r="9" spans="2:26" ht="18" x14ac:dyDescent="0.35">
      <c r="B9" s="86"/>
      <c r="C9" s="87"/>
      <c r="D9" s="88"/>
      <c r="E9" s="89"/>
      <c r="F9" s="90"/>
      <c r="G9" s="91"/>
      <c r="H9" s="92"/>
      <c r="I9" s="93"/>
      <c r="J9" s="83"/>
      <c r="K9" s="83"/>
      <c r="L9" s="3"/>
      <c r="M9" s="4"/>
      <c r="N9" s="5"/>
      <c r="O9" s="6"/>
      <c r="P9" s="7"/>
      <c r="Q9" s="8"/>
      <c r="R9" s="2"/>
      <c r="S9" s="3"/>
      <c r="T9" s="9"/>
      <c r="U9" s="2"/>
      <c r="V9" s="10"/>
      <c r="W9" s="8"/>
      <c r="Y9" s="148" t="s">
        <v>88</v>
      </c>
      <c r="Z9" s="151">
        <f>SUMIF($C$9:$C$129, Y9, $B$9:$B$129)</f>
        <v>0</v>
      </c>
    </row>
    <row r="10" spans="2:26" ht="18" x14ac:dyDescent="0.35">
      <c r="B10" s="95"/>
      <c r="C10" s="96"/>
      <c r="D10" s="97"/>
      <c r="E10" s="98"/>
      <c r="F10" s="90"/>
      <c r="G10" s="91"/>
      <c r="H10" s="92"/>
      <c r="I10" s="93"/>
      <c r="J10" s="83"/>
      <c r="K10" s="83"/>
      <c r="L10" s="12"/>
      <c r="M10" s="13"/>
      <c r="N10" s="14"/>
      <c r="O10" s="11"/>
      <c r="P10" s="15"/>
      <c r="Q10" s="16"/>
      <c r="R10" s="2"/>
      <c r="S10" s="12"/>
      <c r="T10" s="17"/>
      <c r="U10" s="2"/>
      <c r="V10" s="18"/>
      <c r="W10" s="8"/>
      <c r="Y10" s="149" t="s">
        <v>76</v>
      </c>
      <c r="Z10" s="151">
        <f t="shared" ref="Z10:Z11" si="0">SUMIF($C$9:$C$129, Y10, $B$9:$B$129)</f>
        <v>0</v>
      </c>
    </row>
    <row r="11" spans="2:26" ht="18" x14ac:dyDescent="0.35">
      <c r="B11" s="95"/>
      <c r="C11" s="96"/>
      <c r="D11" s="97"/>
      <c r="E11" s="98"/>
      <c r="F11" s="90"/>
      <c r="G11" s="91"/>
      <c r="H11" s="92"/>
      <c r="I11" s="93"/>
      <c r="J11" s="83"/>
      <c r="K11" s="83"/>
      <c r="L11" s="12"/>
      <c r="M11" s="13"/>
      <c r="N11" s="14"/>
      <c r="O11" s="11"/>
      <c r="P11" s="15"/>
      <c r="Q11" s="16"/>
      <c r="R11" s="2"/>
      <c r="S11" s="12"/>
      <c r="T11" s="17"/>
      <c r="U11" s="2"/>
      <c r="V11" s="18"/>
      <c r="W11" s="8"/>
      <c r="Y11" s="149" t="s">
        <v>77</v>
      </c>
      <c r="Z11" s="151">
        <f t="shared" si="0"/>
        <v>0</v>
      </c>
    </row>
    <row r="12" spans="2:26" ht="18" x14ac:dyDescent="0.35">
      <c r="B12" s="95"/>
      <c r="C12" s="96"/>
      <c r="D12" s="97"/>
      <c r="E12" s="98"/>
      <c r="F12" s="90"/>
      <c r="G12" s="91"/>
      <c r="H12" s="92"/>
      <c r="I12" s="93"/>
      <c r="J12" s="83"/>
      <c r="K12" s="83"/>
      <c r="L12" s="12"/>
      <c r="M12" s="13"/>
      <c r="N12" s="14"/>
      <c r="O12" s="11"/>
      <c r="P12" s="15"/>
      <c r="Q12" s="16"/>
      <c r="R12" s="2"/>
      <c r="S12" s="12"/>
      <c r="T12" s="17"/>
      <c r="U12" s="2"/>
      <c r="V12" s="18"/>
      <c r="W12" s="8"/>
      <c r="Y12" s="149" t="s">
        <v>89</v>
      </c>
      <c r="Z12" s="152">
        <f>SUMIF($G$9:$G$129, Y12, $F$9:$F$129)</f>
        <v>0</v>
      </c>
    </row>
    <row r="13" spans="2:26" ht="18" x14ac:dyDescent="0.35">
      <c r="B13" s="95"/>
      <c r="C13" s="96"/>
      <c r="D13" s="97"/>
      <c r="E13" s="98"/>
      <c r="F13" s="90"/>
      <c r="G13" s="91"/>
      <c r="H13" s="92"/>
      <c r="I13" s="93"/>
      <c r="J13" s="83"/>
      <c r="K13" s="83"/>
      <c r="L13" s="12"/>
      <c r="M13" s="13"/>
      <c r="N13" s="14"/>
      <c r="O13" s="11"/>
      <c r="P13" s="15"/>
      <c r="Q13" s="16"/>
      <c r="R13" s="2"/>
      <c r="S13" s="12"/>
      <c r="T13" s="17"/>
      <c r="U13" s="2"/>
      <c r="V13" s="18"/>
      <c r="W13" s="8"/>
      <c r="Y13" s="149" t="s">
        <v>20</v>
      </c>
      <c r="Z13" s="152">
        <f t="shared" ref="Z13:Z76" si="1">SUMIF($G$9:$G$129, Y13, $F$9:$F$129)</f>
        <v>0</v>
      </c>
    </row>
    <row r="14" spans="2:26" ht="18" x14ac:dyDescent="0.35">
      <c r="B14" s="95"/>
      <c r="C14" s="96"/>
      <c r="D14" s="97"/>
      <c r="E14" s="98"/>
      <c r="F14" s="90"/>
      <c r="G14" s="91"/>
      <c r="H14" s="92"/>
      <c r="I14" s="93"/>
      <c r="J14" s="83"/>
      <c r="K14" s="83"/>
      <c r="L14" s="12"/>
      <c r="M14" s="13"/>
      <c r="N14" s="14"/>
      <c r="O14" s="11"/>
      <c r="P14" s="15"/>
      <c r="Q14" s="16"/>
      <c r="R14" s="2"/>
      <c r="S14" s="12"/>
      <c r="T14" s="17"/>
      <c r="U14" s="2"/>
      <c r="V14" s="18"/>
      <c r="W14" s="8"/>
      <c r="Y14" s="149" t="s">
        <v>19</v>
      </c>
      <c r="Z14" s="152">
        <f t="shared" si="1"/>
        <v>0</v>
      </c>
    </row>
    <row r="15" spans="2:26" ht="18" x14ac:dyDescent="0.35">
      <c r="B15" s="95"/>
      <c r="C15" s="96"/>
      <c r="D15" s="97"/>
      <c r="E15" s="98"/>
      <c r="F15" s="90"/>
      <c r="G15" s="91"/>
      <c r="H15" s="92"/>
      <c r="I15" s="93"/>
      <c r="J15" s="83"/>
      <c r="K15" s="83"/>
      <c r="L15" s="12"/>
      <c r="M15" s="13"/>
      <c r="N15" s="14"/>
      <c r="O15" s="11"/>
      <c r="P15" s="15"/>
      <c r="Q15" s="16"/>
      <c r="R15" s="2"/>
      <c r="S15" s="12"/>
      <c r="T15" s="17"/>
      <c r="U15" s="2"/>
      <c r="V15" s="18"/>
      <c r="W15" s="8"/>
      <c r="Y15" s="149" t="s">
        <v>18</v>
      </c>
      <c r="Z15" s="152">
        <f t="shared" si="1"/>
        <v>0</v>
      </c>
    </row>
    <row r="16" spans="2:26" ht="18" x14ac:dyDescent="0.35">
      <c r="B16" s="95"/>
      <c r="C16" s="96"/>
      <c r="D16" s="97"/>
      <c r="E16" s="98"/>
      <c r="F16" s="90"/>
      <c r="G16" s="91"/>
      <c r="H16" s="92"/>
      <c r="I16" s="93"/>
      <c r="J16" s="83"/>
      <c r="K16" s="83"/>
      <c r="L16" s="12"/>
      <c r="M16" s="13"/>
      <c r="N16" s="14"/>
      <c r="O16" s="11"/>
      <c r="P16" s="15"/>
      <c r="Q16" s="16"/>
      <c r="R16" s="2"/>
      <c r="S16" s="12"/>
      <c r="T16" s="17"/>
      <c r="U16" s="2"/>
      <c r="V16" s="18"/>
      <c r="W16" s="8"/>
      <c r="Y16" s="149" t="s">
        <v>22</v>
      </c>
      <c r="Z16" s="152">
        <f t="shared" si="1"/>
        <v>0</v>
      </c>
    </row>
    <row r="17" spans="2:26" ht="18" x14ac:dyDescent="0.35">
      <c r="B17" s="95"/>
      <c r="C17" s="96"/>
      <c r="D17" s="97"/>
      <c r="E17" s="98"/>
      <c r="F17" s="90"/>
      <c r="G17" s="91"/>
      <c r="H17" s="92"/>
      <c r="I17" s="93"/>
      <c r="J17" s="83"/>
      <c r="K17" s="83"/>
      <c r="L17" s="12"/>
      <c r="M17" s="13"/>
      <c r="N17" s="14"/>
      <c r="O17" s="11"/>
      <c r="P17" s="15"/>
      <c r="Q17" s="16"/>
      <c r="R17" s="2"/>
      <c r="S17" s="12"/>
      <c r="T17" s="17"/>
      <c r="U17" s="2"/>
      <c r="V17" s="18"/>
      <c r="W17" s="8"/>
      <c r="Y17" s="149" t="s">
        <v>67</v>
      </c>
      <c r="Z17" s="152">
        <f t="shared" si="1"/>
        <v>0</v>
      </c>
    </row>
    <row r="18" spans="2:26" ht="18" x14ac:dyDescent="0.35">
      <c r="B18" s="95"/>
      <c r="C18" s="96"/>
      <c r="D18" s="97"/>
      <c r="E18" s="98"/>
      <c r="F18" s="90"/>
      <c r="G18" s="91"/>
      <c r="H18" s="92"/>
      <c r="I18" s="93"/>
      <c r="J18" s="83"/>
      <c r="K18" s="83"/>
      <c r="L18" s="12"/>
      <c r="M18" s="13"/>
      <c r="N18" s="14"/>
      <c r="O18" s="11"/>
      <c r="P18" s="15"/>
      <c r="Q18" s="16"/>
      <c r="R18" s="2"/>
      <c r="S18" s="12"/>
      <c r="T18" s="17"/>
      <c r="U18" s="2"/>
      <c r="V18" s="18"/>
      <c r="W18" s="8"/>
      <c r="Y18" s="149" t="s">
        <v>90</v>
      </c>
      <c r="Z18" s="152">
        <f t="shared" si="1"/>
        <v>0</v>
      </c>
    </row>
    <row r="19" spans="2:26" ht="18" x14ac:dyDescent="0.35">
      <c r="B19" s="95"/>
      <c r="C19" s="96"/>
      <c r="D19" s="97"/>
      <c r="E19" s="98"/>
      <c r="F19" s="90"/>
      <c r="G19" s="91"/>
      <c r="H19" s="92"/>
      <c r="I19" s="93"/>
      <c r="J19" s="83"/>
      <c r="K19" s="83"/>
      <c r="L19" s="12"/>
      <c r="M19" s="13"/>
      <c r="N19" s="14"/>
      <c r="O19" s="11"/>
      <c r="P19" s="15"/>
      <c r="Q19" s="16"/>
      <c r="R19" s="2"/>
      <c r="S19" s="12"/>
      <c r="T19" s="17"/>
      <c r="U19" s="2"/>
      <c r="V19" s="18"/>
      <c r="W19" s="8"/>
      <c r="Y19" s="149" t="s">
        <v>91</v>
      </c>
      <c r="Z19" s="152">
        <f t="shared" si="1"/>
        <v>0</v>
      </c>
    </row>
    <row r="20" spans="2:26" ht="18" x14ac:dyDescent="0.35">
      <c r="B20" s="95"/>
      <c r="C20" s="96"/>
      <c r="D20" s="97"/>
      <c r="E20" s="98"/>
      <c r="F20" s="90"/>
      <c r="G20" s="91"/>
      <c r="H20" s="92"/>
      <c r="I20" s="93"/>
      <c r="J20" s="83"/>
      <c r="K20" s="83"/>
      <c r="L20" s="12"/>
      <c r="M20" s="13"/>
      <c r="N20" s="14"/>
      <c r="O20" s="11"/>
      <c r="P20" s="15"/>
      <c r="Q20" s="16"/>
      <c r="R20" s="2"/>
      <c r="S20" s="12"/>
      <c r="T20" s="17"/>
      <c r="U20" s="2"/>
      <c r="V20" s="18"/>
      <c r="W20" s="8"/>
      <c r="Y20" s="149" t="s">
        <v>92</v>
      </c>
      <c r="Z20" s="152">
        <f t="shared" si="1"/>
        <v>0</v>
      </c>
    </row>
    <row r="21" spans="2:26" ht="18" x14ac:dyDescent="0.35">
      <c r="B21" s="95"/>
      <c r="C21" s="96"/>
      <c r="D21" s="97"/>
      <c r="E21" s="98"/>
      <c r="F21" s="90"/>
      <c r="G21" s="91"/>
      <c r="H21" s="92"/>
      <c r="I21" s="93"/>
      <c r="J21" s="83"/>
      <c r="K21" s="83"/>
      <c r="L21" s="12"/>
      <c r="M21" s="13"/>
      <c r="N21" s="14"/>
      <c r="O21" s="11"/>
      <c r="P21" s="15"/>
      <c r="Q21" s="16"/>
      <c r="R21" s="2"/>
      <c r="S21" s="12"/>
      <c r="T21" s="17"/>
      <c r="U21" s="2"/>
      <c r="V21" s="18"/>
      <c r="W21" s="8"/>
      <c r="Y21" s="149" t="s">
        <v>68</v>
      </c>
      <c r="Z21" s="152">
        <f t="shared" si="1"/>
        <v>0</v>
      </c>
    </row>
    <row r="22" spans="2:26" ht="18" x14ac:dyDescent="0.35">
      <c r="B22" s="95"/>
      <c r="C22" s="96"/>
      <c r="D22" s="97"/>
      <c r="E22" s="98"/>
      <c r="F22" s="90"/>
      <c r="G22" s="91"/>
      <c r="H22" s="92"/>
      <c r="I22" s="93"/>
      <c r="J22" s="83"/>
      <c r="K22" s="83"/>
      <c r="L22" s="12"/>
      <c r="M22" s="13"/>
      <c r="N22" s="14"/>
      <c r="O22" s="11"/>
      <c r="P22" s="15"/>
      <c r="Q22" s="16"/>
      <c r="R22" s="2"/>
      <c r="S22" s="12"/>
      <c r="T22" s="17"/>
      <c r="U22" s="2"/>
      <c r="V22" s="18"/>
      <c r="W22" s="8"/>
      <c r="Y22" s="149" t="s">
        <v>93</v>
      </c>
      <c r="Z22" s="152">
        <f t="shared" si="1"/>
        <v>0</v>
      </c>
    </row>
    <row r="23" spans="2:26" ht="18" x14ac:dyDescent="0.35">
      <c r="B23" s="95"/>
      <c r="C23" s="96"/>
      <c r="D23" s="97"/>
      <c r="E23" s="98"/>
      <c r="F23" s="90"/>
      <c r="G23" s="91"/>
      <c r="H23" s="92"/>
      <c r="I23" s="93"/>
      <c r="J23" s="83"/>
      <c r="K23" s="83"/>
      <c r="L23" s="12"/>
      <c r="M23" s="13"/>
      <c r="N23" s="14"/>
      <c r="O23" s="11"/>
      <c r="P23" s="15"/>
      <c r="Q23" s="16"/>
      <c r="R23" s="2"/>
      <c r="S23" s="12"/>
      <c r="T23" s="17"/>
      <c r="U23" s="2"/>
      <c r="V23" s="18"/>
      <c r="W23" s="8"/>
      <c r="Y23" s="149" t="s">
        <v>23</v>
      </c>
      <c r="Z23" s="152">
        <f t="shared" si="1"/>
        <v>0</v>
      </c>
    </row>
    <row r="24" spans="2:26" ht="18" x14ac:dyDescent="0.35">
      <c r="B24" s="95"/>
      <c r="C24" s="96"/>
      <c r="D24" s="97"/>
      <c r="E24" s="98"/>
      <c r="F24" s="90"/>
      <c r="G24" s="91"/>
      <c r="H24" s="92"/>
      <c r="I24" s="93"/>
      <c r="J24" s="83"/>
      <c r="K24" s="83"/>
      <c r="L24" s="12"/>
      <c r="M24" s="13"/>
      <c r="N24" s="14"/>
      <c r="O24" s="11"/>
      <c r="P24" s="15"/>
      <c r="Q24" s="16"/>
      <c r="R24" s="2"/>
      <c r="S24" s="12"/>
      <c r="T24" s="17"/>
      <c r="U24" s="2"/>
      <c r="V24" s="18"/>
      <c r="W24" s="8"/>
      <c r="Y24" s="149" t="s">
        <v>24</v>
      </c>
      <c r="Z24" s="152">
        <f t="shared" si="1"/>
        <v>0</v>
      </c>
    </row>
    <row r="25" spans="2:26" ht="18" x14ac:dyDescent="0.35">
      <c r="B25" s="95"/>
      <c r="C25" s="96"/>
      <c r="D25" s="97"/>
      <c r="E25" s="98"/>
      <c r="F25" s="90"/>
      <c r="G25" s="91"/>
      <c r="H25" s="92"/>
      <c r="I25" s="93"/>
      <c r="J25" s="83"/>
      <c r="K25" s="83"/>
      <c r="L25" s="12"/>
      <c r="M25" s="13"/>
      <c r="N25" s="14"/>
      <c r="O25" s="11"/>
      <c r="P25" s="15"/>
      <c r="Q25" s="16"/>
      <c r="R25" s="2"/>
      <c r="S25" s="12"/>
      <c r="T25" s="17"/>
      <c r="U25" s="2"/>
      <c r="V25" s="18"/>
      <c r="W25" s="8"/>
      <c r="Y25" s="149" t="s">
        <v>25</v>
      </c>
      <c r="Z25" s="152">
        <f t="shared" si="1"/>
        <v>0</v>
      </c>
    </row>
    <row r="26" spans="2:26" ht="18" x14ac:dyDescent="0.35">
      <c r="B26" s="95"/>
      <c r="C26" s="96"/>
      <c r="D26" s="97"/>
      <c r="E26" s="98"/>
      <c r="F26" s="90"/>
      <c r="G26" s="91"/>
      <c r="H26" s="92"/>
      <c r="I26" s="93"/>
      <c r="J26" s="83"/>
      <c r="K26" s="83"/>
      <c r="L26" s="12"/>
      <c r="M26" s="13"/>
      <c r="N26" s="14"/>
      <c r="O26" s="11"/>
      <c r="P26" s="15"/>
      <c r="Q26" s="16"/>
      <c r="R26" s="2"/>
      <c r="S26" s="12"/>
      <c r="T26" s="17"/>
      <c r="U26" s="2"/>
      <c r="V26" s="18"/>
      <c r="W26" s="8"/>
      <c r="Y26" s="149" t="s">
        <v>98</v>
      </c>
      <c r="Z26" s="152">
        <f t="shared" si="1"/>
        <v>0</v>
      </c>
    </row>
    <row r="27" spans="2:26" ht="18" x14ac:dyDescent="0.35">
      <c r="B27" s="95"/>
      <c r="C27" s="96"/>
      <c r="D27" s="97"/>
      <c r="E27" s="98"/>
      <c r="F27" s="90"/>
      <c r="G27" s="91"/>
      <c r="H27" s="92"/>
      <c r="I27" s="93"/>
      <c r="J27" s="83"/>
      <c r="K27" s="83"/>
      <c r="L27" s="12"/>
      <c r="M27" s="13"/>
      <c r="N27" s="14"/>
      <c r="O27" s="11"/>
      <c r="P27" s="15"/>
      <c r="Q27" s="16"/>
      <c r="R27" s="2"/>
      <c r="S27" s="12"/>
      <c r="T27" s="17"/>
      <c r="U27" s="2"/>
      <c r="V27" s="18"/>
      <c r="W27" s="8"/>
      <c r="Y27" s="149" t="s">
        <v>94</v>
      </c>
      <c r="Z27" s="152">
        <f t="shared" si="1"/>
        <v>0</v>
      </c>
    </row>
    <row r="28" spans="2:26" ht="18" x14ac:dyDescent="0.35">
      <c r="B28" s="95"/>
      <c r="C28" s="96"/>
      <c r="D28" s="97"/>
      <c r="E28" s="98"/>
      <c r="F28" s="90"/>
      <c r="G28" s="91"/>
      <c r="H28" s="92"/>
      <c r="I28" s="93"/>
      <c r="J28" s="83"/>
      <c r="K28" s="83"/>
      <c r="L28" s="12"/>
      <c r="M28" s="13"/>
      <c r="N28" s="14"/>
      <c r="O28" s="11"/>
      <c r="P28" s="15"/>
      <c r="Q28" s="16"/>
      <c r="R28" s="2"/>
      <c r="S28" s="12"/>
      <c r="T28" s="17"/>
      <c r="U28" s="2"/>
      <c r="V28" s="18"/>
      <c r="W28" s="8"/>
      <c r="Y28" s="149" t="s">
        <v>42</v>
      </c>
      <c r="Z28" s="152">
        <f t="shared" si="1"/>
        <v>0</v>
      </c>
    </row>
    <row r="29" spans="2:26" ht="18" x14ac:dyDescent="0.35">
      <c r="B29" s="95"/>
      <c r="C29" s="96"/>
      <c r="D29" s="97"/>
      <c r="E29" s="98"/>
      <c r="F29" s="90"/>
      <c r="G29" s="91"/>
      <c r="H29" s="92"/>
      <c r="I29" s="93"/>
      <c r="J29" s="83"/>
      <c r="K29" s="83"/>
      <c r="L29" s="12"/>
      <c r="M29" s="13"/>
      <c r="N29" s="14"/>
      <c r="O29" s="11"/>
      <c r="P29" s="15"/>
      <c r="Q29" s="16"/>
      <c r="R29" s="2"/>
      <c r="S29" s="12"/>
      <c r="T29" s="17"/>
      <c r="U29" s="2"/>
      <c r="V29" s="18"/>
      <c r="W29" s="8"/>
      <c r="Y29" s="149" t="s">
        <v>39</v>
      </c>
      <c r="Z29" s="152">
        <f t="shared" si="1"/>
        <v>0</v>
      </c>
    </row>
    <row r="30" spans="2:26" ht="18" x14ac:dyDescent="0.35">
      <c r="B30" s="95"/>
      <c r="C30" s="96"/>
      <c r="D30" s="97"/>
      <c r="E30" s="98"/>
      <c r="F30" s="90"/>
      <c r="G30" s="91"/>
      <c r="H30" s="92"/>
      <c r="I30" s="93"/>
      <c r="J30" s="83"/>
      <c r="K30" s="83"/>
      <c r="L30" s="12"/>
      <c r="M30" s="13"/>
      <c r="N30" s="14"/>
      <c r="O30" s="11"/>
      <c r="P30" s="15"/>
      <c r="Q30" s="16"/>
      <c r="R30" s="2"/>
      <c r="S30" s="12"/>
      <c r="T30" s="17"/>
      <c r="U30" s="2"/>
      <c r="V30" s="18"/>
      <c r="W30" s="8"/>
      <c r="Y30" s="149" t="s">
        <v>99</v>
      </c>
      <c r="Z30" s="152">
        <f t="shared" si="1"/>
        <v>0</v>
      </c>
    </row>
    <row r="31" spans="2:26" ht="18" x14ac:dyDescent="0.35">
      <c r="B31" s="95"/>
      <c r="C31" s="96"/>
      <c r="D31" s="97"/>
      <c r="E31" s="98"/>
      <c r="F31" s="90"/>
      <c r="G31" s="91"/>
      <c r="H31" s="92"/>
      <c r="I31" s="93"/>
      <c r="J31" s="83"/>
      <c r="K31" s="83"/>
      <c r="L31" s="12"/>
      <c r="M31" s="13"/>
      <c r="N31" s="14"/>
      <c r="O31" s="11"/>
      <c r="P31" s="15"/>
      <c r="Q31" s="16"/>
      <c r="R31" s="2"/>
      <c r="S31" s="12"/>
      <c r="T31" s="17"/>
      <c r="U31" s="2"/>
      <c r="V31" s="18"/>
      <c r="W31" s="8"/>
      <c r="Y31" s="149" t="s">
        <v>95</v>
      </c>
      <c r="Z31" s="152">
        <f t="shared" si="1"/>
        <v>0</v>
      </c>
    </row>
    <row r="32" spans="2:26" ht="18" x14ac:dyDescent="0.35">
      <c r="B32" s="95"/>
      <c r="C32" s="96"/>
      <c r="D32" s="97"/>
      <c r="E32" s="98"/>
      <c r="F32" s="90"/>
      <c r="G32" s="91"/>
      <c r="H32" s="92"/>
      <c r="I32" s="93"/>
      <c r="J32" s="83"/>
      <c r="K32" s="83"/>
      <c r="L32" s="12"/>
      <c r="M32" s="13"/>
      <c r="N32" s="14"/>
      <c r="O32" s="11"/>
      <c r="P32" s="15"/>
      <c r="Q32" s="16"/>
      <c r="R32" s="2"/>
      <c r="S32" s="12"/>
      <c r="T32" s="17"/>
      <c r="U32" s="2"/>
      <c r="V32" s="18"/>
      <c r="W32" s="8"/>
      <c r="Y32" s="149" t="s">
        <v>97</v>
      </c>
      <c r="Z32" s="152">
        <f t="shared" si="1"/>
        <v>0</v>
      </c>
    </row>
    <row r="33" spans="2:26" ht="18" x14ac:dyDescent="0.35">
      <c r="B33" s="95"/>
      <c r="C33" s="96"/>
      <c r="D33" s="97"/>
      <c r="E33" s="98"/>
      <c r="F33" s="90"/>
      <c r="G33" s="91"/>
      <c r="H33" s="92"/>
      <c r="I33" s="93"/>
      <c r="J33" s="83"/>
      <c r="K33" s="83"/>
      <c r="L33" s="12"/>
      <c r="M33" s="13"/>
      <c r="N33" s="14"/>
      <c r="O33" s="11"/>
      <c r="P33" s="15"/>
      <c r="Q33" s="16"/>
      <c r="R33" s="2"/>
      <c r="S33" s="12"/>
      <c r="T33" s="17"/>
      <c r="U33" s="2"/>
      <c r="V33" s="18"/>
      <c r="W33" s="8"/>
      <c r="Y33" s="149" t="s">
        <v>43</v>
      </c>
      <c r="Z33" s="152">
        <f t="shared" si="1"/>
        <v>0</v>
      </c>
    </row>
    <row r="34" spans="2:26" ht="18" x14ac:dyDescent="0.35">
      <c r="B34" s="95"/>
      <c r="C34" s="96"/>
      <c r="D34" s="97"/>
      <c r="E34" s="98"/>
      <c r="F34" s="90"/>
      <c r="G34" s="91"/>
      <c r="H34" s="92"/>
      <c r="I34" s="93"/>
      <c r="J34" s="83"/>
      <c r="K34" s="83"/>
      <c r="L34" s="12"/>
      <c r="M34" s="13"/>
      <c r="N34" s="14"/>
      <c r="O34" s="11"/>
      <c r="P34" s="15"/>
      <c r="Q34" s="16"/>
      <c r="R34" s="2"/>
      <c r="S34" s="12"/>
      <c r="T34" s="17"/>
      <c r="U34" s="2"/>
      <c r="V34" s="18"/>
      <c r="W34" s="8"/>
      <c r="Y34" s="149" t="s">
        <v>32</v>
      </c>
      <c r="Z34" s="152">
        <f t="shared" si="1"/>
        <v>0</v>
      </c>
    </row>
    <row r="35" spans="2:26" ht="18" x14ac:dyDescent="0.35">
      <c r="B35" s="95"/>
      <c r="C35" s="96"/>
      <c r="D35" s="97"/>
      <c r="E35" s="98"/>
      <c r="F35" s="90"/>
      <c r="G35" s="91"/>
      <c r="H35" s="92"/>
      <c r="I35" s="93"/>
      <c r="J35" s="83"/>
      <c r="K35" s="83"/>
      <c r="L35" s="12"/>
      <c r="M35" s="13"/>
      <c r="N35" s="14"/>
      <c r="O35" s="11"/>
      <c r="P35" s="15"/>
      <c r="Q35" s="16"/>
      <c r="R35" s="2"/>
      <c r="S35" s="12"/>
      <c r="T35" s="17"/>
      <c r="U35" s="2"/>
      <c r="V35" s="18"/>
      <c r="W35" s="8"/>
      <c r="Y35" s="149" t="s">
        <v>33</v>
      </c>
      <c r="Z35" s="152">
        <f t="shared" si="1"/>
        <v>0</v>
      </c>
    </row>
    <row r="36" spans="2:26" ht="18" x14ac:dyDescent="0.35">
      <c r="B36" s="95"/>
      <c r="C36" s="96"/>
      <c r="D36" s="97"/>
      <c r="E36" s="98"/>
      <c r="F36" s="90"/>
      <c r="G36" s="91"/>
      <c r="H36" s="92"/>
      <c r="I36" s="93"/>
      <c r="J36" s="83"/>
      <c r="K36" s="83"/>
      <c r="L36" s="12"/>
      <c r="M36" s="13"/>
      <c r="N36" s="14"/>
      <c r="O36" s="11"/>
      <c r="P36" s="15"/>
      <c r="Q36" s="16"/>
      <c r="R36" s="2"/>
      <c r="S36" s="12"/>
      <c r="T36" s="17"/>
      <c r="U36" s="2"/>
      <c r="V36" s="18"/>
      <c r="W36" s="8"/>
      <c r="Y36" s="149" t="s">
        <v>30</v>
      </c>
      <c r="Z36" s="152">
        <f t="shared" si="1"/>
        <v>0</v>
      </c>
    </row>
    <row r="37" spans="2:26" ht="18" x14ac:dyDescent="0.35">
      <c r="B37" s="95"/>
      <c r="C37" s="96"/>
      <c r="D37" s="97"/>
      <c r="E37" s="98"/>
      <c r="F37" s="90"/>
      <c r="G37" s="91"/>
      <c r="H37" s="92"/>
      <c r="I37" s="93"/>
      <c r="J37" s="83"/>
      <c r="K37" s="83"/>
      <c r="L37" s="12"/>
      <c r="M37" s="13"/>
      <c r="N37" s="14"/>
      <c r="O37" s="11"/>
      <c r="P37" s="15"/>
      <c r="Q37" s="16"/>
      <c r="R37" s="2"/>
      <c r="S37" s="12"/>
      <c r="T37" s="17"/>
      <c r="U37" s="2"/>
      <c r="V37" s="18"/>
      <c r="W37" s="8"/>
      <c r="Y37" s="149" t="s">
        <v>31</v>
      </c>
      <c r="Z37" s="152">
        <f t="shared" si="1"/>
        <v>0</v>
      </c>
    </row>
    <row r="38" spans="2:26" ht="18" x14ac:dyDescent="0.35">
      <c r="B38" s="95"/>
      <c r="C38" s="96"/>
      <c r="D38" s="97"/>
      <c r="E38" s="98"/>
      <c r="F38" s="90"/>
      <c r="G38" s="91"/>
      <c r="H38" s="92"/>
      <c r="I38" s="93"/>
      <c r="J38" s="83"/>
      <c r="K38" s="83"/>
      <c r="L38" s="12"/>
      <c r="M38" s="13"/>
      <c r="N38" s="14"/>
      <c r="O38" s="11"/>
      <c r="P38" s="15"/>
      <c r="Q38" s="16"/>
      <c r="R38" s="2"/>
      <c r="S38" s="12"/>
      <c r="T38" s="17"/>
      <c r="U38" s="2"/>
      <c r="V38" s="18"/>
      <c r="W38" s="8"/>
      <c r="Y38" s="149" t="s">
        <v>84</v>
      </c>
      <c r="Z38" s="152">
        <f t="shared" si="1"/>
        <v>0</v>
      </c>
    </row>
    <row r="39" spans="2:26" ht="18" x14ac:dyDescent="0.35">
      <c r="B39" s="95"/>
      <c r="C39" s="96"/>
      <c r="D39" s="97"/>
      <c r="E39" s="98"/>
      <c r="F39" s="90"/>
      <c r="G39" s="91"/>
      <c r="H39" s="92"/>
      <c r="I39" s="93"/>
      <c r="J39" s="83"/>
      <c r="K39" s="83"/>
      <c r="L39" s="12"/>
      <c r="M39" s="13"/>
      <c r="N39" s="14"/>
      <c r="O39" s="11"/>
      <c r="P39" s="15"/>
      <c r="Q39" s="16"/>
      <c r="R39" s="2"/>
      <c r="S39" s="12"/>
      <c r="T39" s="17"/>
      <c r="U39" s="2"/>
      <c r="V39" s="18"/>
      <c r="W39" s="8"/>
      <c r="Y39" s="149" t="s">
        <v>85</v>
      </c>
      <c r="Z39" s="152">
        <f t="shared" si="1"/>
        <v>0</v>
      </c>
    </row>
    <row r="40" spans="2:26" ht="18" x14ac:dyDescent="0.35">
      <c r="B40" s="95"/>
      <c r="C40" s="96"/>
      <c r="D40" s="97"/>
      <c r="E40" s="98"/>
      <c r="F40" s="90"/>
      <c r="G40" s="91"/>
      <c r="H40" s="92"/>
      <c r="I40" s="93"/>
      <c r="J40" s="83"/>
      <c r="K40" s="83"/>
      <c r="L40" s="12"/>
      <c r="M40" s="13"/>
      <c r="N40" s="14"/>
      <c r="O40" s="11"/>
      <c r="P40" s="15"/>
      <c r="Q40" s="16"/>
      <c r="R40" s="2"/>
      <c r="S40" s="12"/>
      <c r="T40" s="17"/>
      <c r="U40" s="2"/>
      <c r="V40" s="18"/>
      <c r="W40" s="8"/>
      <c r="Y40" s="149" t="s">
        <v>86</v>
      </c>
      <c r="Z40" s="152">
        <f t="shared" si="1"/>
        <v>0</v>
      </c>
    </row>
    <row r="41" spans="2:26" ht="18" x14ac:dyDescent="0.35">
      <c r="B41" s="95"/>
      <c r="C41" s="96"/>
      <c r="D41" s="97"/>
      <c r="E41" s="98"/>
      <c r="F41" s="90"/>
      <c r="G41" s="91"/>
      <c r="H41" s="92"/>
      <c r="I41" s="93"/>
      <c r="J41" s="83"/>
      <c r="K41" s="83"/>
      <c r="L41" s="12"/>
      <c r="M41" s="13"/>
      <c r="N41" s="14"/>
      <c r="O41" s="11"/>
      <c r="P41" s="15"/>
      <c r="Q41" s="16"/>
      <c r="R41" s="2"/>
      <c r="S41" s="12"/>
      <c r="T41" s="17"/>
      <c r="U41" s="2"/>
      <c r="V41" s="18"/>
      <c r="W41" s="8"/>
      <c r="Y41" s="149" t="s">
        <v>87</v>
      </c>
      <c r="Z41" s="152">
        <f t="shared" si="1"/>
        <v>0</v>
      </c>
    </row>
    <row r="42" spans="2:26" ht="18" x14ac:dyDescent="0.35">
      <c r="B42" s="95"/>
      <c r="C42" s="96"/>
      <c r="D42" s="97"/>
      <c r="E42" s="98"/>
      <c r="F42" s="90"/>
      <c r="G42" s="91"/>
      <c r="H42" s="92"/>
      <c r="I42" s="93"/>
      <c r="J42" s="83"/>
      <c r="K42" s="83"/>
      <c r="L42" s="12"/>
      <c r="M42" s="13"/>
      <c r="N42" s="14"/>
      <c r="O42" s="11"/>
      <c r="P42" s="15"/>
      <c r="Q42" s="16"/>
      <c r="R42" s="2"/>
      <c r="S42" s="12"/>
      <c r="T42" s="17"/>
      <c r="U42" s="2"/>
      <c r="V42" s="18"/>
      <c r="W42" s="8"/>
      <c r="Y42" s="149" t="s">
        <v>46</v>
      </c>
      <c r="Z42" s="152">
        <f t="shared" si="1"/>
        <v>0</v>
      </c>
    </row>
    <row r="43" spans="2:26" ht="18" x14ac:dyDescent="0.35">
      <c r="B43" s="95"/>
      <c r="C43" s="96"/>
      <c r="D43" s="97"/>
      <c r="E43" s="98"/>
      <c r="F43" s="90"/>
      <c r="G43" s="91"/>
      <c r="H43" s="92"/>
      <c r="I43" s="93"/>
      <c r="J43" s="83"/>
      <c r="K43" s="83"/>
      <c r="L43" s="12"/>
      <c r="M43" s="13"/>
      <c r="N43" s="14"/>
      <c r="O43" s="11"/>
      <c r="P43" s="15"/>
      <c r="Q43" s="16"/>
      <c r="R43" s="2"/>
      <c r="S43" s="12"/>
      <c r="T43" s="17"/>
      <c r="U43" s="2"/>
      <c r="V43" s="18"/>
      <c r="W43" s="8"/>
      <c r="Y43" s="149" t="s">
        <v>47</v>
      </c>
      <c r="Z43" s="152">
        <f t="shared" si="1"/>
        <v>0</v>
      </c>
    </row>
    <row r="44" spans="2:26" ht="18" x14ac:dyDescent="0.35">
      <c r="B44" s="95"/>
      <c r="C44" s="96"/>
      <c r="D44" s="97"/>
      <c r="E44" s="98"/>
      <c r="F44" s="90"/>
      <c r="G44" s="91"/>
      <c r="H44" s="92"/>
      <c r="I44" s="93"/>
      <c r="J44" s="83"/>
      <c r="K44" s="83"/>
      <c r="L44" s="12"/>
      <c r="M44" s="13"/>
      <c r="N44" s="14"/>
      <c r="O44" s="11"/>
      <c r="P44" s="15"/>
      <c r="Q44" s="16"/>
      <c r="R44" s="2"/>
      <c r="S44" s="12"/>
      <c r="T44" s="17"/>
      <c r="U44" s="2"/>
      <c r="V44" s="18"/>
      <c r="W44" s="8"/>
      <c r="Y44" s="149" t="s">
        <v>48</v>
      </c>
      <c r="Z44" s="152">
        <f t="shared" si="1"/>
        <v>0</v>
      </c>
    </row>
    <row r="45" spans="2:26" ht="18" x14ac:dyDescent="0.35">
      <c r="B45" s="95"/>
      <c r="C45" s="96"/>
      <c r="D45" s="97"/>
      <c r="E45" s="98"/>
      <c r="F45" s="90"/>
      <c r="G45" s="91"/>
      <c r="H45" s="92"/>
      <c r="I45" s="93"/>
      <c r="J45" s="83"/>
      <c r="K45" s="83"/>
      <c r="L45" s="12"/>
      <c r="M45" s="13"/>
      <c r="N45" s="14"/>
      <c r="O45" s="11"/>
      <c r="P45" s="15"/>
      <c r="Q45" s="16"/>
      <c r="R45" s="2"/>
      <c r="S45" s="12"/>
      <c r="T45" s="17"/>
      <c r="U45" s="2"/>
      <c r="V45" s="18"/>
      <c r="W45" s="8"/>
      <c r="Y45" s="149" t="s">
        <v>83</v>
      </c>
      <c r="Z45" s="152">
        <f t="shared" si="1"/>
        <v>0</v>
      </c>
    </row>
    <row r="46" spans="2:26" ht="18" x14ac:dyDescent="0.35">
      <c r="B46" s="95"/>
      <c r="C46" s="96"/>
      <c r="D46" s="97"/>
      <c r="E46" s="98"/>
      <c r="F46" s="90"/>
      <c r="G46" s="91"/>
      <c r="H46" s="92"/>
      <c r="I46" s="93"/>
      <c r="J46" s="83"/>
      <c r="K46" s="83"/>
      <c r="L46" s="12"/>
      <c r="M46" s="13"/>
      <c r="N46" s="14"/>
      <c r="O46" s="11"/>
      <c r="P46" s="15"/>
      <c r="Q46" s="16"/>
      <c r="R46" s="2"/>
      <c r="S46" s="12"/>
      <c r="T46" s="17"/>
      <c r="U46" s="2"/>
      <c r="V46" s="18"/>
      <c r="W46" s="8"/>
      <c r="Y46" s="149" t="s">
        <v>96</v>
      </c>
      <c r="Z46" s="152">
        <f t="shared" si="1"/>
        <v>0</v>
      </c>
    </row>
    <row r="47" spans="2:26" ht="18" x14ac:dyDescent="0.35">
      <c r="B47" s="95"/>
      <c r="C47" s="96"/>
      <c r="D47" s="97"/>
      <c r="E47" s="98"/>
      <c r="F47" s="90"/>
      <c r="G47" s="91"/>
      <c r="H47" s="92"/>
      <c r="I47" s="93"/>
      <c r="J47" s="83"/>
      <c r="K47" s="83"/>
      <c r="L47" s="12"/>
      <c r="M47" s="13"/>
      <c r="N47" s="14"/>
      <c r="O47" s="11"/>
      <c r="P47" s="15"/>
      <c r="Q47" s="16"/>
      <c r="R47" s="2"/>
      <c r="S47" s="12"/>
      <c r="T47" s="17"/>
      <c r="U47" s="2"/>
      <c r="V47" s="18"/>
      <c r="W47" s="8"/>
      <c r="Y47" s="149" t="s">
        <v>73</v>
      </c>
      <c r="Z47" s="152">
        <f t="shared" si="1"/>
        <v>0</v>
      </c>
    </row>
    <row r="48" spans="2:26" ht="18" x14ac:dyDescent="0.35">
      <c r="B48" s="95"/>
      <c r="C48" s="96"/>
      <c r="D48" s="97"/>
      <c r="E48" s="98"/>
      <c r="F48" s="90"/>
      <c r="G48" s="91"/>
      <c r="H48" s="92"/>
      <c r="I48" s="93"/>
      <c r="J48" s="83"/>
      <c r="K48" s="83"/>
      <c r="L48" s="12"/>
      <c r="M48" s="13"/>
      <c r="N48" s="14"/>
      <c r="O48" s="11"/>
      <c r="P48" s="15"/>
      <c r="Q48" s="16"/>
      <c r="R48" s="2"/>
      <c r="S48" s="12"/>
      <c r="T48" s="17"/>
      <c r="U48" s="2"/>
      <c r="V48" s="18"/>
      <c r="W48" s="8"/>
      <c r="Y48" s="149" t="s">
        <v>74</v>
      </c>
      <c r="Z48" s="152">
        <f t="shared" si="1"/>
        <v>0</v>
      </c>
    </row>
    <row r="49" spans="2:26" ht="18" x14ac:dyDescent="0.35">
      <c r="B49" s="95"/>
      <c r="C49" s="96"/>
      <c r="D49" s="97"/>
      <c r="E49" s="98"/>
      <c r="F49" s="90"/>
      <c r="G49" s="91"/>
      <c r="H49" s="92"/>
      <c r="I49" s="93"/>
      <c r="J49" s="83"/>
      <c r="K49" s="83"/>
      <c r="L49" s="12"/>
      <c r="M49" s="13"/>
      <c r="N49" s="14"/>
      <c r="O49" s="11"/>
      <c r="P49" s="15"/>
      <c r="Q49" s="16"/>
      <c r="R49" s="2"/>
      <c r="S49" s="12"/>
      <c r="T49" s="17"/>
      <c r="U49" s="2"/>
      <c r="V49" s="18"/>
      <c r="W49" s="8"/>
      <c r="Y49" s="149" t="s">
        <v>70</v>
      </c>
      <c r="Z49" s="152">
        <f t="shared" si="1"/>
        <v>0</v>
      </c>
    </row>
    <row r="50" spans="2:26" ht="18" x14ac:dyDescent="0.35">
      <c r="B50" s="95"/>
      <c r="C50" s="96"/>
      <c r="D50" s="97"/>
      <c r="E50" s="98"/>
      <c r="F50" s="90"/>
      <c r="G50" s="91"/>
      <c r="H50" s="92"/>
      <c r="I50" s="93"/>
      <c r="J50" s="83"/>
      <c r="K50" s="83"/>
      <c r="L50" s="12"/>
      <c r="M50" s="13"/>
      <c r="N50" s="14"/>
      <c r="O50" s="11"/>
      <c r="P50" s="15"/>
      <c r="Q50" s="16"/>
      <c r="R50" s="2"/>
      <c r="S50" s="12"/>
      <c r="T50" s="17"/>
      <c r="U50" s="2"/>
      <c r="V50" s="18"/>
      <c r="W50" s="8"/>
      <c r="Y50" s="149" t="s">
        <v>64</v>
      </c>
      <c r="Z50" s="152">
        <f t="shared" si="1"/>
        <v>0</v>
      </c>
    </row>
    <row r="51" spans="2:26" ht="18" x14ac:dyDescent="0.35">
      <c r="B51" s="95"/>
      <c r="C51" s="96"/>
      <c r="D51" s="97"/>
      <c r="E51" s="98"/>
      <c r="F51" s="90"/>
      <c r="G51" s="91"/>
      <c r="H51" s="92"/>
      <c r="I51" s="93"/>
      <c r="J51" s="83"/>
      <c r="K51" s="83"/>
      <c r="L51" s="12"/>
      <c r="M51" s="13"/>
      <c r="N51" s="14"/>
      <c r="O51" s="11"/>
      <c r="P51" s="15"/>
      <c r="Q51" s="16"/>
      <c r="R51" s="2"/>
      <c r="S51" s="12"/>
      <c r="T51" s="17"/>
      <c r="U51" s="2"/>
      <c r="V51" s="18"/>
      <c r="W51" s="8"/>
      <c r="Y51" s="149" t="s">
        <v>65</v>
      </c>
      <c r="Z51" s="152">
        <f t="shared" si="1"/>
        <v>0</v>
      </c>
    </row>
    <row r="52" spans="2:26" ht="18" x14ac:dyDescent="0.35">
      <c r="B52" s="95"/>
      <c r="C52" s="96"/>
      <c r="D52" s="97"/>
      <c r="E52" s="98"/>
      <c r="F52" s="90"/>
      <c r="G52" s="91"/>
      <c r="H52" s="92"/>
      <c r="I52" s="93"/>
      <c r="J52" s="83"/>
      <c r="K52" s="83"/>
      <c r="L52" s="12"/>
      <c r="M52" s="13"/>
      <c r="N52" s="14"/>
      <c r="O52" s="11"/>
      <c r="P52" s="15"/>
      <c r="Q52" s="16"/>
      <c r="R52" s="2"/>
      <c r="S52" s="12"/>
      <c r="T52" s="17"/>
      <c r="U52" s="2"/>
      <c r="V52" s="18"/>
      <c r="W52" s="8"/>
      <c r="Y52" s="149" t="s">
        <v>66</v>
      </c>
      <c r="Z52" s="152">
        <f t="shared" si="1"/>
        <v>0</v>
      </c>
    </row>
    <row r="53" spans="2:26" ht="18" x14ac:dyDescent="0.35">
      <c r="B53" s="95"/>
      <c r="C53" s="96"/>
      <c r="D53" s="97"/>
      <c r="E53" s="98"/>
      <c r="F53" s="90"/>
      <c r="G53" s="91"/>
      <c r="H53" s="92"/>
      <c r="I53" s="93"/>
      <c r="J53" s="83"/>
      <c r="K53" s="83"/>
      <c r="L53" s="12"/>
      <c r="M53" s="13"/>
      <c r="N53" s="14"/>
      <c r="O53" s="11"/>
      <c r="P53" s="15"/>
      <c r="Q53" s="16"/>
      <c r="R53" s="2"/>
      <c r="S53" s="12"/>
      <c r="T53" s="17"/>
      <c r="U53" s="2"/>
      <c r="V53" s="18"/>
      <c r="W53" s="8"/>
      <c r="Y53" s="149" t="s">
        <v>100</v>
      </c>
      <c r="Z53" s="152">
        <f t="shared" si="1"/>
        <v>0</v>
      </c>
    </row>
    <row r="54" spans="2:26" ht="18" x14ac:dyDescent="0.35">
      <c r="B54" s="95"/>
      <c r="C54" s="96"/>
      <c r="D54" s="97"/>
      <c r="E54" s="98"/>
      <c r="F54" s="90"/>
      <c r="G54" s="91"/>
      <c r="H54" s="92"/>
      <c r="I54" s="93"/>
      <c r="J54" s="83"/>
      <c r="K54" s="83"/>
      <c r="L54" s="12"/>
      <c r="M54" s="13"/>
      <c r="N54" s="14"/>
      <c r="O54" s="11"/>
      <c r="P54" s="15"/>
      <c r="Q54" s="16"/>
      <c r="R54" s="2"/>
      <c r="S54" s="12"/>
      <c r="T54" s="17"/>
      <c r="U54" s="2"/>
      <c r="V54" s="18"/>
      <c r="W54" s="8"/>
      <c r="Y54" s="149" t="s">
        <v>101</v>
      </c>
      <c r="Z54" s="152">
        <f t="shared" si="1"/>
        <v>0</v>
      </c>
    </row>
    <row r="55" spans="2:26" ht="18" x14ac:dyDescent="0.35">
      <c r="B55" s="95"/>
      <c r="C55" s="96"/>
      <c r="D55" s="97"/>
      <c r="E55" s="98"/>
      <c r="F55" s="90"/>
      <c r="G55" s="91"/>
      <c r="H55" s="92"/>
      <c r="I55" s="93"/>
      <c r="J55" s="83"/>
      <c r="K55" s="83"/>
      <c r="L55" s="12"/>
      <c r="M55" s="13"/>
      <c r="N55" s="14"/>
      <c r="O55" s="11"/>
      <c r="P55" s="15"/>
      <c r="Q55" s="16"/>
      <c r="R55" s="2"/>
      <c r="S55" s="12"/>
      <c r="T55" s="17"/>
      <c r="U55" s="2"/>
      <c r="V55" s="18"/>
      <c r="W55" s="8"/>
      <c r="Y55" s="149" t="s">
        <v>102</v>
      </c>
      <c r="Z55" s="152">
        <f t="shared" si="1"/>
        <v>0</v>
      </c>
    </row>
    <row r="56" spans="2:26" ht="18" x14ac:dyDescent="0.35">
      <c r="B56" s="95"/>
      <c r="C56" s="96"/>
      <c r="D56" s="97"/>
      <c r="E56" s="98"/>
      <c r="F56" s="90"/>
      <c r="G56" s="91"/>
      <c r="H56" s="92"/>
      <c r="I56" s="93"/>
      <c r="J56" s="83"/>
      <c r="K56" s="83"/>
      <c r="L56" s="12"/>
      <c r="M56" s="13"/>
      <c r="N56" s="14"/>
      <c r="O56" s="11"/>
      <c r="P56" s="15"/>
      <c r="Q56" s="16"/>
      <c r="R56" s="2"/>
      <c r="S56" s="12"/>
      <c r="T56" s="17"/>
      <c r="U56" s="2"/>
      <c r="V56" s="18"/>
      <c r="W56" s="8"/>
      <c r="Y56" s="149" t="s">
        <v>26</v>
      </c>
      <c r="Z56" s="152">
        <f t="shared" si="1"/>
        <v>0</v>
      </c>
    </row>
    <row r="57" spans="2:26" ht="18" x14ac:dyDescent="0.35">
      <c r="B57" s="95"/>
      <c r="C57" s="96"/>
      <c r="D57" s="97"/>
      <c r="E57" s="98"/>
      <c r="F57" s="90"/>
      <c r="G57" s="91"/>
      <c r="H57" s="92"/>
      <c r="I57" s="93"/>
      <c r="J57" s="83"/>
      <c r="K57" s="83"/>
      <c r="L57" s="12"/>
      <c r="M57" s="13"/>
      <c r="N57" s="14"/>
      <c r="O57" s="11"/>
      <c r="P57" s="15"/>
      <c r="Q57" s="16"/>
      <c r="R57" s="2"/>
      <c r="S57" s="12"/>
      <c r="T57" s="17"/>
      <c r="U57" s="2"/>
      <c r="V57" s="18"/>
      <c r="W57" s="8"/>
      <c r="Y57" s="149" t="s">
        <v>27</v>
      </c>
      <c r="Z57" s="152">
        <f t="shared" si="1"/>
        <v>0</v>
      </c>
    </row>
    <row r="58" spans="2:26" ht="18" x14ac:dyDescent="0.35">
      <c r="B58" s="95"/>
      <c r="C58" s="96"/>
      <c r="D58" s="97"/>
      <c r="E58" s="98"/>
      <c r="F58" s="90"/>
      <c r="G58" s="91"/>
      <c r="H58" s="92"/>
      <c r="I58" s="93"/>
      <c r="J58" s="83"/>
      <c r="K58" s="83"/>
      <c r="L58" s="12"/>
      <c r="M58" s="13"/>
      <c r="N58" s="14"/>
      <c r="O58" s="11"/>
      <c r="P58" s="15"/>
      <c r="Q58" s="16"/>
      <c r="R58" s="2"/>
      <c r="S58" s="12"/>
      <c r="T58" s="17"/>
      <c r="U58" s="2"/>
      <c r="V58" s="18"/>
      <c r="W58" s="8"/>
      <c r="Y58" s="149" t="s">
        <v>28</v>
      </c>
      <c r="Z58" s="152">
        <f t="shared" si="1"/>
        <v>0</v>
      </c>
    </row>
    <row r="59" spans="2:26" ht="18" x14ac:dyDescent="0.35">
      <c r="B59" s="95"/>
      <c r="C59" s="96"/>
      <c r="D59" s="97"/>
      <c r="E59" s="98"/>
      <c r="F59" s="90"/>
      <c r="G59" s="91"/>
      <c r="H59" s="92"/>
      <c r="I59" s="93"/>
      <c r="J59" s="83"/>
      <c r="K59" s="83"/>
      <c r="L59" s="12"/>
      <c r="M59" s="13"/>
      <c r="N59" s="14"/>
      <c r="O59" s="11"/>
      <c r="P59" s="15"/>
      <c r="Q59" s="16"/>
      <c r="R59" s="2"/>
      <c r="S59" s="12"/>
      <c r="T59" s="17"/>
      <c r="U59" s="2"/>
      <c r="V59" s="18"/>
      <c r="W59" s="8"/>
      <c r="Y59" s="149" t="s">
        <v>29</v>
      </c>
      <c r="Z59" s="152">
        <f t="shared" si="1"/>
        <v>0</v>
      </c>
    </row>
    <row r="60" spans="2:26" ht="18" x14ac:dyDescent="0.35">
      <c r="B60" s="95"/>
      <c r="C60" s="96"/>
      <c r="D60" s="97"/>
      <c r="E60" s="98"/>
      <c r="F60" s="90"/>
      <c r="G60" s="91"/>
      <c r="H60" s="92"/>
      <c r="I60" s="93"/>
      <c r="J60" s="83"/>
      <c r="K60" s="83"/>
      <c r="L60" s="12"/>
      <c r="M60" s="13"/>
      <c r="N60" s="14"/>
      <c r="O60" s="11"/>
      <c r="P60" s="15"/>
      <c r="Q60" s="16"/>
      <c r="R60" s="2"/>
      <c r="S60" s="12"/>
      <c r="T60" s="17"/>
      <c r="U60" s="2"/>
      <c r="V60" s="18"/>
      <c r="W60" s="8"/>
      <c r="Y60" s="149" t="s">
        <v>34</v>
      </c>
      <c r="Z60" s="152">
        <f t="shared" si="1"/>
        <v>0</v>
      </c>
    </row>
    <row r="61" spans="2:26" ht="18" x14ac:dyDescent="0.35">
      <c r="B61" s="95"/>
      <c r="C61" s="96"/>
      <c r="D61" s="97"/>
      <c r="E61" s="98"/>
      <c r="F61" s="90"/>
      <c r="G61" s="91"/>
      <c r="H61" s="92"/>
      <c r="I61" s="93"/>
      <c r="J61" s="83"/>
      <c r="K61" s="83"/>
      <c r="L61" s="12"/>
      <c r="M61" s="13"/>
      <c r="N61" s="14"/>
      <c r="O61" s="11"/>
      <c r="P61" s="15"/>
      <c r="Q61" s="16"/>
      <c r="R61" s="2"/>
      <c r="S61" s="12"/>
      <c r="T61" s="17"/>
      <c r="U61" s="2"/>
      <c r="V61" s="18"/>
      <c r="W61" s="8"/>
      <c r="Y61" s="149" t="s">
        <v>35</v>
      </c>
      <c r="Z61" s="152">
        <f t="shared" si="1"/>
        <v>0</v>
      </c>
    </row>
    <row r="62" spans="2:26" ht="18" x14ac:dyDescent="0.35">
      <c r="B62" s="95"/>
      <c r="C62" s="96"/>
      <c r="D62" s="97"/>
      <c r="E62" s="98"/>
      <c r="F62" s="90"/>
      <c r="G62" s="91"/>
      <c r="H62" s="92"/>
      <c r="I62" s="93"/>
      <c r="J62" s="83"/>
      <c r="K62" s="83"/>
      <c r="L62" s="12"/>
      <c r="M62" s="13"/>
      <c r="N62" s="14"/>
      <c r="O62" s="11"/>
      <c r="P62" s="15"/>
      <c r="Q62" s="16"/>
      <c r="R62" s="2"/>
      <c r="S62" s="12"/>
      <c r="T62" s="17"/>
      <c r="U62" s="2"/>
      <c r="V62" s="18"/>
      <c r="W62" s="8"/>
      <c r="Y62" s="149" t="s">
        <v>36</v>
      </c>
      <c r="Z62" s="152">
        <f t="shared" si="1"/>
        <v>0</v>
      </c>
    </row>
    <row r="63" spans="2:26" ht="18" x14ac:dyDescent="0.35">
      <c r="B63" s="95"/>
      <c r="C63" s="96"/>
      <c r="D63" s="97"/>
      <c r="E63" s="98"/>
      <c r="F63" s="90"/>
      <c r="G63" s="91"/>
      <c r="H63" s="92"/>
      <c r="I63" s="93"/>
      <c r="J63" s="83"/>
      <c r="K63" s="83"/>
      <c r="L63" s="12"/>
      <c r="M63" s="13"/>
      <c r="N63" s="14"/>
      <c r="O63" s="11"/>
      <c r="P63" s="15"/>
      <c r="Q63" s="16"/>
      <c r="R63" s="2"/>
      <c r="S63" s="12"/>
      <c r="T63" s="17"/>
      <c r="U63" s="2"/>
      <c r="V63" s="18"/>
      <c r="W63" s="8"/>
      <c r="Y63" s="149" t="s">
        <v>37</v>
      </c>
      <c r="Z63" s="152">
        <f t="shared" si="1"/>
        <v>0</v>
      </c>
    </row>
    <row r="64" spans="2:26" ht="18" x14ac:dyDescent="0.35">
      <c r="B64" s="95"/>
      <c r="C64" s="96"/>
      <c r="D64" s="97"/>
      <c r="E64" s="98"/>
      <c r="F64" s="90"/>
      <c r="G64" s="91"/>
      <c r="H64" s="92"/>
      <c r="I64" s="93"/>
      <c r="J64" s="83"/>
      <c r="K64" s="83"/>
      <c r="L64" s="12"/>
      <c r="M64" s="13"/>
      <c r="N64" s="14"/>
      <c r="O64" s="11"/>
      <c r="P64" s="15"/>
      <c r="Q64" s="16"/>
      <c r="R64" s="2"/>
      <c r="S64" s="12"/>
      <c r="T64" s="17"/>
      <c r="U64" s="2"/>
      <c r="V64" s="18"/>
      <c r="W64" s="8"/>
      <c r="Y64" s="149" t="s">
        <v>38</v>
      </c>
      <c r="Z64" s="152">
        <f t="shared" si="1"/>
        <v>0</v>
      </c>
    </row>
    <row r="65" spans="2:26" ht="18" x14ac:dyDescent="0.35">
      <c r="B65" s="95"/>
      <c r="C65" s="96"/>
      <c r="D65" s="97"/>
      <c r="E65" s="98"/>
      <c r="F65" s="99"/>
      <c r="G65" s="100"/>
      <c r="H65" s="101"/>
      <c r="I65" s="102"/>
      <c r="J65" s="83"/>
      <c r="K65" s="83"/>
      <c r="L65" s="12"/>
      <c r="M65" s="13"/>
      <c r="N65" s="14"/>
      <c r="O65" s="11"/>
      <c r="P65" s="15"/>
      <c r="Q65" s="16"/>
      <c r="R65" s="2"/>
      <c r="S65" s="12"/>
      <c r="T65" s="17"/>
      <c r="U65" s="2"/>
      <c r="V65" s="18"/>
      <c r="W65" s="8"/>
      <c r="Y65" s="149" t="s">
        <v>40</v>
      </c>
      <c r="Z65" s="152">
        <f t="shared" si="1"/>
        <v>0</v>
      </c>
    </row>
    <row r="66" spans="2:26" ht="18" x14ac:dyDescent="0.35">
      <c r="B66" s="95"/>
      <c r="C66" s="96"/>
      <c r="D66" s="97"/>
      <c r="E66" s="98"/>
      <c r="F66" s="90"/>
      <c r="G66" s="91"/>
      <c r="H66" s="92"/>
      <c r="I66" s="93"/>
      <c r="J66" s="83"/>
      <c r="K66" s="83"/>
      <c r="L66" s="12"/>
      <c r="M66" s="13"/>
      <c r="N66" s="14"/>
      <c r="O66" s="11"/>
      <c r="P66" s="15"/>
      <c r="Q66" s="16"/>
      <c r="R66" s="2"/>
      <c r="S66" s="12"/>
      <c r="T66" s="17"/>
      <c r="U66" s="2"/>
      <c r="V66" s="18"/>
      <c r="W66" s="8"/>
      <c r="Y66" s="149" t="s">
        <v>41</v>
      </c>
      <c r="Z66" s="152">
        <f t="shared" si="1"/>
        <v>0</v>
      </c>
    </row>
    <row r="67" spans="2:26" ht="18" x14ac:dyDescent="0.35">
      <c r="B67" s="95"/>
      <c r="C67" s="96"/>
      <c r="D67" s="97"/>
      <c r="E67" s="98"/>
      <c r="F67" s="103"/>
      <c r="G67" s="94"/>
      <c r="H67" s="104"/>
      <c r="I67" s="105"/>
      <c r="J67" s="83"/>
      <c r="K67" s="83"/>
      <c r="L67" s="12"/>
      <c r="M67" s="13"/>
      <c r="N67" s="14"/>
      <c r="O67" s="11"/>
      <c r="P67" s="15"/>
      <c r="Q67" s="16"/>
      <c r="R67" s="2"/>
      <c r="S67" s="12"/>
      <c r="T67" s="17"/>
      <c r="U67" s="2"/>
      <c r="V67" s="18"/>
      <c r="W67" s="8"/>
      <c r="Y67" s="149" t="s">
        <v>69</v>
      </c>
      <c r="Z67" s="152">
        <f t="shared" si="1"/>
        <v>0</v>
      </c>
    </row>
    <row r="68" spans="2:26" ht="18" x14ac:dyDescent="0.35">
      <c r="B68" s="95"/>
      <c r="C68" s="96"/>
      <c r="D68" s="97"/>
      <c r="E68" s="98"/>
      <c r="F68" s="90"/>
      <c r="G68" s="91"/>
      <c r="H68" s="92"/>
      <c r="I68" s="105"/>
      <c r="J68" s="83"/>
      <c r="K68" s="83"/>
      <c r="L68" s="12"/>
      <c r="M68" s="13"/>
      <c r="N68" s="14"/>
      <c r="O68" s="11"/>
      <c r="P68" s="15"/>
      <c r="Q68" s="16"/>
      <c r="R68" s="2"/>
      <c r="S68" s="12"/>
      <c r="T68" s="17"/>
      <c r="U68" s="2"/>
      <c r="V68" s="18"/>
      <c r="W68" s="8"/>
      <c r="Y68" s="149" t="s">
        <v>108</v>
      </c>
      <c r="Z68" s="152">
        <f t="shared" si="1"/>
        <v>0</v>
      </c>
    </row>
    <row r="69" spans="2:26" ht="18" x14ac:dyDescent="0.35">
      <c r="B69" s="95"/>
      <c r="C69" s="96"/>
      <c r="D69" s="97"/>
      <c r="E69" s="98"/>
      <c r="F69" s="90"/>
      <c r="G69" s="91"/>
      <c r="H69" s="92"/>
      <c r="I69" s="105"/>
      <c r="J69" s="83"/>
      <c r="K69" s="83"/>
      <c r="L69" s="12"/>
      <c r="M69" s="13"/>
      <c r="N69" s="14"/>
      <c r="O69" s="11"/>
      <c r="P69" s="15"/>
      <c r="Q69" s="16"/>
      <c r="R69" s="2"/>
      <c r="S69" s="12"/>
      <c r="T69" s="17"/>
      <c r="U69" s="2"/>
      <c r="V69" s="18"/>
      <c r="W69" s="8"/>
      <c r="Y69" s="149" t="s">
        <v>44</v>
      </c>
      <c r="Z69" s="152">
        <f t="shared" si="1"/>
        <v>0</v>
      </c>
    </row>
    <row r="70" spans="2:26" ht="18" x14ac:dyDescent="0.35">
      <c r="B70" s="95"/>
      <c r="C70" s="96"/>
      <c r="D70" s="97"/>
      <c r="E70" s="98"/>
      <c r="F70" s="90"/>
      <c r="G70" s="91"/>
      <c r="H70" s="92"/>
      <c r="I70" s="105"/>
      <c r="J70" s="83"/>
      <c r="K70" s="83"/>
      <c r="L70" s="12"/>
      <c r="M70" s="13"/>
      <c r="N70" s="14"/>
      <c r="O70" s="11"/>
      <c r="P70" s="15"/>
      <c r="Q70" s="16"/>
      <c r="R70" s="2"/>
      <c r="S70" s="12"/>
      <c r="T70" s="17"/>
      <c r="U70" s="2"/>
      <c r="V70" s="18"/>
      <c r="W70" s="8"/>
      <c r="Y70" s="149" t="s">
        <v>45</v>
      </c>
      <c r="Z70" s="152">
        <f t="shared" si="1"/>
        <v>0</v>
      </c>
    </row>
    <row r="71" spans="2:26" ht="18" x14ac:dyDescent="0.35">
      <c r="B71" s="95"/>
      <c r="C71" s="96"/>
      <c r="D71" s="97"/>
      <c r="E71" s="98"/>
      <c r="F71" s="90"/>
      <c r="G71" s="91"/>
      <c r="H71" s="92"/>
      <c r="I71" s="105"/>
      <c r="J71" s="83"/>
      <c r="K71" s="83"/>
      <c r="L71" s="12"/>
      <c r="M71" s="13"/>
      <c r="N71" s="14"/>
      <c r="O71" s="11"/>
      <c r="P71" s="15"/>
      <c r="Q71" s="16"/>
      <c r="R71" s="2"/>
      <c r="S71" s="12"/>
      <c r="T71" s="17"/>
      <c r="U71" s="2"/>
      <c r="V71" s="18"/>
      <c r="W71" s="8"/>
      <c r="Y71" s="149" t="s">
        <v>49</v>
      </c>
      <c r="Z71" s="152">
        <f t="shared" si="1"/>
        <v>0</v>
      </c>
    </row>
    <row r="72" spans="2:26" ht="18" x14ac:dyDescent="0.35">
      <c r="B72" s="106"/>
      <c r="C72" s="107"/>
      <c r="D72" s="108"/>
      <c r="E72" s="109"/>
      <c r="F72" s="90"/>
      <c r="G72" s="91"/>
      <c r="H72" s="92"/>
      <c r="I72" s="105"/>
      <c r="J72" s="83"/>
      <c r="K72" s="83"/>
      <c r="L72" s="12"/>
      <c r="M72" s="13"/>
      <c r="N72" s="14"/>
      <c r="O72" s="11"/>
      <c r="P72" s="15"/>
      <c r="Q72" s="16"/>
      <c r="R72" s="2"/>
      <c r="S72" s="12"/>
      <c r="T72" s="17"/>
      <c r="U72" s="2"/>
      <c r="V72" s="18"/>
      <c r="W72" s="8"/>
      <c r="Y72" s="149" t="s">
        <v>50</v>
      </c>
      <c r="Z72" s="152">
        <f t="shared" si="1"/>
        <v>0</v>
      </c>
    </row>
    <row r="73" spans="2:26" ht="18" x14ac:dyDescent="0.35">
      <c r="B73" s="95"/>
      <c r="C73" s="96"/>
      <c r="D73" s="97"/>
      <c r="E73" s="98"/>
      <c r="F73" s="90"/>
      <c r="G73" s="91"/>
      <c r="H73" s="92"/>
      <c r="I73" s="105"/>
      <c r="J73" s="83"/>
      <c r="K73" s="83"/>
      <c r="L73" s="20"/>
      <c r="M73" s="21"/>
      <c r="N73" s="22"/>
      <c r="O73" s="19"/>
      <c r="P73" s="23"/>
      <c r="Q73" s="24"/>
      <c r="R73" s="2"/>
      <c r="S73" s="20"/>
      <c r="T73" s="25"/>
      <c r="U73" s="2"/>
      <c r="V73" s="26"/>
      <c r="W73" s="27"/>
      <c r="Y73" s="149" t="s">
        <v>51</v>
      </c>
      <c r="Z73" s="152">
        <f t="shared" si="1"/>
        <v>0</v>
      </c>
    </row>
    <row r="74" spans="2:26" ht="18" x14ac:dyDescent="0.35">
      <c r="B74" s="110"/>
      <c r="C74" s="111"/>
      <c r="D74" s="112"/>
      <c r="E74" s="113"/>
      <c r="F74" s="90"/>
      <c r="G74" s="91"/>
      <c r="H74" s="92"/>
      <c r="I74" s="105"/>
      <c r="J74" s="83"/>
      <c r="K74" s="83"/>
      <c r="L74" s="12"/>
      <c r="M74" s="28"/>
      <c r="N74" s="14"/>
      <c r="O74" s="11"/>
      <c r="P74" s="11"/>
      <c r="Q74" s="16"/>
      <c r="R74" s="2"/>
      <c r="S74" s="12"/>
      <c r="T74" s="17"/>
      <c r="U74" s="2"/>
      <c r="V74" s="18"/>
      <c r="W74" s="16"/>
      <c r="Y74" s="149" t="s">
        <v>52</v>
      </c>
      <c r="Z74" s="152">
        <f t="shared" si="1"/>
        <v>0</v>
      </c>
    </row>
    <row r="75" spans="2:26" ht="18" x14ac:dyDescent="0.35">
      <c r="B75" s="95"/>
      <c r="C75" s="96"/>
      <c r="D75" s="97"/>
      <c r="E75" s="113"/>
      <c r="F75" s="90"/>
      <c r="G75" s="91"/>
      <c r="H75" s="92"/>
      <c r="I75" s="105"/>
      <c r="J75" s="83"/>
      <c r="K75" s="83"/>
      <c r="L75" s="12"/>
      <c r="M75" s="28"/>
      <c r="N75" s="14"/>
      <c r="O75" s="11"/>
      <c r="P75" s="11"/>
      <c r="Q75" s="16"/>
      <c r="R75" s="2"/>
      <c r="S75" s="12"/>
      <c r="T75" s="17"/>
      <c r="U75" s="2"/>
      <c r="V75" s="18"/>
      <c r="W75" s="16"/>
      <c r="Y75" s="149" t="s">
        <v>72</v>
      </c>
      <c r="Z75" s="152">
        <f t="shared" si="1"/>
        <v>0</v>
      </c>
    </row>
    <row r="76" spans="2:26" ht="18" x14ac:dyDescent="0.35">
      <c r="B76" s="95"/>
      <c r="C76" s="96"/>
      <c r="D76" s="97"/>
      <c r="E76" s="113"/>
      <c r="F76" s="90"/>
      <c r="G76" s="91"/>
      <c r="H76" s="92"/>
      <c r="I76" s="105"/>
      <c r="J76" s="83"/>
      <c r="K76" s="83"/>
      <c r="L76" s="12"/>
      <c r="M76" s="28"/>
      <c r="N76" s="14"/>
      <c r="O76" s="11"/>
      <c r="P76" s="11"/>
      <c r="Q76" s="16"/>
      <c r="R76" s="2"/>
      <c r="S76" s="12"/>
      <c r="T76" s="17"/>
      <c r="U76" s="2"/>
      <c r="V76" s="18"/>
      <c r="W76" s="16"/>
      <c r="Y76" s="149" t="s">
        <v>71</v>
      </c>
      <c r="Z76" s="152">
        <f t="shared" si="1"/>
        <v>0</v>
      </c>
    </row>
    <row r="77" spans="2:26" ht="18" x14ac:dyDescent="0.35">
      <c r="B77" s="95"/>
      <c r="C77" s="96"/>
      <c r="D77" s="97"/>
      <c r="E77" s="113"/>
      <c r="F77" s="90"/>
      <c r="G77" s="91"/>
      <c r="H77" s="92"/>
      <c r="I77" s="105"/>
      <c r="J77" s="83"/>
      <c r="K77" s="83"/>
      <c r="L77" s="12"/>
      <c r="M77" s="28"/>
      <c r="N77" s="14"/>
      <c r="O77" s="11"/>
      <c r="P77" s="11"/>
      <c r="Q77" s="16"/>
      <c r="R77" s="2"/>
      <c r="S77" s="12"/>
      <c r="T77" s="17"/>
      <c r="U77" s="2"/>
      <c r="V77" s="18"/>
      <c r="W77" s="16"/>
      <c r="Y77" s="149" t="s">
        <v>53</v>
      </c>
      <c r="Z77" s="152">
        <f t="shared" ref="Z77:Z79" si="2">SUMIF($G$9:$G$129, Y77, $F$9:$F$129)</f>
        <v>0</v>
      </c>
    </row>
    <row r="78" spans="2:26" ht="18" x14ac:dyDescent="0.35">
      <c r="B78" s="95"/>
      <c r="C78" s="96"/>
      <c r="D78" s="97"/>
      <c r="E78" s="113"/>
      <c r="F78" s="90"/>
      <c r="G78" s="91"/>
      <c r="H78" s="92"/>
      <c r="I78" s="105"/>
      <c r="J78" s="83"/>
      <c r="K78" s="83"/>
      <c r="L78" s="12"/>
      <c r="M78" s="28"/>
      <c r="N78" s="14"/>
      <c r="O78" s="11"/>
      <c r="P78" s="11"/>
      <c r="Q78" s="16"/>
      <c r="R78" s="2"/>
      <c r="S78" s="12"/>
      <c r="T78" s="17"/>
      <c r="U78" s="2"/>
      <c r="V78" s="18"/>
      <c r="W78" s="16"/>
      <c r="Y78" s="149" t="s">
        <v>54</v>
      </c>
      <c r="Z78" s="152">
        <f t="shared" si="2"/>
        <v>0</v>
      </c>
    </row>
    <row r="79" spans="2:26" ht="18.600000000000001" thickBot="1" x14ac:dyDescent="0.4">
      <c r="B79" s="95"/>
      <c r="C79" s="96"/>
      <c r="D79" s="97"/>
      <c r="E79" s="113"/>
      <c r="F79" s="90"/>
      <c r="G79" s="91"/>
      <c r="H79" s="92"/>
      <c r="I79" s="105"/>
      <c r="J79" s="83"/>
      <c r="K79" s="83"/>
      <c r="L79" s="12"/>
      <c r="M79" s="28"/>
      <c r="N79" s="14"/>
      <c r="O79" s="11"/>
      <c r="P79" s="11"/>
      <c r="Q79" s="16"/>
      <c r="R79" s="2"/>
      <c r="S79" s="12"/>
      <c r="T79" s="17"/>
      <c r="U79" s="2"/>
      <c r="V79" s="18"/>
      <c r="W79" s="16"/>
      <c r="Y79" s="150" t="s">
        <v>55</v>
      </c>
      <c r="Z79" s="153">
        <f t="shared" si="2"/>
        <v>0</v>
      </c>
    </row>
    <row r="80" spans="2:26" ht="18" x14ac:dyDescent="0.35">
      <c r="B80" s="95"/>
      <c r="C80" s="96"/>
      <c r="D80" s="97"/>
      <c r="E80" s="113"/>
      <c r="F80" s="90"/>
      <c r="G80" s="91"/>
      <c r="H80" s="92"/>
      <c r="I80" s="105"/>
      <c r="J80" s="83"/>
      <c r="K80" s="83"/>
      <c r="L80" s="12"/>
      <c r="M80" s="28"/>
      <c r="N80" s="14"/>
      <c r="O80" s="11"/>
      <c r="P80" s="11"/>
      <c r="Q80" s="16"/>
      <c r="R80" s="2"/>
      <c r="S80" s="12"/>
      <c r="T80" s="17"/>
      <c r="U80" s="2"/>
      <c r="V80" s="18"/>
      <c r="W80" s="16"/>
    </row>
    <row r="81" spans="2:23" ht="18" x14ac:dyDescent="0.35">
      <c r="B81" s="95"/>
      <c r="C81" s="96"/>
      <c r="D81" s="97"/>
      <c r="E81" s="113"/>
      <c r="F81" s="90"/>
      <c r="G81" s="91"/>
      <c r="H81" s="92"/>
      <c r="I81" s="105"/>
      <c r="J81" s="83"/>
      <c r="K81" s="83"/>
      <c r="L81" s="12"/>
      <c r="M81" s="28"/>
      <c r="N81" s="14"/>
      <c r="O81" s="11"/>
      <c r="P81" s="11"/>
      <c r="Q81" s="16"/>
      <c r="R81" s="2"/>
      <c r="S81" s="12"/>
      <c r="T81" s="17"/>
      <c r="U81" s="2"/>
      <c r="V81" s="18"/>
      <c r="W81" s="16"/>
    </row>
    <row r="82" spans="2:23" ht="18" x14ac:dyDescent="0.35">
      <c r="B82" s="95"/>
      <c r="C82" s="96"/>
      <c r="D82" s="97"/>
      <c r="E82" s="113"/>
      <c r="F82" s="90"/>
      <c r="G82" s="91"/>
      <c r="H82" s="92"/>
      <c r="I82" s="105"/>
      <c r="J82" s="83"/>
      <c r="K82" s="83"/>
      <c r="L82" s="12"/>
      <c r="M82" s="28"/>
      <c r="N82" s="14"/>
      <c r="O82" s="11"/>
      <c r="P82" s="11"/>
      <c r="Q82" s="16"/>
      <c r="R82" s="2"/>
      <c r="S82" s="12"/>
      <c r="T82" s="17"/>
      <c r="U82" s="2"/>
      <c r="V82" s="18"/>
      <c r="W82" s="16"/>
    </row>
    <row r="83" spans="2:23" ht="18" x14ac:dyDescent="0.35">
      <c r="B83" s="95"/>
      <c r="C83" s="96"/>
      <c r="D83" s="97"/>
      <c r="E83" s="113"/>
      <c r="F83" s="90"/>
      <c r="G83" s="91"/>
      <c r="H83" s="92"/>
      <c r="I83" s="105"/>
      <c r="J83" s="83"/>
      <c r="K83" s="83"/>
      <c r="L83" s="12"/>
      <c r="M83" s="28"/>
      <c r="N83" s="14"/>
      <c r="O83" s="11"/>
      <c r="P83" s="11"/>
      <c r="Q83" s="16"/>
      <c r="R83" s="2"/>
      <c r="S83" s="12"/>
      <c r="T83" s="17"/>
      <c r="U83" s="2"/>
      <c r="V83" s="18"/>
      <c r="W83" s="16"/>
    </row>
    <row r="84" spans="2:23" ht="18" x14ac:dyDescent="0.35">
      <c r="B84" s="95"/>
      <c r="C84" s="96"/>
      <c r="D84" s="97"/>
      <c r="E84" s="113"/>
      <c r="F84" s="90"/>
      <c r="G84" s="91"/>
      <c r="H84" s="92"/>
      <c r="I84" s="105"/>
      <c r="J84" s="83"/>
      <c r="K84" s="83"/>
      <c r="L84" s="12"/>
      <c r="M84" s="28"/>
      <c r="N84" s="14"/>
      <c r="O84" s="11"/>
      <c r="P84" s="11"/>
      <c r="Q84" s="16"/>
      <c r="R84" s="2"/>
      <c r="S84" s="12"/>
      <c r="T84" s="17"/>
      <c r="U84" s="2"/>
      <c r="V84" s="18"/>
      <c r="W84" s="16"/>
    </row>
    <row r="85" spans="2:23" ht="18" x14ac:dyDescent="0.35">
      <c r="B85" s="95"/>
      <c r="C85" s="96"/>
      <c r="D85" s="97"/>
      <c r="E85" s="113"/>
      <c r="F85" s="90"/>
      <c r="G85" s="91"/>
      <c r="H85" s="92"/>
      <c r="I85" s="105"/>
      <c r="J85" s="83"/>
      <c r="K85" s="83"/>
      <c r="L85" s="12"/>
      <c r="M85" s="28"/>
      <c r="N85" s="14"/>
      <c r="O85" s="11"/>
      <c r="P85" s="11"/>
      <c r="Q85" s="16"/>
      <c r="R85" s="2"/>
      <c r="S85" s="12"/>
      <c r="T85" s="17"/>
      <c r="U85" s="2"/>
      <c r="V85" s="18"/>
      <c r="W85" s="16"/>
    </row>
    <row r="86" spans="2:23" ht="18" x14ac:dyDescent="0.35">
      <c r="B86" s="95"/>
      <c r="C86" s="96"/>
      <c r="D86" s="97"/>
      <c r="E86" s="113"/>
      <c r="F86" s="90"/>
      <c r="G86" s="91"/>
      <c r="H86" s="92"/>
      <c r="I86" s="105"/>
      <c r="J86" s="83"/>
      <c r="K86" s="83"/>
      <c r="L86" s="12"/>
      <c r="M86" s="28"/>
      <c r="N86" s="14"/>
      <c r="O86" s="11"/>
      <c r="P86" s="11"/>
      <c r="Q86" s="16"/>
      <c r="R86" s="2"/>
      <c r="S86" s="12"/>
      <c r="T86" s="17"/>
      <c r="U86" s="2"/>
      <c r="V86" s="18"/>
      <c r="W86" s="16"/>
    </row>
    <row r="87" spans="2:23" ht="18" x14ac:dyDescent="0.35">
      <c r="B87" s="95"/>
      <c r="C87" s="96"/>
      <c r="D87" s="97"/>
      <c r="E87" s="113"/>
      <c r="F87" s="90"/>
      <c r="G87" s="91"/>
      <c r="H87" s="92"/>
      <c r="I87" s="105"/>
      <c r="J87" s="83"/>
      <c r="K87" s="83"/>
      <c r="L87" s="12"/>
      <c r="M87" s="28"/>
      <c r="N87" s="14"/>
      <c r="O87" s="11"/>
      <c r="P87" s="11"/>
      <c r="Q87" s="16"/>
      <c r="R87" s="2"/>
      <c r="S87" s="12"/>
      <c r="T87" s="17"/>
      <c r="U87" s="2"/>
      <c r="V87" s="18"/>
      <c r="W87" s="16"/>
    </row>
    <row r="88" spans="2:23" ht="18" x14ac:dyDescent="0.35">
      <c r="B88" s="95"/>
      <c r="C88" s="96"/>
      <c r="D88" s="97"/>
      <c r="E88" s="113"/>
      <c r="F88" s="90"/>
      <c r="G88" s="91"/>
      <c r="H88" s="92"/>
      <c r="I88" s="105"/>
      <c r="J88" s="83"/>
      <c r="K88" s="83"/>
      <c r="L88" s="12"/>
      <c r="M88" s="28"/>
      <c r="N88" s="14"/>
      <c r="O88" s="11"/>
      <c r="P88" s="11"/>
      <c r="Q88" s="16"/>
      <c r="R88" s="2"/>
      <c r="S88" s="12"/>
      <c r="T88" s="17"/>
      <c r="U88" s="2"/>
      <c r="V88" s="18"/>
      <c r="W88" s="16"/>
    </row>
    <row r="89" spans="2:23" ht="18" x14ac:dyDescent="0.35">
      <c r="B89" s="95"/>
      <c r="C89" s="96"/>
      <c r="D89" s="97"/>
      <c r="E89" s="113"/>
      <c r="F89" s="90"/>
      <c r="G89" s="91"/>
      <c r="H89" s="92"/>
      <c r="I89" s="105"/>
      <c r="J89" s="83"/>
      <c r="K89" s="83"/>
      <c r="L89" s="12"/>
      <c r="M89" s="28"/>
      <c r="N89" s="14"/>
      <c r="O89" s="11"/>
      <c r="P89" s="11"/>
      <c r="Q89" s="16"/>
      <c r="R89" s="2"/>
      <c r="S89" s="12"/>
      <c r="T89" s="17"/>
      <c r="U89" s="2"/>
      <c r="V89" s="18"/>
      <c r="W89" s="16"/>
    </row>
    <row r="90" spans="2:23" ht="18" x14ac:dyDescent="0.35">
      <c r="B90" s="95"/>
      <c r="C90" s="96"/>
      <c r="D90" s="97"/>
      <c r="E90" s="113"/>
      <c r="F90" s="90"/>
      <c r="G90" s="91"/>
      <c r="H90" s="92"/>
      <c r="I90" s="105"/>
      <c r="J90" s="83"/>
      <c r="K90" s="83"/>
      <c r="L90" s="12"/>
      <c r="M90" s="28"/>
      <c r="N90" s="14"/>
      <c r="O90" s="11"/>
      <c r="P90" s="11"/>
      <c r="Q90" s="16"/>
      <c r="R90" s="2"/>
      <c r="S90" s="12"/>
      <c r="T90" s="17"/>
      <c r="U90" s="2"/>
      <c r="V90" s="18"/>
      <c r="W90" s="16"/>
    </row>
    <row r="91" spans="2:23" ht="18" x14ac:dyDescent="0.35">
      <c r="B91" s="95"/>
      <c r="C91" s="96"/>
      <c r="D91" s="97"/>
      <c r="E91" s="113"/>
      <c r="F91" s="90"/>
      <c r="G91" s="91"/>
      <c r="H91" s="92"/>
      <c r="I91" s="105"/>
      <c r="J91" s="83"/>
      <c r="K91" s="83"/>
      <c r="L91" s="12"/>
      <c r="M91" s="28"/>
      <c r="N91" s="14"/>
      <c r="O91" s="11"/>
      <c r="P91" s="11"/>
      <c r="Q91" s="16"/>
      <c r="R91" s="2"/>
      <c r="S91" s="12"/>
      <c r="T91" s="17"/>
      <c r="U91" s="2"/>
      <c r="V91" s="18"/>
      <c r="W91" s="16"/>
    </row>
    <row r="92" spans="2:23" ht="18" x14ac:dyDescent="0.35">
      <c r="B92" s="95"/>
      <c r="C92" s="96"/>
      <c r="D92" s="97"/>
      <c r="E92" s="113"/>
      <c r="F92" s="90"/>
      <c r="G92" s="91"/>
      <c r="H92" s="92"/>
      <c r="I92" s="105"/>
      <c r="J92" s="83"/>
      <c r="K92" s="83"/>
      <c r="L92" s="12"/>
      <c r="M92" s="28"/>
      <c r="N92" s="14"/>
      <c r="O92" s="11"/>
      <c r="P92" s="11"/>
      <c r="Q92" s="16"/>
      <c r="R92" s="2"/>
      <c r="S92" s="12"/>
      <c r="T92" s="17"/>
      <c r="U92" s="2"/>
      <c r="V92" s="18"/>
      <c r="W92" s="16"/>
    </row>
    <row r="93" spans="2:23" ht="18" x14ac:dyDescent="0.35">
      <c r="B93" s="95"/>
      <c r="C93" s="96"/>
      <c r="D93" s="97"/>
      <c r="E93" s="113"/>
      <c r="F93" s="90"/>
      <c r="G93" s="91"/>
      <c r="H93" s="92"/>
      <c r="I93" s="105"/>
      <c r="J93" s="83"/>
      <c r="K93" s="83"/>
      <c r="L93" s="12"/>
      <c r="M93" s="28"/>
      <c r="N93" s="14"/>
      <c r="O93" s="11"/>
      <c r="P93" s="11"/>
      <c r="Q93" s="16"/>
      <c r="R93" s="2"/>
      <c r="S93" s="12"/>
      <c r="T93" s="17"/>
      <c r="U93" s="2"/>
      <c r="V93" s="18"/>
      <c r="W93" s="16"/>
    </row>
    <row r="94" spans="2:23" ht="18" x14ac:dyDescent="0.35">
      <c r="B94" s="95"/>
      <c r="C94" s="96"/>
      <c r="D94" s="97"/>
      <c r="E94" s="113"/>
      <c r="F94" s="90"/>
      <c r="G94" s="91"/>
      <c r="H94" s="92"/>
      <c r="I94" s="105"/>
      <c r="J94" s="83"/>
      <c r="K94" s="83"/>
      <c r="L94" s="12"/>
      <c r="M94" s="28"/>
      <c r="N94" s="14"/>
      <c r="O94" s="11"/>
      <c r="P94" s="11"/>
      <c r="Q94" s="16"/>
      <c r="R94" s="2"/>
      <c r="S94" s="12"/>
      <c r="T94" s="17"/>
      <c r="U94" s="2"/>
      <c r="V94" s="18"/>
      <c r="W94" s="16"/>
    </row>
    <row r="95" spans="2:23" ht="18" x14ac:dyDescent="0.35">
      <c r="B95" s="95"/>
      <c r="C95" s="96"/>
      <c r="D95" s="97"/>
      <c r="E95" s="113"/>
      <c r="F95" s="90"/>
      <c r="G95" s="91"/>
      <c r="H95" s="92"/>
      <c r="I95" s="105"/>
      <c r="J95" s="83"/>
      <c r="K95" s="83"/>
      <c r="L95" s="12"/>
      <c r="M95" s="28"/>
      <c r="N95" s="14"/>
      <c r="O95" s="11"/>
      <c r="P95" s="11"/>
      <c r="Q95" s="16"/>
      <c r="R95" s="2"/>
      <c r="S95" s="12"/>
      <c r="T95" s="17"/>
      <c r="U95" s="2"/>
      <c r="V95" s="18"/>
      <c r="W95" s="16"/>
    </row>
    <row r="96" spans="2:23" ht="18" x14ac:dyDescent="0.35">
      <c r="B96" s="95"/>
      <c r="C96" s="96"/>
      <c r="D96" s="97"/>
      <c r="E96" s="113"/>
      <c r="F96" s="90"/>
      <c r="G96" s="91"/>
      <c r="H96" s="92"/>
      <c r="I96" s="105"/>
      <c r="J96" s="83"/>
      <c r="K96" s="83"/>
      <c r="L96" s="12"/>
      <c r="M96" s="28"/>
      <c r="N96" s="14"/>
      <c r="O96" s="11"/>
      <c r="P96" s="11"/>
      <c r="Q96" s="16"/>
      <c r="R96" s="2"/>
      <c r="S96" s="12"/>
      <c r="T96" s="17"/>
      <c r="U96" s="2"/>
      <c r="V96" s="18"/>
      <c r="W96" s="16"/>
    </row>
    <row r="97" spans="2:23" ht="18" x14ac:dyDescent="0.35">
      <c r="B97" s="95"/>
      <c r="C97" s="96"/>
      <c r="D97" s="97"/>
      <c r="E97" s="113"/>
      <c r="F97" s="90"/>
      <c r="G97" s="91"/>
      <c r="H97" s="92"/>
      <c r="I97" s="105"/>
      <c r="J97" s="83"/>
      <c r="K97" s="83"/>
      <c r="L97" s="12"/>
      <c r="M97" s="28"/>
      <c r="N97" s="14"/>
      <c r="O97" s="11"/>
      <c r="P97" s="11"/>
      <c r="Q97" s="16"/>
      <c r="R97" s="2"/>
      <c r="S97" s="12"/>
      <c r="T97" s="17"/>
      <c r="U97" s="2"/>
      <c r="V97" s="18"/>
      <c r="W97" s="16"/>
    </row>
    <row r="98" spans="2:23" ht="18" x14ac:dyDescent="0.35">
      <c r="B98" s="95"/>
      <c r="C98" s="96"/>
      <c r="D98" s="97"/>
      <c r="E98" s="113"/>
      <c r="F98" s="90"/>
      <c r="G98" s="91"/>
      <c r="H98" s="92"/>
      <c r="I98" s="105"/>
      <c r="J98" s="83"/>
      <c r="K98" s="83"/>
      <c r="L98" s="12"/>
      <c r="M98" s="28"/>
      <c r="N98" s="14"/>
      <c r="O98" s="11"/>
      <c r="P98" s="11"/>
      <c r="Q98" s="16"/>
      <c r="R98" s="2"/>
      <c r="S98" s="12"/>
      <c r="T98" s="17"/>
      <c r="U98" s="2"/>
      <c r="V98" s="18"/>
      <c r="W98" s="16"/>
    </row>
    <row r="99" spans="2:23" ht="18" x14ac:dyDescent="0.35">
      <c r="B99" s="95"/>
      <c r="C99" s="96"/>
      <c r="D99" s="97"/>
      <c r="E99" s="113"/>
      <c r="F99" s="90"/>
      <c r="G99" s="91"/>
      <c r="H99" s="92"/>
      <c r="I99" s="105"/>
      <c r="J99" s="83"/>
      <c r="K99" s="83"/>
      <c r="L99" s="12"/>
      <c r="M99" s="28"/>
      <c r="N99" s="14"/>
      <c r="O99" s="11"/>
      <c r="P99" s="11"/>
      <c r="Q99" s="16"/>
      <c r="R99" s="2"/>
      <c r="S99" s="12"/>
      <c r="T99" s="17"/>
      <c r="U99" s="2"/>
      <c r="V99" s="18"/>
      <c r="W99" s="16"/>
    </row>
    <row r="100" spans="2:23" ht="18" x14ac:dyDescent="0.35">
      <c r="B100" s="95"/>
      <c r="C100" s="96"/>
      <c r="D100" s="97"/>
      <c r="E100" s="113"/>
      <c r="F100" s="90"/>
      <c r="G100" s="91"/>
      <c r="H100" s="92"/>
      <c r="I100" s="105"/>
      <c r="J100" s="83"/>
      <c r="K100" s="83"/>
      <c r="L100" s="12"/>
      <c r="M100" s="28"/>
      <c r="N100" s="14"/>
      <c r="O100" s="11"/>
      <c r="P100" s="11"/>
      <c r="Q100" s="16"/>
      <c r="R100" s="2"/>
      <c r="S100" s="12"/>
      <c r="T100" s="17"/>
      <c r="U100" s="2"/>
      <c r="V100" s="18"/>
      <c r="W100" s="16"/>
    </row>
    <row r="101" spans="2:23" ht="18" x14ac:dyDescent="0.35">
      <c r="B101" s="95"/>
      <c r="C101" s="96"/>
      <c r="D101" s="97"/>
      <c r="E101" s="113"/>
      <c r="F101" s="90"/>
      <c r="G101" s="91"/>
      <c r="H101" s="92"/>
      <c r="I101" s="105"/>
      <c r="J101" s="83"/>
      <c r="K101" s="83"/>
      <c r="L101" s="12"/>
      <c r="M101" s="28"/>
      <c r="N101" s="14"/>
      <c r="O101" s="11"/>
      <c r="P101" s="11"/>
      <c r="Q101" s="16"/>
      <c r="R101" s="2"/>
      <c r="S101" s="12"/>
      <c r="T101" s="17"/>
      <c r="U101" s="2"/>
      <c r="V101" s="18"/>
      <c r="W101" s="16"/>
    </row>
    <row r="102" spans="2:23" ht="18" x14ac:dyDescent="0.35">
      <c r="B102" s="95"/>
      <c r="C102" s="96"/>
      <c r="D102" s="97"/>
      <c r="E102" s="113"/>
      <c r="F102" s="90"/>
      <c r="G102" s="91"/>
      <c r="H102" s="92"/>
      <c r="I102" s="105"/>
      <c r="J102" s="83"/>
      <c r="K102" s="83"/>
      <c r="L102" s="12"/>
      <c r="M102" s="28"/>
      <c r="N102" s="14"/>
      <c r="O102" s="11"/>
      <c r="P102" s="11"/>
      <c r="Q102" s="16"/>
      <c r="R102" s="2"/>
      <c r="S102" s="12"/>
      <c r="T102" s="17"/>
      <c r="U102" s="2"/>
      <c r="V102" s="18"/>
      <c r="W102" s="16"/>
    </row>
    <row r="103" spans="2:23" ht="18" x14ac:dyDescent="0.35">
      <c r="B103" s="95"/>
      <c r="C103" s="96"/>
      <c r="D103" s="97"/>
      <c r="E103" s="113"/>
      <c r="F103" s="90"/>
      <c r="G103" s="91"/>
      <c r="H103" s="92"/>
      <c r="I103" s="105"/>
      <c r="J103" s="83"/>
      <c r="K103" s="83"/>
      <c r="L103" s="12"/>
      <c r="M103" s="28"/>
      <c r="N103" s="14"/>
      <c r="O103" s="11"/>
      <c r="P103" s="11"/>
      <c r="Q103" s="16"/>
      <c r="R103" s="2"/>
      <c r="S103" s="12"/>
      <c r="T103" s="17"/>
      <c r="U103" s="2"/>
      <c r="V103" s="18"/>
      <c r="W103" s="16"/>
    </row>
    <row r="104" spans="2:23" ht="18" x14ac:dyDescent="0.35">
      <c r="B104" s="95"/>
      <c r="C104" s="96"/>
      <c r="D104" s="97"/>
      <c r="E104" s="113"/>
      <c r="F104" s="90"/>
      <c r="G104" s="91"/>
      <c r="H104" s="92"/>
      <c r="I104" s="105"/>
      <c r="J104" s="83"/>
      <c r="K104" s="83"/>
      <c r="L104" s="12"/>
      <c r="M104" s="28"/>
      <c r="N104" s="14"/>
      <c r="O104" s="11"/>
      <c r="P104" s="11"/>
      <c r="Q104" s="16"/>
      <c r="R104" s="2"/>
      <c r="S104" s="12"/>
      <c r="T104" s="17"/>
      <c r="U104" s="2"/>
      <c r="V104" s="18"/>
      <c r="W104" s="16"/>
    </row>
    <row r="105" spans="2:23" ht="18" x14ac:dyDescent="0.35">
      <c r="B105" s="95"/>
      <c r="C105" s="96"/>
      <c r="D105" s="97"/>
      <c r="E105" s="113"/>
      <c r="F105" s="90"/>
      <c r="G105" s="91"/>
      <c r="H105" s="92"/>
      <c r="I105" s="105"/>
      <c r="J105" s="83"/>
      <c r="K105" s="83"/>
      <c r="L105" s="12"/>
      <c r="M105" s="28"/>
      <c r="N105" s="14"/>
      <c r="O105" s="11"/>
      <c r="P105" s="11"/>
      <c r="Q105" s="16"/>
      <c r="R105" s="2"/>
      <c r="S105" s="12"/>
      <c r="T105" s="17"/>
      <c r="U105" s="2"/>
      <c r="V105" s="18"/>
      <c r="W105" s="16"/>
    </row>
    <row r="106" spans="2:23" ht="18" x14ac:dyDescent="0.35">
      <c r="B106" s="95"/>
      <c r="C106" s="96"/>
      <c r="D106" s="97"/>
      <c r="E106" s="113"/>
      <c r="F106" s="90"/>
      <c r="G106" s="91"/>
      <c r="H106" s="92"/>
      <c r="I106" s="105"/>
      <c r="J106" s="83"/>
      <c r="K106" s="83"/>
      <c r="L106" s="12"/>
      <c r="M106" s="28"/>
      <c r="N106" s="14"/>
      <c r="O106" s="11"/>
      <c r="P106" s="11"/>
      <c r="Q106" s="16"/>
      <c r="R106" s="2"/>
      <c r="S106" s="12"/>
      <c r="T106" s="17"/>
      <c r="U106" s="2"/>
      <c r="V106" s="18"/>
      <c r="W106" s="16"/>
    </row>
    <row r="107" spans="2:23" ht="18" x14ac:dyDescent="0.35">
      <c r="B107" s="95"/>
      <c r="C107" s="96"/>
      <c r="D107" s="97"/>
      <c r="E107" s="113"/>
      <c r="F107" s="90"/>
      <c r="G107" s="91"/>
      <c r="H107" s="92"/>
      <c r="I107" s="105"/>
      <c r="J107" s="83"/>
      <c r="K107" s="83"/>
      <c r="L107" s="12"/>
      <c r="M107" s="28"/>
      <c r="N107" s="14"/>
      <c r="O107" s="11"/>
      <c r="P107" s="11"/>
      <c r="Q107" s="16"/>
      <c r="R107" s="2"/>
      <c r="S107" s="12"/>
      <c r="T107" s="17"/>
      <c r="U107" s="2"/>
      <c r="V107" s="18"/>
      <c r="W107" s="16"/>
    </row>
    <row r="108" spans="2:23" ht="18" x14ac:dyDescent="0.35">
      <c r="B108" s="95"/>
      <c r="C108" s="96"/>
      <c r="D108" s="97"/>
      <c r="E108" s="113"/>
      <c r="F108" s="90"/>
      <c r="G108" s="91"/>
      <c r="H108" s="92"/>
      <c r="I108" s="105"/>
      <c r="J108" s="83"/>
      <c r="K108" s="83"/>
      <c r="L108" s="12"/>
      <c r="M108" s="28"/>
      <c r="N108" s="14"/>
      <c r="O108" s="11"/>
      <c r="P108" s="11"/>
      <c r="Q108" s="16"/>
      <c r="R108" s="2"/>
      <c r="S108" s="12"/>
      <c r="T108" s="17"/>
      <c r="U108" s="2"/>
      <c r="V108" s="18"/>
      <c r="W108" s="16"/>
    </row>
    <row r="109" spans="2:23" ht="18" x14ac:dyDescent="0.35">
      <c r="B109" s="95"/>
      <c r="C109" s="96"/>
      <c r="D109" s="97"/>
      <c r="E109" s="113"/>
      <c r="F109" s="90"/>
      <c r="G109" s="91"/>
      <c r="H109" s="92"/>
      <c r="I109" s="105"/>
      <c r="J109" s="83"/>
      <c r="K109" s="83"/>
      <c r="L109" s="12"/>
      <c r="M109" s="28"/>
      <c r="N109" s="14"/>
      <c r="O109" s="11"/>
      <c r="P109" s="11"/>
      <c r="Q109" s="16"/>
      <c r="R109" s="2"/>
      <c r="S109" s="12"/>
      <c r="T109" s="17"/>
      <c r="U109" s="2"/>
      <c r="V109" s="18"/>
      <c r="W109" s="16"/>
    </row>
    <row r="110" spans="2:23" ht="18" x14ac:dyDescent="0.35">
      <c r="B110" s="95"/>
      <c r="C110" s="96"/>
      <c r="D110" s="97"/>
      <c r="E110" s="113"/>
      <c r="F110" s="90"/>
      <c r="G110" s="91"/>
      <c r="H110" s="92"/>
      <c r="I110" s="105"/>
      <c r="J110" s="83"/>
      <c r="K110" s="83"/>
      <c r="L110" s="12"/>
      <c r="M110" s="28"/>
      <c r="N110" s="14"/>
      <c r="O110" s="11"/>
      <c r="P110" s="11"/>
      <c r="Q110" s="16"/>
      <c r="R110" s="2"/>
      <c r="S110" s="12"/>
      <c r="T110" s="17"/>
      <c r="U110" s="2"/>
      <c r="V110" s="18"/>
      <c r="W110" s="16"/>
    </row>
    <row r="111" spans="2:23" ht="18" x14ac:dyDescent="0.35">
      <c r="B111" s="95"/>
      <c r="C111" s="96"/>
      <c r="D111" s="97"/>
      <c r="E111" s="113"/>
      <c r="F111" s="90"/>
      <c r="G111" s="91"/>
      <c r="H111" s="92"/>
      <c r="I111" s="105"/>
      <c r="J111" s="83"/>
      <c r="K111" s="83"/>
      <c r="L111" s="12"/>
      <c r="M111" s="28"/>
      <c r="N111" s="14"/>
      <c r="O111" s="11"/>
      <c r="P111" s="11"/>
      <c r="Q111" s="16"/>
      <c r="R111" s="2"/>
      <c r="S111" s="12"/>
      <c r="T111" s="17"/>
      <c r="U111" s="2"/>
      <c r="V111" s="18"/>
      <c r="W111" s="16"/>
    </row>
    <row r="112" spans="2:23" ht="18" x14ac:dyDescent="0.35">
      <c r="B112" s="95"/>
      <c r="C112" s="96"/>
      <c r="D112" s="97"/>
      <c r="E112" s="113"/>
      <c r="F112" s="90"/>
      <c r="G112" s="91"/>
      <c r="H112" s="92"/>
      <c r="I112" s="105"/>
      <c r="J112" s="83"/>
      <c r="K112" s="83"/>
      <c r="L112" s="12"/>
      <c r="M112" s="28"/>
      <c r="N112" s="14"/>
      <c r="O112" s="11"/>
      <c r="P112" s="11"/>
      <c r="Q112" s="16"/>
      <c r="R112" s="2"/>
      <c r="S112" s="12"/>
      <c r="T112" s="17"/>
      <c r="U112" s="2"/>
      <c r="V112" s="18"/>
      <c r="W112" s="16"/>
    </row>
    <row r="113" spans="2:23" ht="18" x14ac:dyDescent="0.35">
      <c r="B113" s="95"/>
      <c r="C113" s="96"/>
      <c r="D113" s="97"/>
      <c r="E113" s="113"/>
      <c r="F113" s="90"/>
      <c r="G113" s="91"/>
      <c r="H113" s="92"/>
      <c r="I113" s="105"/>
      <c r="J113" s="83"/>
      <c r="K113" s="83"/>
      <c r="L113" s="12"/>
      <c r="M113" s="28"/>
      <c r="N113" s="14"/>
      <c r="O113" s="11"/>
      <c r="P113" s="11"/>
      <c r="Q113" s="16"/>
      <c r="R113" s="2"/>
      <c r="S113" s="12"/>
      <c r="T113" s="17"/>
      <c r="U113" s="2"/>
      <c r="V113" s="18"/>
      <c r="W113" s="16"/>
    </row>
    <row r="114" spans="2:23" ht="18" x14ac:dyDescent="0.35">
      <c r="B114" s="95"/>
      <c r="C114" s="96"/>
      <c r="D114" s="97"/>
      <c r="E114" s="113"/>
      <c r="F114" s="90"/>
      <c r="G114" s="91"/>
      <c r="H114" s="92"/>
      <c r="I114" s="105"/>
      <c r="J114" s="83"/>
      <c r="K114" s="83"/>
      <c r="L114" s="12"/>
      <c r="M114" s="28"/>
      <c r="N114" s="14"/>
      <c r="O114" s="11"/>
      <c r="P114" s="11"/>
      <c r="Q114" s="16"/>
      <c r="R114" s="2"/>
      <c r="S114" s="12"/>
      <c r="T114" s="17"/>
      <c r="U114" s="2"/>
      <c r="V114" s="18"/>
      <c r="W114" s="16"/>
    </row>
    <row r="115" spans="2:23" ht="18" x14ac:dyDescent="0.35">
      <c r="B115" s="95"/>
      <c r="C115" s="96"/>
      <c r="D115" s="97"/>
      <c r="E115" s="113"/>
      <c r="F115" s="90"/>
      <c r="G115" s="91"/>
      <c r="H115" s="92"/>
      <c r="I115" s="105"/>
      <c r="J115" s="83"/>
      <c r="K115" s="83"/>
      <c r="L115" s="12"/>
      <c r="M115" s="28"/>
      <c r="N115" s="14"/>
      <c r="O115" s="11"/>
      <c r="P115" s="11"/>
      <c r="Q115" s="16"/>
      <c r="R115" s="2"/>
      <c r="S115" s="12"/>
      <c r="T115" s="17"/>
      <c r="U115" s="2"/>
      <c r="V115" s="18"/>
      <c r="W115" s="16"/>
    </row>
    <row r="116" spans="2:23" ht="18" x14ac:dyDescent="0.35">
      <c r="B116" s="95"/>
      <c r="C116" s="96"/>
      <c r="D116" s="97"/>
      <c r="E116" s="113"/>
      <c r="F116" s="90"/>
      <c r="G116" s="91"/>
      <c r="H116" s="92"/>
      <c r="I116" s="105"/>
      <c r="J116" s="83"/>
      <c r="K116" s="83"/>
      <c r="L116" s="12"/>
      <c r="M116" s="28"/>
      <c r="N116" s="14"/>
      <c r="O116" s="11"/>
      <c r="P116" s="11"/>
      <c r="Q116" s="16"/>
      <c r="R116" s="2"/>
      <c r="S116" s="12"/>
      <c r="T116" s="17"/>
      <c r="U116" s="2"/>
      <c r="V116" s="18"/>
      <c r="W116" s="16"/>
    </row>
    <row r="117" spans="2:23" ht="18" x14ac:dyDescent="0.35">
      <c r="B117" s="95"/>
      <c r="C117" s="96"/>
      <c r="D117" s="97"/>
      <c r="E117" s="113"/>
      <c r="F117" s="90"/>
      <c r="G117" s="91"/>
      <c r="H117" s="92"/>
      <c r="I117" s="105"/>
      <c r="J117" s="83"/>
      <c r="K117" s="83"/>
      <c r="L117" s="12"/>
      <c r="M117" s="28"/>
      <c r="N117" s="14"/>
      <c r="O117" s="11"/>
      <c r="P117" s="11"/>
      <c r="Q117" s="16"/>
      <c r="R117" s="2"/>
      <c r="S117" s="12"/>
      <c r="T117" s="17"/>
      <c r="U117" s="2"/>
      <c r="V117" s="18"/>
      <c r="W117" s="16"/>
    </row>
    <row r="118" spans="2:23" ht="18" x14ac:dyDescent="0.35">
      <c r="B118" s="95"/>
      <c r="C118" s="96"/>
      <c r="D118" s="97"/>
      <c r="E118" s="113"/>
      <c r="F118" s="90"/>
      <c r="G118" s="91"/>
      <c r="H118" s="92"/>
      <c r="I118" s="105"/>
      <c r="J118" s="83"/>
      <c r="K118" s="83"/>
      <c r="L118" s="12"/>
      <c r="M118" s="28"/>
      <c r="N118" s="14"/>
      <c r="O118" s="11"/>
      <c r="P118" s="11"/>
      <c r="Q118" s="16"/>
      <c r="R118" s="2"/>
      <c r="S118" s="12"/>
      <c r="T118" s="17"/>
      <c r="U118" s="2"/>
      <c r="V118" s="18"/>
      <c r="W118" s="16"/>
    </row>
    <row r="119" spans="2:23" ht="18" x14ac:dyDescent="0.35">
      <c r="B119" s="95"/>
      <c r="C119" s="96"/>
      <c r="D119" s="97"/>
      <c r="E119" s="113"/>
      <c r="F119" s="90"/>
      <c r="G119" s="91"/>
      <c r="H119" s="92"/>
      <c r="I119" s="105"/>
      <c r="J119" s="83"/>
      <c r="K119" s="83"/>
      <c r="L119" s="12"/>
      <c r="M119" s="28"/>
      <c r="N119" s="14"/>
      <c r="O119" s="11"/>
      <c r="P119" s="11"/>
      <c r="Q119" s="16"/>
      <c r="R119" s="2"/>
      <c r="S119" s="12"/>
      <c r="T119" s="17"/>
      <c r="U119" s="2"/>
      <c r="V119" s="18"/>
      <c r="W119" s="16"/>
    </row>
    <row r="120" spans="2:23" ht="18" x14ac:dyDescent="0.35">
      <c r="B120" s="95"/>
      <c r="C120" s="96"/>
      <c r="D120" s="97"/>
      <c r="E120" s="113"/>
      <c r="F120" s="90"/>
      <c r="G120" s="91"/>
      <c r="H120" s="92"/>
      <c r="I120" s="105"/>
      <c r="J120" s="83"/>
      <c r="K120" s="83"/>
      <c r="L120" s="12"/>
      <c r="M120" s="28"/>
      <c r="N120" s="14"/>
      <c r="O120" s="11"/>
      <c r="P120" s="11"/>
      <c r="Q120" s="16"/>
      <c r="R120" s="2"/>
      <c r="S120" s="12"/>
      <c r="T120" s="17"/>
      <c r="U120" s="2"/>
      <c r="V120" s="18"/>
      <c r="W120" s="16"/>
    </row>
    <row r="121" spans="2:23" ht="18" x14ac:dyDescent="0.35">
      <c r="B121" s="95"/>
      <c r="C121" s="96"/>
      <c r="D121" s="97"/>
      <c r="E121" s="113"/>
      <c r="F121" s="90"/>
      <c r="G121" s="91"/>
      <c r="H121" s="92"/>
      <c r="I121" s="105"/>
      <c r="J121" s="83"/>
      <c r="K121" s="83"/>
      <c r="L121" s="12"/>
      <c r="M121" s="28"/>
      <c r="N121" s="14"/>
      <c r="O121" s="11"/>
      <c r="P121" s="11"/>
      <c r="Q121" s="16"/>
      <c r="R121" s="2"/>
      <c r="S121" s="12"/>
      <c r="T121" s="17"/>
      <c r="U121" s="2"/>
      <c r="V121" s="18"/>
      <c r="W121" s="16"/>
    </row>
    <row r="122" spans="2:23" ht="18" x14ac:dyDescent="0.35">
      <c r="B122" s="95"/>
      <c r="C122" s="96"/>
      <c r="D122" s="97"/>
      <c r="E122" s="113"/>
      <c r="F122" s="99"/>
      <c r="G122" s="100"/>
      <c r="H122" s="101"/>
      <c r="I122" s="105"/>
      <c r="J122" s="83"/>
      <c r="K122" s="83"/>
      <c r="L122" s="12"/>
      <c r="M122" s="28"/>
      <c r="N122" s="14"/>
      <c r="O122" s="11"/>
      <c r="P122" s="11"/>
      <c r="Q122" s="16"/>
      <c r="R122" s="2"/>
      <c r="S122" s="12"/>
      <c r="T122" s="17"/>
      <c r="U122" s="2"/>
      <c r="V122" s="18"/>
      <c r="W122" s="16"/>
    </row>
    <row r="123" spans="2:23" ht="18" x14ac:dyDescent="0.35">
      <c r="B123" s="95"/>
      <c r="C123" s="96"/>
      <c r="D123" s="97"/>
      <c r="E123" s="113"/>
      <c r="F123" s="99"/>
      <c r="G123" s="100"/>
      <c r="H123" s="101"/>
      <c r="I123" s="105"/>
      <c r="J123" s="83"/>
      <c r="K123" s="83"/>
      <c r="L123" s="12"/>
      <c r="M123" s="28"/>
      <c r="N123" s="14"/>
      <c r="O123" s="11"/>
      <c r="P123" s="11"/>
      <c r="Q123" s="16"/>
      <c r="R123" s="2"/>
      <c r="S123" s="12"/>
      <c r="T123" s="17"/>
      <c r="U123" s="2"/>
      <c r="V123" s="18"/>
      <c r="W123" s="16"/>
    </row>
    <row r="124" spans="2:23" ht="18" x14ac:dyDescent="0.35">
      <c r="B124" s="95"/>
      <c r="C124" s="96"/>
      <c r="D124" s="97"/>
      <c r="E124" s="113"/>
      <c r="F124" s="99"/>
      <c r="G124" s="100"/>
      <c r="H124" s="101"/>
      <c r="I124" s="105"/>
      <c r="J124" s="83"/>
      <c r="K124" s="83"/>
      <c r="L124" s="12"/>
      <c r="M124" s="28"/>
      <c r="N124" s="14"/>
      <c r="O124" s="11"/>
      <c r="P124" s="11"/>
      <c r="Q124" s="16"/>
      <c r="R124" s="2"/>
      <c r="S124" s="12"/>
      <c r="T124" s="17"/>
      <c r="U124" s="2"/>
      <c r="V124" s="18"/>
      <c r="W124" s="16"/>
    </row>
    <row r="125" spans="2:23" ht="18" x14ac:dyDescent="0.35">
      <c r="B125" s="95"/>
      <c r="C125" s="96"/>
      <c r="D125" s="97"/>
      <c r="E125" s="113"/>
      <c r="F125" s="99"/>
      <c r="G125" s="100"/>
      <c r="H125" s="101"/>
      <c r="I125" s="105"/>
      <c r="J125" s="83"/>
      <c r="K125" s="83"/>
      <c r="L125" s="12"/>
      <c r="M125" s="28"/>
      <c r="N125" s="14"/>
      <c r="O125" s="11"/>
      <c r="P125" s="11"/>
      <c r="Q125" s="16"/>
      <c r="R125" s="2"/>
      <c r="S125" s="12"/>
      <c r="T125" s="17"/>
      <c r="U125" s="2"/>
      <c r="V125" s="18"/>
      <c r="W125" s="16"/>
    </row>
    <row r="126" spans="2:23" ht="18" x14ac:dyDescent="0.35">
      <c r="B126" s="95"/>
      <c r="C126" s="96"/>
      <c r="D126" s="97"/>
      <c r="E126" s="113"/>
      <c r="F126" s="99"/>
      <c r="G126" s="100"/>
      <c r="H126" s="101"/>
      <c r="I126" s="105"/>
      <c r="J126" s="83"/>
      <c r="K126" s="83"/>
      <c r="L126" s="12"/>
      <c r="M126" s="28"/>
      <c r="N126" s="14"/>
      <c r="O126" s="11"/>
      <c r="P126" s="11"/>
      <c r="Q126" s="16"/>
      <c r="R126" s="2"/>
      <c r="S126" s="12"/>
      <c r="T126" s="17"/>
      <c r="U126" s="2"/>
      <c r="V126" s="18"/>
      <c r="W126" s="16"/>
    </row>
    <row r="127" spans="2:23" ht="18" x14ac:dyDescent="0.35">
      <c r="B127" s="95"/>
      <c r="C127" s="96"/>
      <c r="D127" s="97"/>
      <c r="E127" s="113"/>
      <c r="F127" s="99"/>
      <c r="G127" s="100"/>
      <c r="H127" s="101"/>
      <c r="I127" s="105"/>
      <c r="J127" s="83"/>
      <c r="K127" s="83"/>
      <c r="L127" s="12"/>
      <c r="M127" s="28"/>
      <c r="N127" s="14"/>
      <c r="O127" s="11"/>
      <c r="P127" s="11"/>
      <c r="Q127" s="16"/>
      <c r="R127" s="2"/>
      <c r="S127" s="12"/>
      <c r="T127" s="17"/>
      <c r="U127" s="2"/>
      <c r="V127" s="18"/>
      <c r="W127" s="16"/>
    </row>
    <row r="128" spans="2:23" ht="18" x14ac:dyDescent="0.35">
      <c r="B128" s="95"/>
      <c r="C128" s="96"/>
      <c r="D128" s="97"/>
      <c r="E128" s="113"/>
      <c r="F128" s="99"/>
      <c r="G128" s="100"/>
      <c r="H128" s="101"/>
      <c r="I128" s="105"/>
      <c r="J128" s="83"/>
      <c r="K128" s="83"/>
      <c r="L128" s="12"/>
      <c r="M128" s="28"/>
      <c r="N128" s="14"/>
      <c r="O128" s="11"/>
      <c r="P128" s="11"/>
      <c r="Q128" s="16"/>
      <c r="R128" s="2"/>
      <c r="S128" s="12"/>
      <c r="T128" s="17"/>
      <c r="U128" s="2"/>
      <c r="V128" s="18"/>
      <c r="W128" s="16"/>
    </row>
    <row r="129" spans="1:23" ht="18.600000000000001" thickBot="1" x14ac:dyDescent="0.4">
      <c r="B129" s="114"/>
      <c r="C129" s="115"/>
      <c r="D129" s="116"/>
      <c r="E129" s="113"/>
      <c r="F129" s="117"/>
      <c r="G129" s="118"/>
      <c r="H129" s="119"/>
      <c r="I129" s="105"/>
      <c r="J129" s="83"/>
      <c r="K129" s="83"/>
      <c r="L129" s="30"/>
      <c r="M129" s="31"/>
      <c r="N129" s="32"/>
      <c r="O129" s="29"/>
      <c r="P129" s="29"/>
      <c r="Q129" s="33"/>
      <c r="R129" s="2"/>
      <c r="S129" s="30"/>
      <c r="T129" s="34"/>
      <c r="U129" s="2"/>
      <c r="V129" s="35"/>
      <c r="W129" s="33"/>
    </row>
    <row r="130" spans="1:23" ht="18.600000000000001" thickBot="1" x14ac:dyDescent="0.4">
      <c r="A130" s="120" t="s">
        <v>15</v>
      </c>
      <c r="B130" s="121">
        <f>SUM(B9:B129)</f>
        <v>0</v>
      </c>
      <c r="C130" s="122"/>
      <c r="D130" s="121"/>
      <c r="E130" s="123">
        <f>SUM(E9:E129)</f>
        <v>0</v>
      </c>
      <c r="F130" s="124">
        <f>SUM(F9:F129)</f>
        <v>0</v>
      </c>
      <c r="G130" s="82"/>
      <c r="H130" s="125"/>
      <c r="I130" s="125">
        <f>SUM(I9:I129)</f>
        <v>0</v>
      </c>
      <c r="J130" s="83"/>
      <c r="K130" s="83"/>
      <c r="L130" s="126"/>
      <c r="M130" s="126">
        <f>SUM(M9:M129)</f>
        <v>0</v>
      </c>
      <c r="N130" s="127">
        <f>SUM(N9:N129)</f>
        <v>0</v>
      </c>
      <c r="O130" s="82"/>
      <c r="P130" s="82">
        <f>SUM(P9:P129)</f>
        <v>0</v>
      </c>
      <c r="Q130" s="128">
        <f>SUM(Q9:Q129)</f>
        <v>0</v>
      </c>
      <c r="R130" s="83"/>
      <c r="S130" s="84"/>
      <c r="T130" s="129">
        <f>SUM(T9:T129)</f>
        <v>0</v>
      </c>
      <c r="U130" s="83"/>
      <c r="V130" s="82"/>
      <c r="W130" s="130">
        <f>SUM(W9:W129)</f>
        <v>0</v>
      </c>
    </row>
  </sheetData>
  <mergeCells count="8">
    <mergeCell ref="V5:W5"/>
    <mergeCell ref="Y5:Z5"/>
    <mergeCell ref="E1:G1"/>
    <mergeCell ref="B2:C2"/>
    <mergeCell ref="B3:C3"/>
    <mergeCell ref="B5:I5"/>
    <mergeCell ref="L5:Q5"/>
    <mergeCell ref="S5:T5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2E8D1F-1297-4F08-A8C7-EF23DD2F5EE8}">
  <sheetPr codeName="Sheet39"/>
  <dimension ref="A1:Z130"/>
  <sheetViews>
    <sheetView zoomScale="80" zoomScaleNormal="80" workbookViewId="0">
      <selection activeCell="D3" sqref="D3"/>
    </sheetView>
  </sheetViews>
  <sheetFormatPr defaultColWidth="9.109375" defaultRowHeight="14.4" x14ac:dyDescent="0.3"/>
  <cols>
    <col min="1" max="1" width="15.5546875" style="36" customWidth="1"/>
    <col min="2" max="2" width="15.88671875" style="36" customWidth="1"/>
    <col min="3" max="3" width="20" style="76" customWidth="1"/>
    <col min="4" max="4" width="20.33203125" style="36" customWidth="1"/>
    <col min="5" max="5" width="22.33203125" style="36" customWidth="1"/>
    <col min="6" max="6" width="14.6640625" style="36" customWidth="1"/>
    <col min="7" max="7" width="22" style="76" customWidth="1"/>
    <col min="8" max="8" width="18.88671875" style="36" customWidth="1"/>
    <col min="9" max="9" width="23" style="36" customWidth="1"/>
    <col min="10" max="11" width="9.109375" style="36"/>
    <col min="12" max="12" width="20.6640625" style="76" customWidth="1"/>
    <col min="13" max="13" width="15.44140625" style="76" customWidth="1"/>
    <col min="14" max="14" width="22.6640625" style="36" customWidth="1"/>
    <col min="15" max="15" width="20.5546875" style="76" customWidth="1"/>
    <col min="16" max="16" width="13.33203125" style="76" customWidth="1"/>
    <col min="17" max="17" width="21.5546875" style="76" customWidth="1"/>
    <col min="18" max="18" width="9.109375" style="36"/>
    <col min="19" max="19" width="22" style="76" customWidth="1"/>
    <col min="20" max="20" width="22.33203125" style="76" customWidth="1"/>
    <col min="21" max="21" width="9.109375" style="36"/>
    <col min="22" max="22" width="21.88671875" style="76" customWidth="1"/>
    <col min="23" max="23" width="23.109375" style="76" customWidth="1"/>
    <col min="24" max="24" width="9.109375" style="36"/>
    <col min="25" max="25" width="21.33203125" style="36" customWidth="1"/>
    <col min="26" max="26" width="21.88671875" style="36" customWidth="1"/>
    <col min="27" max="16384" width="9.109375" style="36"/>
  </cols>
  <sheetData>
    <row r="1" spans="2:26" ht="21" x14ac:dyDescent="0.4">
      <c r="E1" s="189">
        <v>44188</v>
      </c>
      <c r="F1" s="189"/>
      <c r="G1" s="189"/>
    </row>
    <row r="2" spans="2:26" ht="18" x14ac:dyDescent="0.35">
      <c r="B2" s="190" t="s">
        <v>0</v>
      </c>
      <c r="C2" s="190"/>
      <c r="D2" s="1"/>
    </row>
    <row r="3" spans="2:26" ht="18" x14ac:dyDescent="0.35">
      <c r="B3" s="190" t="s">
        <v>1</v>
      </c>
      <c r="C3" s="190"/>
      <c r="D3" s="77">
        <f>(D2-E130-I130)</f>
        <v>0</v>
      </c>
    </row>
    <row r="5" spans="2:26" ht="36.6" x14ac:dyDescent="0.7">
      <c r="B5" s="187" t="s">
        <v>2</v>
      </c>
      <c r="C5" s="187"/>
      <c r="D5" s="187"/>
      <c r="E5" s="187"/>
      <c r="F5" s="187"/>
      <c r="G5" s="187"/>
      <c r="H5" s="187"/>
      <c r="I5" s="187"/>
      <c r="L5" s="187" t="s">
        <v>3</v>
      </c>
      <c r="M5" s="187"/>
      <c r="N5" s="187"/>
      <c r="O5" s="187"/>
      <c r="P5" s="187"/>
      <c r="Q5" s="187"/>
      <c r="S5" s="191" t="s">
        <v>4</v>
      </c>
      <c r="T5" s="191"/>
      <c r="V5" s="187" t="s">
        <v>5</v>
      </c>
      <c r="W5" s="187"/>
      <c r="Y5" s="188" t="s">
        <v>105</v>
      </c>
      <c r="Z5" s="187"/>
    </row>
    <row r="7" spans="2:26" ht="15" thickBot="1" x14ac:dyDescent="0.35"/>
    <row r="8" spans="2:26" ht="18.600000000000001" thickBot="1" x14ac:dyDescent="0.4">
      <c r="B8" s="78" t="s">
        <v>6</v>
      </c>
      <c r="C8" s="79" t="s">
        <v>7</v>
      </c>
      <c r="D8" s="78" t="s">
        <v>8</v>
      </c>
      <c r="E8" s="80" t="s">
        <v>9</v>
      </c>
      <c r="F8" s="81" t="s">
        <v>6</v>
      </c>
      <c r="G8" s="81" t="s">
        <v>10</v>
      </c>
      <c r="H8" s="81" t="s">
        <v>8</v>
      </c>
      <c r="I8" s="82" t="s">
        <v>9</v>
      </c>
      <c r="J8" s="83"/>
      <c r="K8" s="83"/>
      <c r="L8" s="84" t="s">
        <v>11</v>
      </c>
      <c r="M8" s="84" t="s">
        <v>6</v>
      </c>
      <c r="N8" s="84" t="s">
        <v>9</v>
      </c>
      <c r="O8" s="82" t="s">
        <v>12</v>
      </c>
      <c r="P8" s="82" t="s">
        <v>6</v>
      </c>
      <c r="Q8" s="82" t="s">
        <v>9</v>
      </c>
      <c r="R8" s="83"/>
      <c r="S8" s="84" t="s">
        <v>13</v>
      </c>
      <c r="T8" s="85" t="s">
        <v>9</v>
      </c>
      <c r="U8" s="83"/>
      <c r="V8" s="82" t="s">
        <v>14</v>
      </c>
      <c r="W8" s="82" t="s">
        <v>9</v>
      </c>
      <c r="Y8" s="146" t="s">
        <v>106</v>
      </c>
      <c r="Z8" s="147" t="s">
        <v>107</v>
      </c>
    </row>
    <row r="9" spans="2:26" ht="18" x14ac:dyDescent="0.35">
      <c r="B9" s="86"/>
      <c r="C9" s="87"/>
      <c r="D9" s="88"/>
      <c r="E9" s="89"/>
      <c r="F9" s="90"/>
      <c r="G9" s="91"/>
      <c r="H9" s="92"/>
      <c r="I9" s="93"/>
      <c r="J9" s="83"/>
      <c r="K9" s="83"/>
      <c r="L9" s="3"/>
      <c r="M9" s="4"/>
      <c r="N9" s="5"/>
      <c r="O9" s="6"/>
      <c r="P9" s="7"/>
      <c r="Q9" s="8"/>
      <c r="R9" s="2"/>
      <c r="S9" s="3"/>
      <c r="T9" s="9"/>
      <c r="U9" s="2"/>
      <c r="V9" s="10"/>
      <c r="W9" s="8"/>
      <c r="Y9" s="148" t="s">
        <v>88</v>
      </c>
      <c r="Z9" s="151">
        <f>SUMIF($C$9:$C$129, Y9, $B$9:$B$129)</f>
        <v>0</v>
      </c>
    </row>
    <row r="10" spans="2:26" ht="18" x14ac:dyDescent="0.35">
      <c r="B10" s="95"/>
      <c r="C10" s="96"/>
      <c r="D10" s="97"/>
      <c r="E10" s="98"/>
      <c r="F10" s="90"/>
      <c r="G10" s="91"/>
      <c r="H10" s="92"/>
      <c r="I10" s="93"/>
      <c r="J10" s="83"/>
      <c r="K10" s="83"/>
      <c r="L10" s="12"/>
      <c r="M10" s="13"/>
      <c r="N10" s="14"/>
      <c r="O10" s="11"/>
      <c r="P10" s="15"/>
      <c r="Q10" s="16"/>
      <c r="R10" s="2"/>
      <c r="S10" s="12"/>
      <c r="T10" s="17"/>
      <c r="U10" s="2"/>
      <c r="V10" s="18"/>
      <c r="W10" s="8"/>
      <c r="Y10" s="149" t="s">
        <v>76</v>
      </c>
      <c r="Z10" s="151">
        <f t="shared" ref="Z10:Z11" si="0">SUMIF($C$9:$C$129, Y10, $B$9:$B$129)</f>
        <v>0</v>
      </c>
    </row>
    <row r="11" spans="2:26" ht="18" x14ac:dyDescent="0.35">
      <c r="B11" s="95"/>
      <c r="C11" s="96"/>
      <c r="D11" s="97"/>
      <c r="E11" s="98"/>
      <c r="F11" s="90"/>
      <c r="G11" s="91"/>
      <c r="H11" s="92"/>
      <c r="I11" s="93"/>
      <c r="J11" s="83"/>
      <c r="K11" s="83"/>
      <c r="L11" s="12"/>
      <c r="M11" s="13"/>
      <c r="N11" s="14"/>
      <c r="O11" s="11"/>
      <c r="P11" s="15"/>
      <c r="Q11" s="16"/>
      <c r="R11" s="2"/>
      <c r="S11" s="12"/>
      <c r="T11" s="17"/>
      <c r="U11" s="2"/>
      <c r="V11" s="18"/>
      <c r="W11" s="8"/>
      <c r="Y11" s="149" t="s">
        <v>77</v>
      </c>
      <c r="Z11" s="151">
        <f t="shared" si="0"/>
        <v>0</v>
      </c>
    </row>
    <row r="12" spans="2:26" ht="18" x14ac:dyDescent="0.35">
      <c r="B12" s="95"/>
      <c r="C12" s="96"/>
      <c r="D12" s="97"/>
      <c r="E12" s="98"/>
      <c r="F12" s="90"/>
      <c r="G12" s="91"/>
      <c r="H12" s="92"/>
      <c r="I12" s="93"/>
      <c r="J12" s="83"/>
      <c r="K12" s="83"/>
      <c r="L12" s="12"/>
      <c r="M12" s="13"/>
      <c r="N12" s="14"/>
      <c r="O12" s="11"/>
      <c r="P12" s="15"/>
      <c r="Q12" s="16"/>
      <c r="R12" s="2"/>
      <c r="S12" s="12"/>
      <c r="T12" s="17"/>
      <c r="U12" s="2"/>
      <c r="V12" s="18"/>
      <c r="W12" s="8"/>
      <c r="Y12" s="149" t="s">
        <v>89</v>
      </c>
      <c r="Z12" s="152">
        <f>SUMIF($G$9:$G$129, Y12, $F$9:$F$129)</f>
        <v>0</v>
      </c>
    </row>
    <row r="13" spans="2:26" ht="18" x14ac:dyDescent="0.35">
      <c r="B13" s="95"/>
      <c r="C13" s="96"/>
      <c r="D13" s="97"/>
      <c r="E13" s="98"/>
      <c r="F13" s="90"/>
      <c r="G13" s="91"/>
      <c r="H13" s="92"/>
      <c r="I13" s="93"/>
      <c r="J13" s="83"/>
      <c r="K13" s="83"/>
      <c r="L13" s="12"/>
      <c r="M13" s="13"/>
      <c r="N13" s="14"/>
      <c r="O13" s="11"/>
      <c r="P13" s="15"/>
      <c r="Q13" s="16"/>
      <c r="R13" s="2"/>
      <c r="S13" s="12"/>
      <c r="T13" s="17"/>
      <c r="U13" s="2"/>
      <c r="V13" s="18"/>
      <c r="W13" s="8"/>
      <c r="Y13" s="149" t="s">
        <v>20</v>
      </c>
      <c r="Z13" s="152">
        <f t="shared" ref="Z13:Z76" si="1">SUMIF($G$9:$G$129, Y13, $F$9:$F$129)</f>
        <v>0</v>
      </c>
    </row>
    <row r="14" spans="2:26" ht="18" x14ac:dyDescent="0.35">
      <c r="B14" s="95"/>
      <c r="C14" s="96"/>
      <c r="D14" s="97"/>
      <c r="E14" s="98"/>
      <c r="F14" s="90"/>
      <c r="G14" s="91"/>
      <c r="H14" s="92"/>
      <c r="I14" s="93"/>
      <c r="J14" s="83"/>
      <c r="K14" s="83"/>
      <c r="L14" s="12"/>
      <c r="M14" s="13"/>
      <c r="N14" s="14"/>
      <c r="O14" s="11"/>
      <c r="P14" s="15"/>
      <c r="Q14" s="16"/>
      <c r="R14" s="2"/>
      <c r="S14" s="12"/>
      <c r="T14" s="17"/>
      <c r="U14" s="2"/>
      <c r="V14" s="18"/>
      <c r="W14" s="8"/>
      <c r="Y14" s="149" t="s">
        <v>19</v>
      </c>
      <c r="Z14" s="152">
        <f t="shared" si="1"/>
        <v>0</v>
      </c>
    </row>
    <row r="15" spans="2:26" ht="18" x14ac:dyDescent="0.35">
      <c r="B15" s="95"/>
      <c r="C15" s="96"/>
      <c r="D15" s="97"/>
      <c r="E15" s="98"/>
      <c r="F15" s="90"/>
      <c r="G15" s="91"/>
      <c r="H15" s="92"/>
      <c r="I15" s="93"/>
      <c r="J15" s="83"/>
      <c r="K15" s="83"/>
      <c r="L15" s="12"/>
      <c r="M15" s="13"/>
      <c r="N15" s="14"/>
      <c r="O15" s="11"/>
      <c r="P15" s="15"/>
      <c r="Q15" s="16"/>
      <c r="R15" s="2"/>
      <c r="S15" s="12"/>
      <c r="T15" s="17"/>
      <c r="U15" s="2"/>
      <c r="V15" s="18"/>
      <c r="W15" s="8"/>
      <c r="Y15" s="149" t="s">
        <v>18</v>
      </c>
      <c r="Z15" s="152">
        <f t="shared" si="1"/>
        <v>0</v>
      </c>
    </row>
    <row r="16" spans="2:26" ht="18" x14ac:dyDescent="0.35">
      <c r="B16" s="95"/>
      <c r="C16" s="96"/>
      <c r="D16" s="97"/>
      <c r="E16" s="98"/>
      <c r="F16" s="90"/>
      <c r="G16" s="91"/>
      <c r="H16" s="92"/>
      <c r="I16" s="93"/>
      <c r="J16" s="83"/>
      <c r="K16" s="83"/>
      <c r="L16" s="12"/>
      <c r="M16" s="13"/>
      <c r="N16" s="14"/>
      <c r="O16" s="11"/>
      <c r="P16" s="15"/>
      <c r="Q16" s="16"/>
      <c r="R16" s="2"/>
      <c r="S16" s="12"/>
      <c r="T16" s="17"/>
      <c r="U16" s="2"/>
      <c r="V16" s="18"/>
      <c r="W16" s="8"/>
      <c r="Y16" s="149" t="s">
        <v>22</v>
      </c>
      <c r="Z16" s="152">
        <f t="shared" si="1"/>
        <v>0</v>
      </c>
    </row>
    <row r="17" spans="2:26" ht="18" x14ac:dyDescent="0.35">
      <c r="B17" s="95"/>
      <c r="C17" s="96"/>
      <c r="D17" s="97"/>
      <c r="E17" s="98"/>
      <c r="F17" s="90"/>
      <c r="G17" s="91"/>
      <c r="H17" s="92"/>
      <c r="I17" s="93"/>
      <c r="J17" s="83"/>
      <c r="K17" s="83"/>
      <c r="L17" s="12"/>
      <c r="M17" s="13"/>
      <c r="N17" s="14"/>
      <c r="O17" s="11"/>
      <c r="P17" s="15"/>
      <c r="Q17" s="16"/>
      <c r="R17" s="2"/>
      <c r="S17" s="12"/>
      <c r="T17" s="17"/>
      <c r="U17" s="2"/>
      <c r="V17" s="18"/>
      <c r="W17" s="8"/>
      <c r="Y17" s="149" t="s">
        <v>67</v>
      </c>
      <c r="Z17" s="152">
        <f t="shared" si="1"/>
        <v>0</v>
      </c>
    </row>
    <row r="18" spans="2:26" ht="18" x14ac:dyDescent="0.35">
      <c r="B18" s="95"/>
      <c r="C18" s="96"/>
      <c r="D18" s="97"/>
      <c r="E18" s="98"/>
      <c r="F18" s="90"/>
      <c r="G18" s="91"/>
      <c r="H18" s="92"/>
      <c r="I18" s="93"/>
      <c r="J18" s="83"/>
      <c r="K18" s="83"/>
      <c r="L18" s="12"/>
      <c r="M18" s="13"/>
      <c r="N18" s="14"/>
      <c r="O18" s="11"/>
      <c r="P18" s="15"/>
      <c r="Q18" s="16"/>
      <c r="R18" s="2"/>
      <c r="S18" s="12"/>
      <c r="T18" s="17"/>
      <c r="U18" s="2"/>
      <c r="V18" s="18"/>
      <c r="W18" s="8"/>
      <c r="Y18" s="149" t="s">
        <v>90</v>
      </c>
      <c r="Z18" s="152">
        <f t="shared" si="1"/>
        <v>0</v>
      </c>
    </row>
    <row r="19" spans="2:26" ht="18" x14ac:dyDescent="0.35">
      <c r="B19" s="95"/>
      <c r="C19" s="96"/>
      <c r="D19" s="97"/>
      <c r="E19" s="98"/>
      <c r="F19" s="90"/>
      <c r="G19" s="91"/>
      <c r="H19" s="92"/>
      <c r="I19" s="93"/>
      <c r="J19" s="83"/>
      <c r="K19" s="83"/>
      <c r="L19" s="12"/>
      <c r="M19" s="13"/>
      <c r="N19" s="14"/>
      <c r="O19" s="11"/>
      <c r="P19" s="15"/>
      <c r="Q19" s="16"/>
      <c r="R19" s="2"/>
      <c r="S19" s="12"/>
      <c r="T19" s="17"/>
      <c r="U19" s="2"/>
      <c r="V19" s="18"/>
      <c r="W19" s="8"/>
      <c r="Y19" s="149" t="s">
        <v>91</v>
      </c>
      <c r="Z19" s="152">
        <f t="shared" si="1"/>
        <v>0</v>
      </c>
    </row>
    <row r="20" spans="2:26" ht="18" x14ac:dyDescent="0.35">
      <c r="B20" s="95"/>
      <c r="C20" s="96"/>
      <c r="D20" s="97"/>
      <c r="E20" s="98"/>
      <c r="F20" s="90"/>
      <c r="G20" s="91"/>
      <c r="H20" s="92"/>
      <c r="I20" s="93"/>
      <c r="J20" s="83"/>
      <c r="K20" s="83"/>
      <c r="L20" s="12"/>
      <c r="M20" s="13"/>
      <c r="N20" s="14"/>
      <c r="O20" s="11"/>
      <c r="P20" s="15"/>
      <c r="Q20" s="16"/>
      <c r="R20" s="2"/>
      <c r="S20" s="12"/>
      <c r="T20" s="17"/>
      <c r="U20" s="2"/>
      <c r="V20" s="18"/>
      <c r="W20" s="8"/>
      <c r="Y20" s="149" t="s">
        <v>92</v>
      </c>
      <c r="Z20" s="152">
        <f t="shared" si="1"/>
        <v>0</v>
      </c>
    </row>
    <row r="21" spans="2:26" ht="18" x14ac:dyDescent="0.35">
      <c r="B21" s="95"/>
      <c r="C21" s="96"/>
      <c r="D21" s="97"/>
      <c r="E21" s="98"/>
      <c r="F21" s="90"/>
      <c r="G21" s="91"/>
      <c r="H21" s="92"/>
      <c r="I21" s="93"/>
      <c r="J21" s="83"/>
      <c r="K21" s="83"/>
      <c r="L21" s="12"/>
      <c r="M21" s="13"/>
      <c r="N21" s="14"/>
      <c r="O21" s="11"/>
      <c r="P21" s="15"/>
      <c r="Q21" s="16"/>
      <c r="R21" s="2"/>
      <c r="S21" s="12"/>
      <c r="T21" s="17"/>
      <c r="U21" s="2"/>
      <c r="V21" s="18"/>
      <c r="W21" s="8"/>
      <c r="Y21" s="149" t="s">
        <v>68</v>
      </c>
      <c r="Z21" s="152">
        <f t="shared" si="1"/>
        <v>0</v>
      </c>
    </row>
    <row r="22" spans="2:26" ht="18" x14ac:dyDescent="0.35">
      <c r="B22" s="95"/>
      <c r="C22" s="96"/>
      <c r="D22" s="97"/>
      <c r="E22" s="98"/>
      <c r="F22" s="90"/>
      <c r="G22" s="91"/>
      <c r="H22" s="92"/>
      <c r="I22" s="93"/>
      <c r="J22" s="83"/>
      <c r="K22" s="83"/>
      <c r="L22" s="12"/>
      <c r="M22" s="13"/>
      <c r="N22" s="14"/>
      <c r="O22" s="11"/>
      <c r="P22" s="15"/>
      <c r="Q22" s="16"/>
      <c r="R22" s="2"/>
      <c r="S22" s="12"/>
      <c r="T22" s="17"/>
      <c r="U22" s="2"/>
      <c r="V22" s="18"/>
      <c r="W22" s="8"/>
      <c r="Y22" s="149" t="s">
        <v>93</v>
      </c>
      <c r="Z22" s="152">
        <f t="shared" si="1"/>
        <v>0</v>
      </c>
    </row>
    <row r="23" spans="2:26" ht="18" x14ac:dyDescent="0.35">
      <c r="B23" s="95"/>
      <c r="C23" s="96"/>
      <c r="D23" s="97"/>
      <c r="E23" s="98"/>
      <c r="F23" s="90"/>
      <c r="G23" s="91"/>
      <c r="H23" s="92"/>
      <c r="I23" s="93"/>
      <c r="J23" s="83"/>
      <c r="K23" s="83"/>
      <c r="L23" s="12"/>
      <c r="M23" s="13"/>
      <c r="N23" s="14"/>
      <c r="O23" s="11"/>
      <c r="P23" s="15"/>
      <c r="Q23" s="16"/>
      <c r="R23" s="2"/>
      <c r="S23" s="12"/>
      <c r="T23" s="17"/>
      <c r="U23" s="2"/>
      <c r="V23" s="18"/>
      <c r="W23" s="8"/>
      <c r="Y23" s="149" t="s">
        <v>23</v>
      </c>
      <c r="Z23" s="152">
        <f t="shared" si="1"/>
        <v>0</v>
      </c>
    </row>
    <row r="24" spans="2:26" ht="18" x14ac:dyDescent="0.35">
      <c r="B24" s="95"/>
      <c r="C24" s="96"/>
      <c r="D24" s="97"/>
      <c r="E24" s="98"/>
      <c r="F24" s="90"/>
      <c r="G24" s="91"/>
      <c r="H24" s="92"/>
      <c r="I24" s="93"/>
      <c r="J24" s="83"/>
      <c r="K24" s="83"/>
      <c r="L24" s="12"/>
      <c r="M24" s="13"/>
      <c r="N24" s="14"/>
      <c r="O24" s="11"/>
      <c r="P24" s="15"/>
      <c r="Q24" s="16"/>
      <c r="R24" s="2"/>
      <c r="S24" s="12"/>
      <c r="T24" s="17"/>
      <c r="U24" s="2"/>
      <c r="V24" s="18"/>
      <c r="W24" s="8"/>
      <c r="Y24" s="149" t="s">
        <v>24</v>
      </c>
      <c r="Z24" s="152">
        <f t="shared" si="1"/>
        <v>0</v>
      </c>
    </row>
    <row r="25" spans="2:26" ht="18" x14ac:dyDescent="0.35">
      <c r="B25" s="95"/>
      <c r="C25" s="96"/>
      <c r="D25" s="97"/>
      <c r="E25" s="98"/>
      <c r="F25" s="90"/>
      <c r="G25" s="91"/>
      <c r="H25" s="92"/>
      <c r="I25" s="93"/>
      <c r="J25" s="83"/>
      <c r="K25" s="83"/>
      <c r="L25" s="12"/>
      <c r="M25" s="13"/>
      <c r="N25" s="14"/>
      <c r="O25" s="11"/>
      <c r="P25" s="15"/>
      <c r="Q25" s="16"/>
      <c r="R25" s="2"/>
      <c r="S25" s="12"/>
      <c r="T25" s="17"/>
      <c r="U25" s="2"/>
      <c r="V25" s="18"/>
      <c r="W25" s="8"/>
      <c r="Y25" s="149" t="s">
        <v>25</v>
      </c>
      <c r="Z25" s="152">
        <f t="shared" si="1"/>
        <v>0</v>
      </c>
    </row>
    <row r="26" spans="2:26" ht="18" x14ac:dyDescent="0.35">
      <c r="B26" s="95"/>
      <c r="C26" s="96"/>
      <c r="D26" s="97"/>
      <c r="E26" s="98"/>
      <c r="F26" s="90"/>
      <c r="G26" s="91"/>
      <c r="H26" s="92"/>
      <c r="I26" s="93"/>
      <c r="J26" s="83"/>
      <c r="K26" s="83"/>
      <c r="L26" s="12"/>
      <c r="M26" s="13"/>
      <c r="N26" s="14"/>
      <c r="O26" s="11"/>
      <c r="P26" s="15"/>
      <c r="Q26" s="16"/>
      <c r="R26" s="2"/>
      <c r="S26" s="12"/>
      <c r="T26" s="17"/>
      <c r="U26" s="2"/>
      <c r="V26" s="18"/>
      <c r="W26" s="8"/>
      <c r="Y26" s="149" t="s">
        <v>98</v>
      </c>
      <c r="Z26" s="152">
        <f t="shared" si="1"/>
        <v>0</v>
      </c>
    </row>
    <row r="27" spans="2:26" ht="18" x14ac:dyDescent="0.35">
      <c r="B27" s="95"/>
      <c r="C27" s="96"/>
      <c r="D27" s="97"/>
      <c r="E27" s="98"/>
      <c r="F27" s="90"/>
      <c r="G27" s="91"/>
      <c r="H27" s="92"/>
      <c r="I27" s="93"/>
      <c r="J27" s="83"/>
      <c r="K27" s="83"/>
      <c r="L27" s="12"/>
      <c r="M27" s="13"/>
      <c r="N27" s="14"/>
      <c r="O27" s="11"/>
      <c r="P27" s="15"/>
      <c r="Q27" s="16"/>
      <c r="R27" s="2"/>
      <c r="S27" s="12"/>
      <c r="T27" s="17"/>
      <c r="U27" s="2"/>
      <c r="V27" s="18"/>
      <c r="W27" s="8"/>
      <c r="Y27" s="149" t="s">
        <v>94</v>
      </c>
      <c r="Z27" s="152">
        <f t="shared" si="1"/>
        <v>0</v>
      </c>
    </row>
    <row r="28" spans="2:26" ht="18" x14ac:dyDescent="0.35">
      <c r="B28" s="95"/>
      <c r="C28" s="96"/>
      <c r="D28" s="97"/>
      <c r="E28" s="98"/>
      <c r="F28" s="90"/>
      <c r="G28" s="91"/>
      <c r="H28" s="92"/>
      <c r="I28" s="93"/>
      <c r="J28" s="83"/>
      <c r="K28" s="83"/>
      <c r="L28" s="12"/>
      <c r="M28" s="13"/>
      <c r="N28" s="14"/>
      <c r="O28" s="11"/>
      <c r="P28" s="15"/>
      <c r="Q28" s="16"/>
      <c r="R28" s="2"/>
      <c r="S28" s="12"/>
      <c r="T28" s="17"/>
      <c r="U28" s="2"/>
      <c r="V28" s="18"/>
      <c r="W28" s="8"/>
      <c r="Y28" s="149" t="s">
        <v>42</v>
      </c>
      <c r="Z28" s="152">
        <f t="shared" si="1"/>
        <v>0</v>
      </c>
    </row>
    <row r="29" spans="2:26" ht="18" x14ac:dyDescent="0.35">
      <c r="B29" s="95"/>
      <c r="C29" s="96"/>
      <c r="D29" s="97"/>
      <c r="E29" s="98"/>
      <c r="F29" s="90"/>
      <c r="G29" s="91"/>
      <c r="H29" s="92"/>
      <c r="I29" s="93"/>
      <c r="J29" s="83"/>
      <c r="K29" s="83"/>
      <c r="L29" s="12"/>
      <c r="M29" s="13"/>
      <c r="N29" s="14"/>
      <c r="O29" s="11"/>
      <c r="P29" s="15"/>
      <c r="Q29" s="16"/>
      <c r="R29" s="2"/>
      <c r="S29" s="12"/>
      <c r="T29" s="17"/>
      <c r="U29" s="2"/>
      <c r="V29" s="18"/>
      <c r="W29" s="8"/>
      <c r="Y29" s="149" t="s">
        <v>39</v>
      </c>
      <c r="Z29" s="152">
        <f t="shared" si="1"/>
        <v>0</v>
      </c>
    </row>
    <row r="30" spans="2:26" ht="18" x14ac:dyDescent="0.35">
      <c r="B30" s="95"/>
      <c r="C30" s="96"/>
      <c r="D30" s="97"/>
      <c r="E30" s="98"/>
      <c r="F30" s="90"/>
      <c r="G30" s="91"/>
      <c r="H30" s="92"/>
      <c r="I30" s="93"/>
      <c r="J30" s="83"/>
      <c r="K30" s="83"/>
      <c r="L30" s="12"/>
      <c r="M30" s="13"/>
      <c r="N30" s="14"/>
      <c r="O30" s="11"/>
      <c r="P30" s="15"/>
      <c r="Q30" s="16"/>
      <c r="R30" s="2"/>
      <c r="S30" s="12"/>
      <c r="T30" s="17"/>
      <c r="U30" s="2"/>
      <c r="V30" s="18"/>
      <c r="W30" s="8"/>
      <c r="Y30" s="149" t="s">
        <v>99</v>
      </c>
      <c r="Z30" s="152">
        <f t="shared" si="1"/>
        <v>0</v>
      </c>
    </row>
    <row r="31" spans="2:26" ht="18" x14ac:dyDescent="0.35">
      <c r="B31" s="95"/>
      <c r="C31" s="96"/>
      <c r="D31" s="97"/>
      <c r="E31" s="98"/>
      <c r="F31" s="90"/>
      <c r="G31" s="91"/>
      <c r="H31" s="92"/>
      <c r="I31" s="93"/>
      <c r="J31" s="83"/>
      <c r="K31" s="83"/>
      <c r="L31" s="12"/>
      <c r="M31" s="13"/>
      <c r="N31" s="14"/>
      <c r="O31" s="11"/>
      <c r="P31" s="15"/>
      <c r="Q31" s="16"/>
      <c r="R31" s="2"/>
      <c r="S31" s="12"/>
      <c r="T31" s="17"/>
      <c r="U31" s="2"/>
      <c r="V31" s="18"/>
      <c r="W31" s="8"/>
      <c r="Y31" s="149" t="s">
        <v>95</v>
      </c>
      <c r="Z31" s="152">
        <f t="shared" si="1"/>
        <v>0</v>
      </c>
    </row>
    <row r="32" spans="2:26" ht="18" x14ac:dyDescent="0.35">
      <c r="B32" s="95"/>
      <c r="C32" s="96"/>
      <c r="D32" s="97"/>
      <c r="E32" s="98"/>
      <c r="F32" s="90"/>
      <c r="G32" s="91"/>
      <c r="H32" s="92"/>
      <c r="I32" s="93"/>
      <c r="J32" s="83"/>
      <c r="K32" s="83"/>
      <c r="L32" s="12"/>
      <c r="M32" s="13"/>
      <c r="N32" s="14"/>
      <c r="O32" s="11"/>
      <c r="P32" s="15"/>
      <c r="Q32" s="16"/>
      <c r="R32" s="2"/>
      <c r="S32" s="12"/>
      <c r="T32" s="17"/>
      <c r="U32" s="2"/>
      <c r="V32" s="18"/>
      <c r="W32" s="8"/>
      <c r="Y32" s="149" t="s">
        <v>97</v>
      </c>
      <c r="Z32" s="152">
        <f t="shared" si="1"/>
        <v>0</v>
      </c>
    </row>
    <row r="33" spans="2:26" ht="18" x14ac:dyDescent="0.35">
      <c r="B33" s="95"/>
      <c r="C33" s="96"/>
      <c r="D33" s="97"/>
      <c r="E33" s="98"/>
      <c r="F33" s="90"/>
      <c r="G33" s="91"/>
      <c r="H33" s="92"/>
      <c r="I33" s="93"/>
      <c r="J33" s="83"/>
      <c r="K33" s="83"/>
      <c r="L33" s="12"/>
      <c r="M33" s="13"/>
      <c r="N33" s="14"/>
      <c r="O33" s="11"/>
      <c r="P33" s="15"/>
      <c r="Q33" s="16"/>
      <c r="R33" s="2"/>
      <c r="S33" s="12"/>
      <c r="T33" s="17"/>
      <c r="U33" s="2"/>
      <c r="V33" s="18"/>
      <c r="W33" s="8"/>
      <c r="Y33" s="149" t="s">
        <v>43</v>
      </c>
      <c r="Z33" s="152">
        <f t="shared" si="1"/>
        <v>0</v>
      </c>
    </row>
    <row r="34" spans="2:26" ht="18" x14ac:dyDescent="0.35">
      <c r="B34" s="95"/>
      <c r="C34" s="96"/>
      <c r="D34" s="97"/>
      <c r="E34" s="98"/>
      <c r="F34" s="90"/>
      <c r="G34" s="91"/>
      <c r="H34" s="92"/>
      <c r="I34" s="93"/>
      <c r="J34" s="83"/>
      <c r="K34" s="83"/>
      <c r="L34" s="12"/>
      <c r="M34" s="13"/>
      <c r="N34" s="14"/>
      <c r="O34" s="11"/>
      <c r="P34" s="15"/>
      <c r="Q34" s="16"/>
      <c r="R34" s="2"/>
      <c r="S34" s="12"/>
      <c r="T34" s="17"/>
      <c r="U34" s="2"/>
      <c r="V34" s="18"/>
      <c r="W34" s="8"/>
      <c r="Y34" s="149" t="s">
        <v>32</v>
      </c>
      <c r="Z34" s="152">
        <f t="shared" si="1"/>
        <v>0</v>
      </c>
    </row>
    <row r="35" spans="2:26" ht="18" x14ac:dyDescent="0.35">
      <c r="B35" s="95"/>
      <c r="C35" s="96"/>
      <c r="D35" s="97"/>
      <c r="E35" s="98"/>
      <c r="F35" s="90"/>
      <c r="G35" s="91"/>
      <c r="H35" s="92"/>
      <c r="I35" s="93"/>
      <c r="J35" s="83"/>
      <c r="K35" s="83"/>
      <c r="L35" s="12"/>
      <c r="M35" s="13"/>
      <c r="N35" s="14"/>
      <c r="O35" s="11"/>
      <c r="P35" s="15"/>
      <c r="Q35" s="16"/>
      <c r="R35" s="2"/>
      <c r="S35" s="12"/>
      <c r="T35" s="17"/>
      <c r="U35" s="2"/>
      <c r="V35" s="18"/>
      <c r="W35" s="8"/>
      <c r="Y35" s="149" t="s">
        <v>33</v>
      </c>
      <c r="Z35" s="152">
        <f t="shared" si="1"/>
        <v>0</v>
      </c>
    </row>
    <row r="36" spans="2:26" ht="18" x14ac:dyDescent="0.35">
      <c r="B36" s="95"/>
      <c r="C36" s="96"/>
      <c r="D36" s="97"/>
      <c r="E36" s="98"/>
      <c r="F36" s="90"/>
      <c r="G36" s="91"/>
      <c r="H36" s="92"/>
      <c r="I36" s="93"/>
      <c r="J36" s="83"/>
      <c r="K36" s="83"/>
      <c r="L36" s="12"/>
      <c r="M36" s="13"/>
      <c r="N36" s="14"/>
      <c r="O36" s="11"/>
      <c r="P36" s="15"/>
      <c r="Q36" s="16"/>
      <c r="R36" s="2"/>
      <c r="S36" s="12"/>
      <c r="T36" s="17"/>
      <c r="U36" s="2"/>
      <c r="V36" s="18"/>
      <c r="W36" s="8"/>
      <c r="Y36" s="149" t="s">
        <v>30</v>
      </c>
      <c r="Z36" s="152">
        <f t="shared" si="1"/>
        <v>0</v>
      </c>
    </row>
    <row r="37" spans="2:26" ht="18" x14ac:dyDescent="0.35">
      <c r="B37" s="95"/>
      <c r="C37" s="96"/>
      <c r="D37" s="97"/>
      <c r="E37" s="98"/>
      <c r="F37" s="90"/>
      <c r="G37" s="91"/>
      <c r="H37" s="92"/>
      <c r="I37" s="93"/>
      <c r="J37" s="83"/>
      <c r="K37" s="83"/>
      <c r="L37" s="12"/>
      <c r="M37" s="13"/>
      <c r="N37" s="14"/>
      <c r="O37" s="11"/>
      <c r="P37" s="15"/>
      <c r="Q37" s="16"/>
      <c r="R37" s="2"/>
      <c r="S37" s="12"/>
      <c r="T37" s="17"/>
      <c r="U37" s="2"/>
      <c r="V37" s="18"/>
      <c r="W37" s="8"/>
      <c r="Y37" s="149" t="s">
        <v>31</v>
      </c>
      <c r="Z37" s="152">
        <f t="shared" si="1"/>
        <v>0</v>
      </c>
    </row>
    <row r="38" spans="2:26" ht="18" x14ac:dyDescent="0.35">
      <c r="B38" s="95"/>
      <c r="C38" s="96"/>
      <c r="D38" s="97"/>
      <c r="E38" s="98"/>
      <c r="F38" s="90"/>
      <c r="G38" s="91"/>
      <c r="H38" s="92"/>
      <c r="I38" s="93"/>
      <c r="J38" s="83"/>
      <c r="K38" s="83"/>
      <c r="L38" s="12"/>
      <c r="M38" s="13"/>
      <c r="N38" s="14"/>
      <c r="O38" s="11"/>
      <c r="P38" s="15"/>
      <c r="Q38" s="16"/>
      <c r="R38" s="2"/>
      <c r="S38" s="12"/>
      <c r="T38" s="17"/>
      <c r="U38" s="2"/>
      <c r="V38" s="18"/>
      <c r="W38" s="8"/>
      <c r="Y38" s="149" t="s">
        <v>84</v>
      </c>
      <c r="Z38" s="152">
        <f t="shared" si="1"/>
        <v>0</v>
      </c>
    </row>
    <row r="39" spans="2:26" ht="18" x14ac:dyDescent="0.35">
      <c r="B39" s="95"/>
      <c r="C39" s="96"/>
      <c r="D39" s="97"/>
      <c r="E39" s="98"/>
      <c r="F39" s="90"/>
      <c r="G39" s="91"/>
      <c r="H39" s="92"/>
      <c r="I39" s="93"/>
      <c r="J39" s="83"/>
      <c r="K39" s="83"/>
      <c r="L39" s="12"/>
      <c r="M39" s="13"/>
      <c r="N39" s="14"/>
      <c r="O39" s="11"/>
      <c r="P39" s="15"/>
      <c r="Q39" s="16"/>
      <c r="R39" s="2"/>
      <c r="S39" s="12"/>
      <c r="T39" s="17"/>
      <c r="U39" s="2"/>
      <c r="V39" s="18"/>
      <c r="W39" s="8"/>
      <c r="Y39" s="149" t="s">
        <v>85</v>
      </c>
      <c r="Z39" s="152">
        <f t="shared" si="1"/>
        <v>0</v>
      </c>
    </row>
    <row r="40" spans="2:26" ht="18" x14ac:dyDescent="0.35">
      <c r="B40" s="95"/>
      <c r="C40" s="96"/>
      <c r="D40" s="97"/>
      <c r="E40" s="98"/>
      <c r="F40" s="90"/>
      <c r="G40" s="91"/>
      <c r="H40" s="92"/>
      <c r="I40" s="93"/>
      <c r="J40" s="83"/>
      <c r="K40" s="83"/>
      <c r="L40" s="12"/>
      <c r="M40" s="13"/>
      <c r="N40" s="14"/>
      <c r="O40" s="11"/>
      <c r="P40" s="15"/>
      <c r="Q40" s="16"/>
      <c r="R40" s="2"/>
      <c r="S40" s="12"/>
      <c r="T40" s="17"/>
      <c r="U40" s="2"/>
      <c r="V40" s="18"/>
      <c r="W40" s="8"/>
      <c r="Y40" s="149" t="s">
        <v>86</v>
      </c>
      <c r="Z40" s="152">
        <f t="shared" si="1"/>
        <v>0</v>
      </c>
    </row>
    <row r="41" spans="2:26" ht="18" x14ac:dyDescent="0.35">
      <c r="B41" s="95"/>
      <c r="C41" s="96"/>
      <c r="D41" s="97"/>
      <c r="E41" s="98"/>
      <c r="F41" s="90"/>
      <c r="G41" s="91"/>
      <c r="H41" s="92"/>
      <c r="I41" s="93"/>
      <c r="J41" s="83"/>
      <c r="K41" s="83"/>
      <c r="L41" s="12"/>
      <c r="M41" s="13"/>
      <c r="N41" s="14"/>
      <c r="O41" s="11"/>
      <c r="P41" s="15"/>
      <c r="Q41" s="16"/>
      <c r="R41" s="2"/>
      <c r="S41" s="12"/>
      <c r="T41" s="17"/>
      <c r="U41" s="2"/>
      <c r="V41" s="18"/>
      <c r="W41" s="8"/>
      <c r="Y41" s="149" t="s">
        <v>87</v>
      </c>
      <c r="Z41" s="152">
        <f t="shared" si="1"/>
        <v>0</v>
      </c>
    </row>
    <row r="42" spans="2:26" ht="18" x14ac:dyDescent="0.35">
      <c r="B42" s="95"/>
      <c r="C42" s="96"/>
      <c r="D42" s="97"/>
      <c r="E42" s="98"/>
      <c r="F42" s="90"/>
      <c r="G42" s="91"/>
      <c r="H42" s="92"/>
      <c r="I42" s="93"/>
      <c r="J42" s="83"/>
      <c r="K42" s="83"/>
      <c r="L42" s="12"/>
      <c r="M42" s="13"/>
      <c r="N42" s="14"/>
      <c r="O42" s="11"/>
      <c r="P42" s="15"/>
      <c r="Q42" s="16"/>
      <c r="R42" s="2"/>
      <c r="S42" s="12"/>
      <c r="T42" s="17"/>
      <c r="U42" s="2"/>
      <c r="V42" s="18"/>
      <c r="W42" s="8"/>
      <c r="Y42" s="149" t="s">
        <v>46</v>
      </c>
      <c r="Z42" s="152">
        <f t="shared" si="1"/>
        <v>0</v>
      </c>
    </row>
    <row r="43" spans="2:26" ht="18" x14ac:dyDescent="0.35">
      <c r="B43" s="95"/>
      <c r="C43" s="96"/>
      <c r="D43" s="97"/>
      <c r="E43" s="98"/>
      <c r="F43" s="90"/>
      <c r="G43" s="91"/>
      <c r="H43" s="92"/>
      <c r="I43" s="93"/>
      <c r="J43" s="83"/>
      <c r="K43" s="83"/>
      <c r="L43" s="12"/>
      <c r="M43" s="13"/>
      <c r="N43" s="14"/>
      <c r="O43" s="11"/>
      <c r="P43" s="15"/>
      <c r="Q43" s="16"/>
      <c r="R43" s="2"/>
      <c r="S43" s="12"/>
      <c r="T43" s="17"/>
      <c r="U43" s="2"/>
      <c r="V43" s="18"/>
      <c r="W43" s="8"/>
      <c r="Y43" s="149" t="s">
        <v>47</v>
      </c>
      <c r="Z43" s="152">
        <f t="shared" si="1"/>
        <v>0</v>
      </c>
    </row>
    <row r="44" spans="2:26" ht="18" x14ac:dyDescent="0.35">
      <c r="B44" s="95"/>
      <c r="C44" s="96"/>
      <c r="D44" s="97"/>
      <c r="E44" s="98"/>
      <c r="F44" s="90"/>
      <c r="G44" s="91"/>
      <c r="H44" s="92"/>
      <c r="I44" s="93"/>
      <c r="J44" s="83"/>
      <c r="K44" s="83"/>
      <c r="L44" s="12"/>
      <c r="M44" s="13"/>
      <c r="N44" s="14"/>
      <c r="O44" s="11"/>
      <c r="P44" s="15"/>
      <c r="Q44" s="16"/>
      <c r="R44" s="2"/>
      <c r="S44" s="12"/>
      <c r="T44" s="17"/>
      <c r="U44" s="2"/>
      <c r="V44" s="18"/>
      <c r="W44" s="8"/>
      <c r="Y44" s="149" t="s">
        <v>48</v>
      </c>
      <c r="Z44" s="152">
        <f t="shared" si="1"/>
        <v>0</v>
      </c>
    </row>
    <row r="45" spans="2:26" ht="18" x14ac:dyDescent="0.35">
      <c r="B45" s="95"/>
      <c r="C45" s="96"/>
      <c r="D45" s="97"/>
      <c r="E45" s="98"/>
      <c r="F45" s="90"/>
      <c r="G45" s="91"/>
      <c r="H45" s="92"/>
      <c r="I45" s="93"/>
      <c r="J45" s="83"/>
      <c r="K45" s="83"/>
      <c r="L45" s="12"/>
      <c r="M45" s="13"/>
      <c r="N45" s="14"/>
      <c r="O45" s="11"/>
      <c r="P45" s="15"/>
      <c r="Q45" s="16"/>
      <c r="R45" s="2"/>
      <c r="S45" s="12"/>
      <c r="T45" s="17"/>
      <c r="U45" s="2"/>
      <c r="V45" s="18"/>
      <c r="W45" s="8"/>
      <c r="Y45" s="149" t="s">
        <v>83</v>
      </c>
      <c r="Z45" s="152">
        <f t="shared" si="1"/>
        <v>0</v>
      </c>
    </row>
    <row r="46" spans="2:26" ht="18" x14ac:dyDescent="0.35">
      <c r="B46" s="95"/>
      <c r="C46" s="96"/>
      <c r="D46" s="97"/>
      <c r="E46" s="98"/>
      <c r="F46" s="90"/>
      <c r="G46" s="91"/>
      <c r="H46" s="92"/>
      <c r="I46" s="93"/>
      <c r="J46" s="83"/>
      <c r="K46" s="83"/>
      <c r="L46" s="12"/>
      <c r="M46" s="13"/>
      <c r="N46" s="14"/>
      <c r="O46" s="11"/>
      <c r="P46" s="15"/>
      <c r="Q46" s="16"/>
      <c r="R46" s="2"/>
      <c r="S46" s="12"/>
      <c r="T46" s="17"/>
      <c r="U46" s="2"/>
      <c r="V46" s="18"/>
      <c r="W46" s="8"/>
      <c r="Y46" s="149" t="s">
        <v>96</v>
      </c>
      <c r="Z46" s="152">
        <f t="shared" si="1"/>
        <v>0</v>
      </c>
    </row>
    <row r="47" spans="2:26" ht="18" x14ac:dyDescent="0.35">
      <c r="B47" s="95"/>
      <c r="C47" s="96"/>
      <c r="D47" s="97"/>
      <c r="E47" s="98"/>
      <c r="F47" s="90"/>
      <c r="G47" s="91"/>
      <c r="H47" s="92"/>
      <c r="I47" s="93"/>
      <c r="J47" s="83"/>
      <c r="K47" s="83"/>
      <c r="L47" s="12"/>
      <c r="M47" s="13"/>
      <c r="N47" s="14"/>
      <c r="O47" s="11"/>
      <c r="P47" s="15"/>
      <c r="Q47" s="16"/>
      <c r="R47" s="2"/>
      <c r="S47" s="12"/>
      <c r="T47" s="17"/>
      <c r="U47" s="2"/>
      <c r="V47" s="18"/>
      <c r="W47" s="8"/>
      <c r="Y47" s="149" t="s">
        <v>73</v>
      </c>
      <c r="Z47" s="152">
        <f t="shared" si="1"/>
        <v>0</v>
      </c>
    </row>
    <row r="48" spans="2:26" ht="18" x14ac:dyDescent="0.35">
      <c r="B48" s="95"/>
      <c r="C48" s="96"/>
      <c r="D48" s="97"/>
      <c r="E48" s="98"/>
      <c r="F48" s="90"/>
      <c r="G48" s="91"/>
      <c r="H48" s="92"/>
      <c r="I48" s="93"/>
      <c r="J48" s="83"/>
      <c r="K48" s="83"/>
      <c r="L48" s="12"/>
      <c r="M48" s="13"/>
      <c r="N48" s="14"/>
      <c r="O48" s="11"/>
      <c r="P48" s="15"/>
      <c r="Q48" s="16"/>
      <c r="R48" s="2"/>
      <c r="S48" s="12"/>
      <c r="T48" s="17"/>
      <c r="U48" s="2"/>
      <c r="V48" s="18"/>
      <c r="W48" s="8"/>
      <c r="Y48" s="149" t="s">
        <v>74</v>
      </c>
      <c r="Z48" s="152">
        <f t="shared" si="1"/>
        <v>0</v>
      </c>
    </row>
    <row r="49" spans="2:26" ht="18" x14ac:dyDescent="0.35">
      <c r="B49" s="95"/>
      <c r="C49" s="96"/>
      <c r="D49" s="97"/>
      <c r="E49" s="98"/>
      <c r="F49" s="90"/>
      <c r="G49" s="91"/>
      <c r="H49" s="92"/>
      <c r="I49" s="93"/>
      <c r="J49" s="83"/>
      <c r="K49" s="83"/>
      <c r="L49" s="12"/>
      <c r="M49" s="13"/>
      <c r="N49" s="14"/>
      <c r="O49" s="11"/>
      <c r="P49" s="15"/>
      <c r="Q49" s="16"/>
      <c r="R49" s="2"/>
      <c r="S49" s="12"/>
      <c r="T49" s="17"/>
      <c r="U49" s="2"/>
      <c r="V49" s="18"/>
      <c r="W49" s="8"/>
      <c r="Y49" s="149" t="s">
        <v>70</v>
      </c>
      <c r="Z49" s="152">
        <f t="shared" si="1"/>
        <v>0</v>
      </c>
    </row>
    <row r="50" spans="2:26" ht="18" x14ac:dyDescent="0.35">
      <c r="B50" s="95"/>
      <c r="C50" s="96"/>
      <c r="D50" s="97"/>
      <c r="E50" s="98"/>
      <c r="F50" s="90"/>
      <c r="G50" s="91"/>
      <c r="H50" s="92"/>
      <c r="I50" s="93"/>
      <c r="J50" s="83"/>
      <c r="K50" s="83"/>
      <c r="L50" s="12"/>
      <c r="M50" s="13"/>
      <c r="N50" s="14"/>
      <c r="O50" s="11"/>
      <c r="P50" s="15"/>
      <c r="Q50" s="16"/>
      <c r="R50" s="2"/>
      <c r="S50" s="12"/>
      <c r="T50" s="17"/>
      <c r="U50" s="2"/>
      <c r="V50" s="18"/>
      <c r="W50" s="8"/>
      <c r="Y50" s="149" t="s">
        <v>64</v>
      </c>
      <c r="Z50" s="152">
        <f t="shared" si="1"/>
        <v>0</v>
      </c>
    </row>
    <row r="51" spans="2:26" ht="18" x14ac:dyDescent="0.35">
      <c r="B51" s="95"/>
      <c r="C51" s="96"/>
      <c r="D51" s="97"/>
      <c r="E51" s="98"/>
      <c r="F51" s="90"/>
      <c r="G51" s="91"/>
      <c r="H51" s="92"/>
      <c r="I51" s="93"/>
      <c r="J51" s="83"/>
      <c r="K51" s="83"/>
      <c r="L51" s="12"/>
      <c r="M51" s="13"/>
      <c r="N51" s="14"/>
      <c r="O51" s="11"/>
      <c r="P51" s="15"/>
      <c r="Q51" s="16"/>
      <c r="R51" s="2"/>
      <c r="S51" s="12"/>
      <c r="T51" s="17"/>
      <c r="U51" s="2"/>
      <c r="V51" s="18"/>
      <c r="W51" s="8"/>
      <c r="Y51" s="149" t="s">
        <v>65</v>
      </c>
      <c r="Z51" s="152">
        <f t="shared" si="1"/>
        <v>0</v>
      </c>
    </row>
    <row r="52" spans="2:26" ht="18" x14ac:dyDescent="0.35">
      <c r="B52" s="95"/>
      <c r="C52" s="96"/>
      <c r="D52" s="97"/>
      <c r="E52" s="98"/>
      <c r="F52" s="90"/>
      <c r="G52" s="91"/>
      <c r="H52" s="92"/>
      <c r="I52" s="93"/>
      <c r="J52" s="83"/>
      <c r="K52" s="83"/>
      <c r="L52" s="12"/>
      <c r="M52" s="13"/>
      <c r="N52" s="14"/>
      <c r="O52" s="11"/>
      <c r="P52" s="15"/>
      <c r="Q52" s="16"/>
      <c r="R52" s="2"/>
      <c r="S52" s="12"/>
      <c r="T52" s="17"/>
      <c r="U52" s="2"/>
      <c r="V52" s="18"/>
      <c r="W52" s="8"/>
      <c r="Y52" s="149" t="s">
        <v>66</v>
      </c>
      <c r="Z52" s="152">
        <f t="shared" si="1"/>
        <v>0</v>
      </c>
    </row>
    <row r="53" spans="2:26" ht="18" x14ac:dyDescent="0.35">
      <c r="B53" s="95"/>
      <c r="C53" s="96"/>
      <c r="D53" s="97"/>
      <c r="E53" s="98"/>
      <c r="F53" s="90"/>
      <c r="G53" s="91"/>
      <c r="H53" s="92"/>
      <c r="I53" s="93"/>
      <c r="J53" s="83"/>
      <c r="K53" s="83"/>
      <c r="L53" s="12"/>
      <c r="M53" s="13"/>
      <c r="N53" s="14"/>
      <c r="O53" s="11"/>
      <c r="P53" s="15"/>
      <c r="Q53" s="16"/>
      <c r="R53" s="2"/>
      <c r="S53" s="12"/>
      <c r="T53" s="17"/>
      <c r="U53" s="2"/>
      <c r="V53" s="18"/>
      <c r="W53" s="8"/>
      <c r="Y53" s="149" t="s">
        <v>100</v>
      </c>
      <c r="Z53" s="152">
        <f t="shared" si="1"/>
        <v>0</v>
      </c>
    </row>
    <row r="54" spans="2:26" ht="18" x14ac:dyDescent="0.35">
      <c r="B54" s="95"/>
      <c r="C54" s="96"/>
      <c r="D54" s="97"/>
      <c r="E54" s="98"/>
      <c r="F54" s="90"/>
      <c r="G54" s="91"/>
      <c r="H54" s="92"/>
      <c r="I54" s="93"/>
      <c r="J54" s="83"/>
      <c r="K54" s="83"/>
      <c r="L54" s="12"/>
      <c r="M54" s="13"/>
      <c r="N54" s="14"/>
      <c r="O54" s="11"/>
      <c r="P54" s="15"/>
      <c r="Q54" s="16"/>
      <c r="R54" s="2"/>
      <c r="S54" s="12"/>
      <c r="T54" s="17"/>
      <c r="U54" s="2"/>
      <c r="V54" s="18"/>
      <c r="W54" s="8"/>
      <c r="Y54" s="149" t="s">
        <v>101</v>
      </c>
      <c r="Z54" s="152">
        <f t="shared" si="1"/>
        <v>0</v>
      </c>
    </row>
    <row r="55" spans="2:26" ht="18" x14ac:dyDescent="0.35">
      <c r="B55" s="95"/>
      <c r="C55" s="96"/>
      <c r="D55" s="97"/>
      <c r="E55" s="98"/>
      <c r="F55" s="90"/>
      <c r="G55" s="91"/>
      <c r="H55" s="92"/>
      <c r="I55" s="93"/>
      <c r="J55" s="83"/>
      <c r="K55" s="83"/>
      <c r="L55" s="12"/>
      <c r="M55" s="13"/>
      <c r="N55" s="14"/>
      <c r="O55" s="11"/>
      <c r="P55" s="15"/>
      <c r="Q55" s="16"/>
      <c r="R55" s="2"/>
      <c r="S55" s="12"/>
      <c r="T55" s="17"/>
      <c r="U55" s="2"/>
      <c r="V55" s="18"/>
      <c r="W55" s="8"/>
      <c r="Y55" s="149" t="s">
        <v>102</v>
      </c>
      <c r="Z55" s="152">
        <f t="shared" si="1"/>
        <v>0</v>
      </c>
    </row>
    <row r="56" spans="2:26" ht="18" x14ac:dyDescent="0.35">
      <c r="B56" s="95"/>
      <c r="C56" s="96"/>
      <c r="D56" s="97"/>
      <c r="E56" s="98"/>
      <c r="F56" s="90"/>
      <c r="G56" s="91"/>
      <c r="H56" s="92"/>
      <c r="I56" s="93"/>
      <c r="J56" s="83"/>
      <c r="K56" s="83"/>
      <c r="L56" s="12"/>
      <c r="M56" s="13"/>
      <c r="N56" s="14"/>
      <c r="O56" s="11"/>
      <c r="P56" s="15"/>
      <c r="Q56" s="16"/>
      <c r="R56" s="2"/>
      <c r="S56" s="12"/>
      <c r="T56" s="17"/>
      <c r="U56" s="2"/>
      <c r="V56" s="18"/>
      <c r="W56" s="8"/>
      <c r="Y56" s="149" t="s">
        <v>26</v>
      </c>
      <c r="Z56" s="152">
        <f t="shared" si="1"/>
        <v>0</v>
      </c>
    </row>
    <row r="57" spans="2:26" ht="18" x14ac:dyDescent="0.35">
      <c r="B57" s="95"/>
      <c r="C57" s="96"/>
      <c r="D57" s="97"/>
      <c r="E57" s="98"/>
      <c r="F57" s="90"/>
      <c r="G57" s="91"/>
      <c r="H57" s="92"/>
      <c r="I57" s="93"/>
      <c r="J57" s="83"/>
      <c r="K57" s="83"/>
      <c r="L57" s="12"/>
      <c r="M57" s="13"/>
      <c r="N57" s="14"/>
      <c r="O57" s="11"/>
      <c r="P57" s="15"/>
      <c r="Q57" s="16"/>
      <c r="R57" s="2"/>
      <c r="S57" s="12"/>
      <c r="T57" s="17"/>
      <c r="U57" s="2"/>
      <c r="V57" s="18"/>
      <c r="W57" s="8"/>
      <c r="Y57" s="149" t="s">
        <v>27</v>
      </c>
      <c r="Z57" s="152">
        <f t="shared" si="1"/>
        <v>0</v>
      </c>
    </row>
    <row r="58" spans="2:26" ht="18" x14ac:dyDescent="0.35">
      <c r="B58" s="95"/>
      <c r="C58" s="96"/>
      <c r="D58" s="97"/>
      <c r="E58" s="98"/>
      <c r="F58" s="90"/>
      <c r="G58" s="91"/>
      <c r="H58" s="92"/>
      <c r="I58" s="93"/>
      <c r="J58" s="83"/>
      <c r="K58" s="83"/>
      <c r="L58" s="12"/>
      <c r="M58" s="13"/>
      <c r="N58" s="14"/>
      <c r="O58" s="11"/>
      <c r="P58" s="15"/>
      <c r="Q58" s="16"/>
      <c r="R58" s="2"/>
      <c r="S58" s="12"/>
      <c r="T58" s="17"/>
      <c r="U58" s="2"/>
      <c r="V58" s="18"/>
      <c r="W58" s="8"/>
      <c r="Y58" s="149" t="s">
        <v>28</v>
      </c>
      <c r="Z58" s="152">
        <f t="shared" si="1"/>
        <v>0</v>
      </c>
    </row>
    <row r="59" spans="2:26" ht="18" x14ac:dyDescent="0.35">
      <c r="B59" s="95"/>
      <c r="C59" s="96"/>
      <c r="D59" s="97"/>
      <c r="E59" s="98"/>
      <c r="F59" s="90"/>
      <c r="G59" s="91"/>
      <c r="H59" s="92"/>
      <c r="I59" s="93"/>
      <c r="J59" s="83"/>
      <c r="K59" s="83"/>
      <c r="L59" s="12"/>
      <c r="M59" s="13"/>
      <c r="N59" s="14"/>
      <c r="O59" s="11"/>
      <c r="P59" s="15"/>
      <c r="Q59" s="16"/>
      <c r="R59" s="2"/>
      <c r="S59" s="12"/>
      <c r="T59" s="17"/>
      <c r="U59" s="2"/>
      <c r="V59" s="18"/>
      <c r="W59" s="8"/>
      <c r="Y59" s="149" t="s">
        <v>29</v>
      </c>
      <c r="Z59" s="152">
        <f t="shared" si="1"/>
        <v>0</v>
      </c>
    </row>
    <row r="60" spans="2:26" ht="18" x14ac:dyDescent="0.35">
      <c r="B60" s="95"/>
      <c r="C60" s="96"/>
      <c r="D60" s="97"/>
      <c r="E60" s="98"/>
      <c r="F60" s="90"/>
      <c r="G60" s="91"/>
      <c r="H60" s="92"/>
      <c r="I60" s="93"/>
      <c r="J60" s="83"/>
      <c r="K60" s="83"/>
      <c r="L60" s="12"/>
      <c r="M60" s="13"/>
      <c r="N60" s="14"/>
      <c r="O60" s="11"/>
      <c r="P60" s="15"/>
      <c r="Q60" s="16"/>
      <c r="R60" s="2"/>
      <c r="S60" s="12"/>
      <c r="T60" s="17"/>
      <c r="U60" s="2"/>
      <c r="V60" s="18"/>
      <c r="W60" s="8"/>
      <c r="Y60" s="149" t="s">
        <v>34</v>
      </c>
      <c r="Z60" s="152">
        <f t="shared" si="1"/>
        <v>0</v>
      </c>
    </row>
    <row r="61" spans="2:26" ht="18" x14ac:dyDescent="0.35">
      <c r="B61" s="95"/>
      <c r="C61" s="96"/>
      <c r="D61" s="97"/>
      <c r="E61" s="98"/>
      <c r="F61" s="90"/>
      <c r="G61" s="91"/>
      <c r="H61" s="92"/>
      <c r="I61" s="93"/>
      <c r="J61" s="83"/>
      <c r="K61" s="83"/>
      <c r="L61" s="12"/>
      <c r="M61" s="13"/>
      <c r="N61" s="14"/>
      <c r="O61" s="11"/>
      <c r="P61" s="15"/>
      <c r="Q61" s="16"/>
      <c r="R61" s="2"/>
      <c r="S61" s="12"/>
      <c r="T61" s="17"/>
      <c r="U61" s="2"/>
      <c r="V61" s="18"/>
      <c r="W61" s="8"/>
      <c r="Y61" s="149" t="s">
        <v>35</v>
      </c>
      <c r="Z61" s="152">
        <f t="shared" si="1"/>
        <v>0</v>
      </c>
    </row>
    <row r="62" spans="2:26" ht="18" x14ac:dyDescent="0.35">
      <c r="B62" s="95"/>
      <c r="C62" s="96"/>
      <c r="D62" s="97"/>
      <c r="E62" s="98"/>
      <c r="F62" s="90"/>
      <c r="G62" s="91"/>
      <c r="H62" s="92"/>
      <c r="I62" s="93"/>
      <c r="J62" s="83"/>
      <c r="K62" s="83"/>
      <c r="L62" s="12"/>
      <c r="M62" s="13"/>
      <c r="N62" s="14"/>
      <c r="O62" s="11"/>
      <c r="P62" s="15"/>
      <c r="Q62" s="16"/>
      <c r="R62" s="2"/>
      <c r="S62" s="12"/>
      <c r="T62" s="17"/>
      <c r="U62" s="2"/>
      <c r="V62" s="18"/>
      <c r="W62" s="8"/>
      <c r="Y62" s="149" t="s">
        <v>36</v>
      </c>
      <c r="Z62" s="152">
        <f t="shared" si="1"/>
        <v>0</v>
      </c>
    </row>
    <row r="63" spans="2:26" ht="18" x14ac:dyDescent="0.35">
      <c r="B63" s="95"/>
      <c r="C63" s="96"/>
      <c r="D63" s="97"/>
      <c r="E63" s="98"/>
      <c r="F63" s="90"/>
      <c r="G63" s="91"/>
      <c r="H63" s="92"/>
      <c r="I63" s="93"/>
      <c r="J63" s="83"/>
      <c r="K63" s="83"/>
      <c r="L63" s="12"/>
      <c r="M63" s="13"/>
      <c r="N63" s="14"/>
      <c r="O63" s="11"/>
      <c r="P63" s="15"/>
      <c r="Q63" s="16"/>
      <c r="R63" s="2"/>
      <c r="S63" s="12"/>
      <c r="T63" s="17"/>
      <c r="U63" s="2"/>
      <c r="V63" s="18"/>
      <c r="W63" s="8"/>
      <c r="Y63" s="149" t="s">
        <v>37</v>
      </c>
      <c r="Z63" s="152">
        <f t="shared" si="1"/>
        <v>0</v>
      </c>
    </row>
    <row r="64" spans="2:26" ht="18" x14ac:dyDescent="0.35">
      <c r="B64" s="95"/>
      <c r="C64" s="96"/>
      <c r="D64" s="97"/>
      <c r="E64" s="98"/>
      <c r="F64" s="90"/>
      <c r="G64" s="91"/>
      <c r="H64" s="92"/>
      <c r="I64" s="93"/>
      <c r="J64" s="83"/>
      <c r="K64" s="83"/>
      <c r="L64" s="12"/>
      <c r="M64" s="13"/>
      <c r="N64" s="14"/>
      <c r="O64" s="11"/>
      <c r="P64" s="15"/>
      <c r="Q64" s="16"/>
      <c r="R64" s="2"/>
      <c r="S64" s="12"/>
      <c r="T64" s="17"/>
      <c r="U64" s="2"/>
      <c r="V64" s="18"/>
      <c r="W64" s="8"/>
      <c r="Y64" s="149" t="s">
        <v>38</v>
      </c>
      <c r="Z64" s="152">
        <f t="shared" si="1"/>
        <v>0</v>
      </c>
    </row>
    <row r="65" spans="2:26" ht="18" x14ac:dyDescent="0.35">
      <c r="B65" s="95"/>
      <c r="C65" s="96"/>
      <c r="D65" s="97"/>
      <c r="E65" s="98"/>
      <c r="F65" s="99"/>
      <c r="G65" s="100"/>
      <c r="H65" s="101"/>
      <c r="I65" s="102"/>
      <c r="J65" s="83"/>
      <c r="K65" s="83"/>
      <c r="L65" s="12"/>
      <c r="M65" s="13"/>
      <c r="N65" s="14"/>
      <c r="O65" s="11"/>
      <c r="P65" s="15"/>
      <c r="Q65" s="16"/>
      <c r="R65" s="2"/>
      <c r="S65" s="12"/>
      <c r="T65" s="17"/>
      <c r="U65" s="2"/>
      <c r="V65" s="18"/>
      <c r="W65" s="8"/>
      <c r="Y65" s="149" t="s">
        <v>40</v>
      </c>
      <c r="Z65" s="152">
        <f t="shared" si="1"/>
        <v>0</v>
      </c>
    </row>
    <row r="66" spans="2:26" ht="18" x14ac:dyDescent="0.35">
      <c r="B66" s="95"/>
      <c r="C66" s="96"/>
      <c r="D66" s="97"/>
      <c r="E66" s="98"/>
      <c r="F66" s="90"/>
      <c r="G66" s="91"/>
      <c r="H66" s="92"/>
      <c r="I66" s="93"/>
      <c r="J66" s="83"/>
      <c r="K66" s="83"/>
      <c r="L66" s="12"/>
      <c r="M66" s="13"/>
      <c r="N66" s="14"/>
      <c r="O66" s="11"/>
      <c r="P66" s="15"/>
      <c r="Q66" s="16"/>
      <c r="R66" s="2"/>
      <c r="S66" s="12"/>
      <c r="T66" s="17"/>
      <c r="U66" s="2"/>
      <c r="V66" s="18"/>
      <c r="W66" s="8"/>
      <c r="Y66" s="149" t="s">
        <v>41</v>
      </c>
      <c r="Z66" s="152">
        <f t="shared" si="1"/>
        <v>0</v>
      </c>
    </row>
    <row r="67" spans="2:26" ht="18" x14ac:dyDescent="0.35">
      <c r="B67" s="95"/>
      <c r="C67" s="96"/>
      <c r="D67" s="97"/>
      <c r="E67" s="98"/>
      <c r="F67" s="103"/>
      <c r="G67" s="94"/>
      <c r="H67" s="104"/>
      <c r="I67" s="105"/>
      <c r="J67" s="83"/>
      <c r="K67" s="83"/>
      <c r="L67" s="12"/>
      <c r="M67" s="13"/>
      <c r="N67" s="14"/>
      <c r="O67" s="11"/>
      <c r="P67" s="15"/>
      <c r="Q67" s="16"/>
      <c r="R67" s="2"/>
      <c r="S67" s="12"/>
      <c r="T67" s="17"/>
      <c r="U67" s="2"/>
      <c r="V67" s="18"/>
      <c r="W67" s="8"/>
      <c r="Y67" s="149" t="s">
        <v>69</v>
      </c>
      <c r="Z67" s="152">
        <f t="shared" si="1"/>
        <v>0</v>
      </c>
    </row>
    <row r="68" spans="2:26" ht="18" x14ac:dyDescent="0.35">
      <c r="B68" s="95"/>
      <c r="C68" s="96"/>
      <c r="D68" s="97"/>
      <c r="E68" s="98"/>
      <c r="F68" s="90"/>
      <c r="G68" s="91"/>
      <c r="H68" s="92"/>
      <c r="I68" s="105"/>
      <c r="J68" s="83"/>
      <c r="K68" s="83"/>
      <c r="L68" s="12"/>
      <c r="M68" s="13"/>
      <c r="N68" s="14"/>
      <c r="O68" s="11"/>
      <c r="P68" s="15"/>
      <c r="Q68" s="16"/>
      <c r="R68" s="2"/>
      <c r="S68" s="12"/>
      <c r="T68" s="17"/>
      <c r="U68" s="2"/>
      <c r="V68" s="18"/>
      <c r="W68" s="8"/>
      <c r="Y68" s="149" t="s">
        <v>108</v>
      </c>
      <c r="Z68" s="152">
        <f t="shared" si="1"/>
        <v>0</v>
      </c>
    </row>
    <row r="69" spans="2:26" ht="18" x14ac:dyDescent="0.35">
      <c r="B69" s="95"/>
      <c r="C69" s="96"/>
      <c r="D69" s="97"/>
      <c r="E69" s="98"/>
      <c r="F69" s="90"/>
      <c r="G69" s="91"/>
      <c r="H69" s="92"/>
      <c r="I69" s="105"/>
      <c r="J69" s="83"/>
      <c r="K69" s="83"/>
      <c r="L69" s="12"/>
      <c r="M69" s="13"/>
      <c r="N69" s="14"/>
      <c r="O69" s="11"/>
      <c r="P69" s="15"/>
      <c r="Q69" s="16"/>
      <c r="R69" s="2"/>
      <c r="S69" s="12"/>
      <c r="T69" s="17"/>
      <c r="U69" s="2"/>
      <c r="V69" s="18"/>
      <c r="W69" s="8"/>
      <c r="Y69" s="149" t="s">
        <v>44</v>
      </c>
      <c r="Z69" s="152">
        <f t="shared" si="1"/>
        <v>0</v>
      </c>
    </row>
    <row r="70" spans="2:26" ht="18" x14ac:dyDescent="0.35">
      <c r="B70" s="95"/>
      <c r="C70" s="96"/>
      <c r="D70" s="97"/>
      <c r="E70" s="98"/>
      <c r="F70" s="90"/>
      <c r="G70" s="91"/>
      <c r="H70" s="92"/>
      <c r="I70" s="105"/>
      <c r="J70" s="83"/>
      <c r="K70" s="83"/>
      <c r="L70" s="12"/>
      <c r="M70" s="13"/>
      <c r="N70" s="14"/>
      <c r="O70" s="11"/>
      <c r="P70" s="15"/>
      <c r="Q70" s="16"/>
      <c r="R70" s="2"/>
      <c r="S70" s="12"/>
      <c r="T70" s="17"/>
      <c r="U70" s="2"/>
      <c r="V70" s="18"/>
      <c r="W70" s="8"/>
      <c r="Y70" s="149" t="s">
        <v>45</v>
      </c>
      <c r="Z70" s="152">
        <f t="shared" si="1"/>
        <v>0</v>
      </c>
    </row>
    <row r="71" spans="2:26" ht="18" x14ac:dyDescent="0.35">
      <c r="B71" s="95"/>
      <c r="C71" s="96"/>
      <c r="D71" s="97"/>
      <c r="E71" s="98"/>
      <c r="F71" s="90"/>
      <c r="G71" s="91"/>
      <c r="H71" s="92"/>
      <c r="I71" s="105"/>
      <c r="J71" s="83"/>
      <c r="K71" s="83"/>
      <c r="L71" s="12"/>
      <c r="M71" s="13"/>
      <c r="N71" s="14"/>
      <c r="O71" s="11"/>
      <c r="P71" s="15"/>
      <c r="Q71" s="16"/>
      <c r="R71" s="2"/>
      <c r="S71" s="12"/>
      <c r="T71" s="17"/>
      <c r="U71" s="2"/>
      <c r="V71" s="18"/>
      <c r="W71" s="8"/>
      <c r="Y71" s="149" t="s">
        <v>49</v>
      </c>
      <c r="Z71" s="152">
        <f t="shared" si="1"/>
        <v>0</v>
      </c>
    </row>
    <row r="72" spans="2:26" ht="18" x14ac:dyDescent="0.35">
      <c r="B72" s="106"/>
      <c r="C72" s="107"/>
      <c r="D72" s="108"/>
      <c r="E72" s="109"/>
      <c r="F72" s="90"/>
      <c r="G72" s="91"/>
      <c r="H72" s="92"/>
      <c r="I72" s="105"/>
      <c r="J72" s="83"/>
      <c r="K72" s="83"/>
      <c r="L72" s="12"/>
      <c r="M72" s="13"/>
      <c r="N72" s="14"/>
      <c r="O72" s="11"/>
      <c r="P72" s="15"/>
      <c r="Q72" s="16"/>
      <c r="R72" s="2"/>
      <c r="S72" s="12"/>
      <c r="T72" s="17"/>
      <c r="U72" s="2"/>
      <c r="V72" s="18"/>
      <c r="W72" s="8"/>
      <c r="Y72" s="149" t="s">
        <v>50</v>
      </c>
      <c r="Z72" s="152">
        <f t="shared" si="1"/>
        <v>0</v>
      </c>
    </row>
    <row r="73" spans="2:26" ht="18" x14ac:dyDescent="0.35">
      <c r="B73" s="95"/>
      <c r="C73" s="96"/>
      <c r="D73" s="97"/>
      <c r="E73" s="98"/>
      <c r="F73" s="90"/>
      <c r="G73" s="91"/>
      <c r="H73" s="92"/>
      <c r="I73" s="105"/>
      <c r="J73" s="83"/>
      <c r="K73" s="83"/>
      <c r="L73" s="20"/>
      <c r="M73" s="21"/>
      <c r="N73" s="22"/>
      <c r="O73" s="19"/>
      <c r="P73" s="23"/>
      <c r="Q73" s="24"/>
      <c r="R73" s="2"/>
      <c r="S73" s="20"/>
      <c r="T73" s="25"/>
      <c r="U73" s="2"/>
      <c r="V73" s="26"/>
      <c r="W73" s="27"/>
      <c r="Y73" s="149" t="s">
        <v>51</v>
      </c>
      <c r="Z73" s="152">
        <f t="shared" si="1"/>
        <v>0</v>
      </c>
    </row>
    <row r="74" spans="2:26" ht="18" x14ac:dyDescent="0.35">
      <c r="B74" s="110"/>
      <c r="C74" s="111"/>
      <c r="D74" s="112"/>
      <c r="E74" s="113"/>
      <c r="F74" s="90"/>
      <c r="G74" s="91"/>
      <c r="H74" s="92"/>
      <c r="I74" s="105"/>
      <c r="J74" s="83"/>
      <c r="K74" s="83"/>
      <c r="L74" s="12"/>
      <c r="M74" s="28"/>
      <c r="N74" s="14"/>
      <c r="O74" s="11"/>
      <c r="P74" s="11"/>
      <c r="Q74" s="16"/>
      <c r="R74" s="2"/>
      <c r="S74" s="12"/>
      <c r="T74" s="17"/>
      <c r="U74" s="2"/>
      <c r="V74" s="18"/>
      <c r="W74" s="16"/>
      <c r="Y74" s="149" t="s">
        <v>52</v>
      </c>
      <c r="Z74" s="152">
        <f t="shared" si="1"/>
        <v>0</v>
      </c>
    </row>
    <row r="75" spans="2:26" ht="18" x14ac:dyDescent="0.35">
      <c r="B75" s="95"/>
      <c r="C75" s="96"/>
      <c r="D75" s="97"/>
      <c r="E75" s="113"/>
      <c r="F75" s="90"/>
      <c r="G75" s="91"/>
      <c r="H75" s="92"/>
      <c r="I75" s="105"/>
      <c r="J75" s="83"/>
      <c r="K75" s="83"/>
      <c r="L75" s="12"/>
      <c r="M75" s="28"/>
      <c r="N75" s="14"/>
      <c r="O75" s="11"/>
      <c r="P75" s="11"/>
      <c r="Q75" s="16"/>
      <c r="R75" s="2"/>
      <c r="S75" s="12"/>
      <c r="T75" s="17"/>
      <c r="U75" s="2"/>
      <c r="V75" s="18"/>
      <c r="W75" s="16"/>
      <c r="Y75" s="149" t="s">
        <v>72</v>
      </c>
      <c r="Z75" s="152">
        <f t="shared" si="1"/>
        <v>0</v>
      </c>
    </row>
    <row r="76" spans="2:26" ht="18" x14ac:dyDescent="0.35">
      <c r="B76" s="95"/>
      <c r="C76" s="96"/>
      <c r="D76" s="97"/>
      <c r="E76" s="113"/>
      <c r="F76" s="90"/>
      <c r="G76" s="91"/>
      <c r="H76" s="92"/>
      <c r="I76" s="105"/>
      <c r="J76" s="83"/>
      <c r="K76" s="83"/>
      <c r="L76" s="12"/>
      <c r="M76" s="28"/>
      <c r="N76" s="14"/>
      <c r="O76" s="11"/>
      <c r="P76" s="11"/>
      <c r="Q76" s="16"/>
      <c r="R76" s="2"/>
      <c r="S76" s="12"/>
      <c r="T76" s="17"/>
      <c r="U76" s="2"/>
      <c r="V76" s="18"/>
      <c r="W76" s="16"/>
      <c r="Y76" s="149" t="s">
        <v>71</v>
      </c>
      <c r="Z76" s="152">
        <f t="shared" si="1"/>
        <v>0</v>
      </c>
    </row>
    <row r="77" spans="2:26" ht="18" x14ac:dyDescent="0.35">
      <c r="B77" s="95"/>
      <c r="C77" s="96"/>
      <c r="D77" s="97"/>
      <c r="E77" s="113"/>
      <c r="F77" s="90"/>
      <c r="G77" s="91"/>
      <c r="H77" s="92"/>
      <c r="I77" s="105"/>
      <c r="J77" s="83"/>
      <c r="K77" s="83"/>
      <c r="L77" s="12"/>
      <c r="M77" s="28"/>
      <c r="N77" s="14"/>
      <c r="O77" s="11"/>
      <c r="P77" s="11"/>
      <c r="Q77" s="16"/>
      <c r="R77" s="2"/>
      <c r="S77" s="12"/>
      <c r="T77" s="17"/>
      <c r="U77" s="2"/>
      <c r="V77" s="18"/>
      <c r="W77" s="16"/>
      <c r="Y77" s="149" t="s">
        <v>53</v>
      </c>
      <c r="Z77" s="152">
        <f t="shared" ref="Z77:Z79" si="2">SUMIF($G$9:$G$129, Y77, $F$9:$F$129)</f>
        <v>0</v>
      </c>
    </row>
    <row r="78" spans="2:26" ht="18" x14ac:dyDescent="0.35">
      <c r="B78" s="95"/>
      <c r="C78" s="96"/>
      <c r="D78" s="97"/>
      <c r="E78" s="113"/>
      <c r="F78" s="90"/>
      <c r="G78" s="91"/>
      <c r="H78" s="92"/>
      <c r="I78" s="105"/>
      <c r="J78" s="83"/>
      <c r="K78" s="83"/>
      <c r="L78" s="12"/>
      <c r="M78" s="28"/>
      <c r="N78" s="14"/>
      <c r="O78" s="11"/>
      <c r="P78" s="11"/>
      <c r="Q78" s="16"/>
      <c r="R78" s="2"/>
      <c r="S78" s="12"/>
      <c r="T78" s="17"/>
      <c r="U78" s="2"/>
      <c r="V78" s="18"/>
      <c r="W78" s="16"/>
      <c r="Y78" s="149" t="s">
        <v>54</v>
      </c>
      <c r="Z78" s="152">
        <f t="shared" si="2"/>
        <v>0</v>
      </c>
    </row>
    <row r="79" spans="2:26" ht="18.600000000000001" thickBot="1" x14ac:dyDescent="0.4">
      <c r="B79" s="95"/>
      <c r="C79" s="96"/>
      <c r="D79" s="97"/>
      <c r="E79" s="113"/>
      <c r="F79" s="90"/>
      <c r="G79" s="91"/>
      <c r="H79" s="92"/>
      <c r="I79" s="105"/>
      <c r="J79" s="83"/>
      <c r="K79" s="83"/>
      <c r="L79" s="12"/>
      <c r="M79" s="28"/>
      <c r="N79" s="14"/>
      <c r="O79" s="11"/>
      <c r="P79" s="11"/>
      <c r="Q79" s="16"/>
      <c r="R79" s="2"/>
      <c r="S79" s="12"/>
      <c r="T79" s="17"/>
      <c r="U79" s="2"/>
      <c r="V79" s="18"/>
      <c r="W79" s="16"/>
      <c r="Y79" s="150" t="s">
        <v>55</v>
      </c>
      <c r="Z79" s="153">
        <f t="shared" si="2"/>
        <v>0</v>
      </c>
    </row>
    <row r="80" spans="2:26" ht="18" x14ac:dyDescent="0.35">
      <c r="B80" s="95"/>
      <c r="C80" s="96"/>
      <c r="D80" s="97"/>
      <c r="E80" s="113"/>
      <c r="F80" s="90"/>
      <c r="G80" s="91"/>
      <c r="H80" s="92"/>
      <c r="I80" s="105"/>
      <c r="J80" s="83"/>
      <c r="K80" s="83"/>
      <c r="L80" s="12"/>
      <c r="M80" s="28"/>
      <c r="N80" s="14"/>
      <c r="O80" s="11"/>
      <c r="P80" s="11"/>
      <c r="Q80" s="16"/>
      <c r="R80" s="2"/>
      <c r="S80" s="12"/>
      <c r="T80" s="17"/>
      <c r="U80" s="2"/>
      <c r="V80" s="18"/>
      <c r="W80" s="16"/>
    </row>
    <row r="81" spans="2:23" ht="18" x14ac:dyDescent="0.35">
      <c r="B81" s="95"/>
      <c r="C81" s="96"/>
      <c r="D81" s="97"/>
      <c r="E81" s="113"/>
      <c r="F81" s="90"/>
      <c r="G81" s="91"/>
      <c r="H81" s="92"/>
      <c r="I81" s="105"/>
      <c r="J81" s="83"/>
      <c r="K81" s="83"/>
      <c r="L81" s="12"/>
      <c r="M81" s="28"/>
      <c r="N81" s="14"/>
      <c r="O81" s="11"/>
      <c r="P81" s="11"/>
      <c r="Q81" s="16"/>
      <c r="R81" s="2"/>
      <c r="S81" s="12"/>
      <c r="T81" s="17"/>
      <c r="U81" s="2"/>
      <c r="V81" s="18"/>
      <c r="W81" s="16"/>
    </row>
    <row r="82" spans="2:23" ht="18" x14ac:dyDescent="0.35">
      <c r="B82" s="95"/>
      <c r="C82" s="96"/>
      <c r="D82" s="97"/>
      <c r="E82" s="113"/>
      <c r="F82" s="90"/>
      <c r="G82" s="91"/>
      <c r="H82" s="92"/>
      <c r="I82" s="105"/>
      <c r="J82" s="83"/>
      <c r="K82" s="83"/>
      <c r="L82" s="12"/>
      <c r="M82" s="28"/>
      <c r="N82" s="14"/>
      <c r="O82" s="11"/>
      <c r="P82" s="11"/>
      <c r="Q82" s="16"/>
      <c r="R82" s="2"/>
      <c r="S82" s="12"/>
      <c r="T82" s="17"/>
      <c r="U82" s="2"/>
      <c r="V82" s="18"/>
      <c r="W82" s="16"/>
    </row>
    <row r="83" spans="2:23" ht="18" x14ac:dyDescent="0.35">
      <c r="B83" s="95"/>
      <c r="C83" s="96"/>
      <c r="D83" s="97"/>
      <c r="E83" s="113"/>
      <c r="F83" s="90"/>
      <c r="G83" s="91"/>
      <c r="H83" s="92"/>
      <c r="I83" s="105"/>
      <c r="J83" s="83"/>
      <c r="K83" s="83"/>
      <c r="L83" s="12"/>
      <c r="M83" s="28"/>
      <c r="N83" s="14"/>
      <c r="O83" s="11"/>
      <c r="P83" s="11"/>
      <c r="Q83" s="16"/>
      <c r="R83" s="2"/>
      <c r="S83" s="12"/>
      <c r="T83" s="17"/>
      <c r="U83" s="2"/>
      <c r="V83" s="18"/>
      <c r="W83" s="16"/>
    </row>
    <row r="84" spans="2:23" ht="18" x14ac:dyDescent="0.35">
      <c r="B84" s="95"/>
      <c r="C84" s="96"/>
      <c r="D84" s="97"/>
      <c r="E84" s="113"/>
      <c r="F84" s="90"/>
      <c r="G84" s="91"/>
      <c r="H84" s="92"/>
      <c r="I84" s="105"/>
      <c r="J84" s="83"/>
      <c r="K84" s="83"/>
      <c r="L84" s="12"/>
      <c r="M84" s="28"/>
      <c r="N84" s="14"/>
      <c r="O84" s="11"/>
      <c r="P84" s="11"/>
      <c r="Q84" s="16"/>
      <c r="R84" s="2"/>
      <c r="S84" s="12"/>
      <c r="T84" s="17"/>
      <c r="U84" s="2"/>
      <c r="V84" s="18"/>
      <c r="W84" s="16"/>
    </row>
    <row r="85" spans="2:23" ht="18" x14ac:dyDescent="0.35">
      <c r="B85" s="95"/>
      <c r="C85" s="96"/>
      <c r="D85" s="97"/>
      <c r="E85" s="113"/>
      <c r="F85" s="90"/>
      <c r="G85" s="91"/>
      <c r="H85" s="92"/>
      <c r="I85" s="105"/>
      <c r="J85" s="83"/>
      <c r="K85" s="83"/>
      <c r="L85" s="12"/>
      <c r="M85" s="28"/>
      <c r="N85" s="14"/>
      <c r="O85" s="11"/>
      <c r="P85" s="11"/>
      <c r="Q85" s="16"/>
      <c r="R85" s="2"/>
      <c r="S85" s="12"/>
      <c r="T85" s="17"/>
      <c r="U85" s="2"/>
      <c r="V85" s="18"/>
      <c r="W85" s="16"/>
    </row>
    <row r="86" spans="2:23" ht="18" x14ac:dyDescent="0.35">
      <c r="B86" s="95"/>
      <c r="C86" s="96"/>
      <c r="D86" s="97"/>
      <c r="E86" s="113"/>
      <c r="F86" s="90"/>
      <c r="G86" s="91"/>
      <c r="H86" s="92"/>
      <c r="I86" s="105"/>
      <c r="J86" s="83"/>
      <c r="K86" s="83"/>
      <c r="L86" s="12"/>
      <c r="M86" s="28"/>
      <c r="N86" s="14"/>
      <c r="O86" s="11"/>
      <c r="P86" s="11"/>
      <c r="Q86" s="16"/>
      <c r="R86" s="2"/>
      <c r="S86" s="12"/>
      <c r="T86" s="17"/>
      <c r="U86" s="2"/>
      <c r="V86" s="18"/>
      <c r="W86" s="16"/>
    </row>
    <row r="87" spans="2:23" ht="18" x14ac:dyDescent="0.35">
      <c r="B87" s="95"/>
      <c r="C87" s="96"/>
      <c r="D87" s="97"/>
      <c r="E87" s="113"/>
      <c r="F87" s="90"/>
      <c r="G87" s="91"/>
      <c r="H87" s="92"/>
      <c r="I87" s="105"/>
      <c r="J87" s="83"/>
      <c r="K87" s="83"/>
      <c r="L87" s="12"/>
      <c r="M87" s="28"/>
      <c r="N87" s="14"/>
      <c r="O87" s="11"/>
      <c r="P87" s="11"/>
      <c r="Q87" s="16"/>
      <c r="R87" s="2"/>
      <c r="S87" s="12"/>
      <c r="T87" s="17"/>
      <c r="U87" s="2"/>
      <c r="V87" s="18"/>
      <c r="W87" s="16"/>
    </row>
    <row r="88" spans="2:23" ht="18" x14ac:dyDescent="0.35">
      <c r="B88" s="95"/>
      <c r="C88" s="96"/>
      <c r="D88" s="97"/>
      <c r="E88" s="113"/>
      <c r="F88" s="90"/>
      <c r="G88" s="91"/>
      <c r="H88" s="92"/>
      <c r="I88" s="105"/>
      <c r="J88" s="83"/>
      <c r="K88" s="83"/>
      <c r="L88" s="12"/>
      <c r="M88" s="28"/>
      <c r="N88" s="14"/>
      <c r="O88" s="11"/>
      <c r="P88" s="11"/>
      <c r="Q88" s="16"/>
      <c r="R88" s="2"/>
      <c r="S88" s="12"/>
      <c r="T88" s="17"/>
      <c r="U88" s="2"/>
      <c r="V88" s="18"/>
      <c r="W88" s="16"/>
    </row>
    <row r="89" spans="2:23" ht="18" x14ac:dyDescent="0.35">
      <c r="B89" s="95"/>
      <c r="C89" s="96"/>
      <c r="D89" s="97"/>
      <c r="E89" s="113"/>
      <c r="F89" s="90"/>
      <c r="G89" s="91"/>
      <c r="H89" s="92"/>
      <c r="I89" s="105"/>
      <c r="J89" s="83"/>
      <c r="K89" s="83"/>
      <c r="L89" s="12"/>
      <c r="M89" s="28"/>
      <c r="N89" s="14"/>
      <c r="O89" s="11"/>
      <c r="P89" s="11"/>
      <c r="Q89" s="16"/>
      <c r="R89" s="2"/>
      <c r="S89" s="12"/>
      <c r="T89" s="17"/>
      <c r="U89" s="2"/>
      <c r="V89" s="18"/>
      <c r="W89" s="16"/>
    </row>
    <row r="90" spans="2:23" ht="18" x14ac:dyDescent="0.35">
      <c r="B90" s="95"/>
      <c r="C90" s="96"/>
      <c r="D90" s="97"/>
      <c r="E90" s="113"/>
      <c r="F90" s="90"/>
      <c r="G90" s="91"/>
      <c r="H90" s="92"/>
      <c r="I90" s="105"/>
      <c r="J90" s="83"/>
      <c r="K90" s="83"/>
      <c r="L90" s="12"/>
      <c r="M90" s="28"/>
      <c r="N90" s="14"/>
      <c r="O90" s="11"/>
      <c r="P90" s="11"/>
      <c r="Q90" s="16"/>
      <c r="R90" s="2"/>
      <c r="S90" s="12"/>
      <c r="T90" s="17"/>
      <c r="U90" s="2"/>
      <c r="V90" s="18"/>
      <c r="W90" s="16"/>
    </row>
    <row r="91" spans="2:23" ht="18" x14ac:dyDescent="0.35">
      <c r="B91" s="95"/>
      <c r="C91" s="96"/>
      <c r="D91" s="97"/>
      <c r="E91" s="113"/>
      <c r="F91" s="90"/>
      <c r="G91" s="91"/>
      <c r="H91" s="92"/>
      <c r="I91" s="105"/>
      <c r="J91" s="83"/>
      <c r="K91" s="83"/>
      <c r="L91" s="12"/>
      <c r="M91" s="28"/>
      <c r="N91" s="14"/>
      <c r="O91" s="11"/>
      <c r="P91" s="11"/>
      <c r="Q91" s="16"/>
      <c r="R91" s="2"/>
      <c r="S91" s="12"/>
      <c r="T91" s="17"/>
      <c r="U91" s="2"/>
      <c r="V91" s="18"/>
      <c r="W91" s="16"/>
    </row>
    <row r="92" spans="2:23" ht="18" x14ac:dyDescent="0.35">
      <c r="B92" s="95"/>
      <c r="C92" s="96"/>
      <c r="D92" s="97"/>
      <c r="E92" s="113"/>
      <c r="F92" s="90"/>
      <c r="G92" s="91"/>
      <c r="H92" s="92"/>
      <c r="I92" s="105"/>
      <c r="J92" s="83"/>
      <c r="K92" s="83"/>
      <c r="L92" s="12"/>
      <c r="M92" s="28"/>
      <c r="N92" s="14"/>
      <c r="O92" s="11"/>
      <c r="P92" s="11"/>
      <c r="Q92" s="16"/>
      <c r="R92" s="2"/>
      <c r="S92" s="12"/>
      <c r="T92" s="17"/>
      <c r="U92" s="2"/>
      <c r="V92" s="18"/>
      <c r="W92" s="16"/>
    </row>
    <row r="93" spans="2:23" ht="18" x14ac:dyDescent="0.35">
      <c r="B93" s="95"/>
      <c r="C93" s="96"/>
      <c r="D93" s="97"/>
      <c r="E93" s="113"/>
      <c r="F93" s="90"/>
      <c r="G93" s="91"/>
      <c r="H93" s="92"/>
      <c r="I93" s="105"/>
      <c r="J93" s="83"/>
      <c r="K93" s="83"/>
      <c r="L93" s="12"/>
      <c r="M93" s="28"/>
      <c r="N93" s="14"/>
      <c r="O93" s="11"/>
      <c r="P93" s="11"/>
      <c r="Q93" s="16"/>
      <c r="R93" s="2"/>
      <c r="S93" s="12"/>
      <c r="T93" s="17"/>
      <c r="U93" s="2"/>
      <c r="V93" s="18"/>
      <c r="W93" s="16"/>
    </row>
    <row r="94" spans="2:23" ht="18" x14ac:dyDescent="0.35">
      <c r="B94" s="95"/>
      <c r="C94" s="96"/>
      <c r="D94" s="97"/>
      <c r="E94" s="113"/>
      <c r="F94" s="90"/>
      <c r="G94" s="91"/>
      <c r="H94" s="92"/>
      <c r="I94" s="105"/>
      <c r="J94" s="83"/>
      <c r="K94" s="83"/>
      <c r="L94" s="12"/>
      <c r="M94" s="28"/>
      <c r="N94" s="14"/>
      <c r="O94" s="11"/>
      <c r="P94" s="11"/>
      <c r="Q94" s="16"/>
      <c r="R94" s="2"/>
      <c r="S94" s="12"/>
      <c r="T94" s="17"/>
      <c r="U94" s="2"/>
      <c r="V94" s="18"/>
      <c r="W94" s="16"/>
    </row>
    <row r="95" spans="2:23" ht="18" x14ac:dyDescent="0.35">
      <c r="B95" s="95"/>
      <c r="C95" s="96"/>
      <c r="D95" s="97"/>
      <c r="E95" s="113"/>
      <c r="F95" s="90"/>
      <c r="G95" s="91"/>
      <c r="H95" s="92"/>
      <c r="I95" s="105"/>
      <c r="J95" s="83"/>
      <c r="K95" s="83"/>
      <c r="L95" s="12"/>
      <c r="M95" s="28"/>
      <c r="N95" s="14"/>
      <c r="O95" s="11"/>
      <c r="P95" s="11"/>
      <c r="Q95" s="16"/>
      <c r="R95" s="2"/>
      <c r="S95" s="12"/>
      <c r="T95" s="17"/>
      <c r="U95" s="2"/>
      <c r="V95" s="18"/>
      <c r="W95" s="16"/>
    </row>
    <row r="96" spans="2:23" ht="18" x14ac:dyDescent="0.35">
      <c r="B96" s="95"/>
      <c r="C96" s="96"/>
      <c r="D96" s="97"/>
      <c r="E96" s="113"/>
      <c r="F96" s="90"/>
      <c r="G96" s="91"/>
      <c r="H96" s="92"/>
      <c r="I96" s="105"/>
      <c r="J96" s="83"/>
      <c r="K96" s="83"/>
      <c r="L96" s="12"/>
      <c r="M96" s="28"/>
      <c r="N96" s="14"/>
      <c r="O96" s="11"/>
      <c r="P96" s="11"/>
      <c r="Q96" s="16"/>
      <c r="R96" s="2"/>
      <c r="S96" s="12"/>
      <c r="T96" s="17"/>
      <c r="U96" s="2"/>
      <c r="V96" s="18"/>
      <c r="W96" s="16"/>
    </row>
    <row r="97" spans="2:23" ht="18" x14ac:dyDescent="0.35">
      <c r="B97" s="95"/>
      <c r="C97" s="96"/>
      <c r="D97" s="97"/>
      <c r="E97" s="113"/>
      <c r="F97" s="90"/>
      <c r="G97" s="91"/>
      <c r="H97" s="92"/>
      <c r="I97" s="105"/>
      <c r="J97" s="83"/>
      <c r="K97" s="83"/>
      <c r="L97" s="12"/>
      <c r="M97" s="28"/>
      <c r="N97" s="14"/>
      <c r="O97" s="11"/>
      <c r="P97" s="11"/>
      <c r="Q97" s="16"/>
      <c r="R97" s="2"/>
      <c r="S97" s="12"/>
      <c r="T97" s="17"/>
      <c r="U97" s="2"/>
      <c r="V97" s="18"/>
      <c r="W97" s="16"/>
    </row>
    <row r="98" spans="2:23" ht="18" x14ac:dyDescent="0.35">
      <c r="B98" s="95"/>
      <c r="C98" s="96"/>
      <c r="D98" s="97"/>
      <c r="E98" s="113"/>
      <c r="F98" s="90"/>
      <c r="G98" s="91"/>
      <c r="H98" s="92"/>
      <c r="I98" s="105"/>
      <c r="J98" s="83"/>
      <c r="K98" s="83"/>
      <c r="L98" s="12"/>
      <c r="M98" s="28"/>
      <c r="N98" s="14"/>
      <c r="O98" s="11"/>
      <c r="P98" s="11"/>
      <c r="Q98" s="16"/>
      <c r="R98" s="2"/>
      <c r="S98" s="12"/>
      <c r="T98" s="17"/>
      <c r="U98" s="2"/>
      <c r="V98" s="18"/>
      <c r="W98" s="16"/>
    </row>
    <row r="99" spans="2:23" ht="18" x14ac:dyDescent="0.35">
      <c r="B99" s="95"/>
      <c r="C99" s="96"/>
      <c r="D99" s="97"/>
      <c r="E99" s="113"/>
      <c r="F99" s="90"/>
      <c r="G99" s="91"/>
      <c r="H99" s="92"/>
      <c r="I99" s="105"/>
      <c r="J99" s="83"/>
      <c r="K99" s="83"/>
      <c r="L99" s="12"/>
      <c r="M99" s="28"/>
      <c r="N99" s="14"/>
      <c r="O99" s="11"/>
      <c r="P99" s="11"/>
      <c r="Q99" s="16"/>
      <c r="R99" s="2"/>
      <c r="S99" s="12"/>
      <c r="T99" s="17"/>
      <c r="U99" s="2"/>
      <c r="V99" s="18"/>
      <c r="W99" s="16"/>
    </row>
    <row r="100" spans="2:23" ht="18" x14ac:dyDescent="0.35">
      <c r="B100" s="95"/>
      <c r="C100" s="96"/>
      <c r="D100" s="97"/>
      <c r="E100" s="113"/>
      <c r="F100" s="90"/>
      <c r="G100" s="91"/>
      <c r="H100" s="92"/>
      <c r="I100" s="105"/>
      <c r="J100" s="83"/>
      <c r="K100" s="83"/>
      <c r="L100" s="12"/>
      <c r="M100" s="28"/>
      <c r="N100" s="14"/>
      <c r="O100" s="11"/>
      <c r="P100" s="11"/>
      <c r="Q100" s="16"/>
      <c r="R100" s="2"/>
      <c r="S100" s="12"/>
      <c r="T100" s="17"/>
      <c r="U100" s="2"/>
      <c r="V100" s="18"/>
      <c r="W100" s="16"/>
    </row>
    <row r="101" spans="2:23" ht="18" x14ac:dyDescent="0.35">
      <c r="B101" s="95"/>
      <c r="C101" s="96"/>
      <c r="D101" s="97"/>
      <c r="E101" s="113"/>
      <c r="F101" s="90"/>
      <c r="G101" s="91"/>
      <c r="H101" s="92"/>
      <c r="I101" s="105"/>
      <c r="J101" s="83"/>
      <c r="K101" s="83"/>
      <c r="L101" s="12"/>
      <c r="M101" s="28"/>
      <c r="N101" s="14"/>
      <c r="O101" s="11"/>
      <c r="P101" s="11"/>
      <c r="Q101" s="16"/>
      <c r="R101" s="2"/>
      <c r="S101" s="12"/>
      <c r="T101" s="17"/>
      <c r="U101" s="2"/>
      <c r="V101" s="18"/>
      <c r="W101" s="16"/>
    </row>
    <row r="102" spans="2:23" ht="18" x14ac:dyDescent="0.35">
      <c r="B102" s="95"/>
      <c r="C102" s="96"/>
      <c r="D102" s="97"/>
      <c r="E102" s="113"/>
      <c r="F102" s="90"/>
      <c r="G102" s="91"/>
      <c r="H102" s="92"/>
      <c r="I102" s="105"/>
      <c r="J102" s="83"/>
      <c r="K102" s="83"/>
      <c r="L102" s="12"/>
      <c r="M102" s="28"/>
      <c r="N102" s="14"/>
      <c r="O102" s="11"/>
      <c r="P102" s="11"/>
      <c r="Q102" s="16"/>
      <c r="R102" s="2"/>
      <c r="S102" s="12"/>
      <c r="T102" s="17"/>
      <c r="U102" s="2"/>
      <c r="V102" s="18"/>
      <c r="W102" s="16"/>
    </row>
    <row r="103" spans="2:23" ht="18" x14ac:dyDescent="0.35">
      <c r="B103" s="95"/>
      <c r="C103" s="96"/>
      <c r="D103" s="97"/>
      <c r="E103" s="113"/>
      <c r="F103" s="90"/>
      <c r="G103" s="91"/>
      <c r="H103" s="92"/>
      <c r="I103" s="105"/>
      <c r="J103" s="83"/>
      <c r="K103" s="83"/>
      <c r="L103" s="12"/>
      <c r="M103" s="28"/>
      <c r="N103" s="14"/>
      <c r="O103" s="11"/>
      <c r="P103" s="11"/>
      <c r="Q103" s="16"/>
      <c r="R103" s="2"/>
      <c r="S103" s="12"/>
      <c r="T103" s="17"/>
      <c r="U103" s="2"/>
      <c r="V103" s="18"/>
      <c r="W103" s="16"/>
    </row>
    <row r="104" spans="2:23" ht="18" x14ac:dyDescent="0.35">
      <c r="B104" s="95"/>
      <c r="C104" s="96"/>
      <c r="D104" s="97"/>
      <c r="E104" s="113"/>
      <c r="F104" s="90"/>
      <c r="G104" s="91"/>
      <c r="H104" s="92"/>
      <c r="I104" s="105"/>
      <c r="J104" s="83"/>
      <c r="K104" s="83"/>
      <c r="L104" s="12"/>
      <c r="M104" s="28"/>
      <c r="N104" s="14"/>
      <c r="O104" s="11"/>
      <c r="P104" s="11"/>
      <c r="Q104" s="16"/>
      <c r="R104" s="2"/>
      <c r="S104" s="12"/>
      <c r="T104" s="17"/>
      <c r="U104" s="2"/>
      <c r="V104" s="18"/>
      <c r="W104" s="16"/>
    </row>
    <row r="105" spans="2:23" ht="18" x14ac:dyDescent="0.35">
      <c r="B105" s="95"/>
      <c r="C105" s="96"/>
      <c r="D105" s="97"/>
      <c r="E105" s="113"/>
      <c r="F105" s="90"/>
      <c r="G105" s="91"/>
      <c r="H105" s="92"/>
      <c r="I105" s="105"/>
      <c r="J105" s="83"/>
      <c r="K105" s="83"/>
      <c r="L105" s="12"/>
      <c r="M105" s="28"/>
      <c r="N105" s="14"/>
      <c r="O105" s="11"/>
      <c r="P105" s="11"/>
      <c r="Q105" s="16"/>
      <c r="R105" s="2"/>
      <c r="S105" s="12"/>
      <c r="T105" s="17"/>
      <c r="U105" s="2"/>
      <c r="V105" s="18"/>
      <c r="W105" s="16"/>
    </row>
    <row r="106" spans="2:23" ht="18" x14ac:dyDescent="0.35">
      <c r="B106" s="95"/>
      <c r="C106" s="96"/>
      <c r="D106" s="97"/>
      <c r="E106" s="113"/>
      <c r="F106" s="90"/>
      <c r="G106" s="91"/>
      <c r="H106" s="92"/>
      <c r="I106" s="105"/>
      <c r="J106" s="83"/>
      <c r="K106" s="83"/>
      <c r="L106" s="12"/>
      <c r="M106" s="28"/>
      <c r="N106" s="14"/>
      <c r="O106" s="11"/>
      <c r="P106" s="11"/>
      <c r="Q106" s="16"/>
      <c r="R106" s="2"/>
      <c r="S106" s="12"/>
      <c r="T106" s="17"/>
      <c r="U106" s="2"/>
      <c r="V106" s="18"/>
      <c r="W106" s="16"/>
    </row>
    <row r="107" spans="2:23" ht="18" x14ac:dyDescent="0.35">
      <c r="B107" s="95"/>
      <c r="C107" s="96"/>
      <c r="D107" s="97"/>
      <c r="E107" s="113"/>
      <c r="F107" s="90"/>
      <c r="G107" s="91"/>
      <c r="H107" s="92"/>
      <c r="I107" s="105"/>
      <c r="J107" s="83"/>
      <c r="K107" s="83"/>
      <c r="L107" s="12"/>
      <c r="M107" s="28"/>
      <c r="N107" s="14"/>
      <c r="O107" s="11"/>
      <c r="P107" s="11"/>
      <c r="Q107" s="16"/>
      <c r="R107" s="2"/>
      <c r="S107" s="12"/>
      <c r="T107" s="17"/>
      <c r="U107" s="2"/>
      <c r="V107" s="18"/>
      <c r="W107" s="16"/>
    </row>
    <row r="108" spans="2:23" ht="18" x14ac:dyDescent="0.35">
      <c r="B108" s="95"/>
      <c r="C108" s="96"/>
      <c r="D108" s="97"/>
      <c r="E108" s="113"/>
      <c r="F108" s="90"/>
      <c r="G108" s="91"/>
      <c r="H108" s="92"/>
      <c r="I108" s="105"/>
      <c r="J108" s="83"/>
      <c r="K108" s="83"/>
      <c r="L108" s="12"/>
      <c r="M108" s="28"/>
      <c r="N108" s="14"/>
      <c r="O108" s="11"/>
      <c r="P108" s="11"/>
      <c r="Q108" s="16"/>
      <c r="R108" s="2"/>
      <c r="S108" s="12"/>
      <c r="T108" s="17"/>
      <c r="U108" s="2"/>
      <c r="V108" s="18"/>
      <c r="W108" s="16"/>
    </row>
    <row r="109" spans="2:23" ht="18" x14ac:dyDescent="0.35">
      <c r="B109" s="95"/>
      <c r="C109" s="96"/>
      <c r="D109" s="97"/>
      <c r="E109" s="113"/>
      <c r="F109" s="90"/>
      <c r="G109" s="91"/>
      <c r="H109" s="92"/>
      <c r="I109" s="105"/>
      <c r="J109" s="83"/>
      <c r="K109" s="83"/>
      <c r="L109" s="12"/>
      <c r="M109" s="28"/>
      <c r="N109" s="14"/>
      <c r="O109" s="11"/>
      <c r="P109" s="11"/>
      <c r="Q109" s="16"/>
      <c r="R109" s="2"/>
      <c r="S109" s="12"/>
      <c r="T109" s="17"/>
      <c r="U109" s="2"/>
      <c r="V109" s="18"/>
      <c r="W109" s="16"/>
    </row>
    <row r="110" spans="2:23" ht="18" x14ac:dyDescent="0.35">
      <c r="B110" s="95"/>
      <c r="C110" s="96"/>
      <c r="D110" s="97"/>
      <c r="E110" s="113"/>
      <c r="F110" s="90"/>
      <c r="G110" s="91"/>
      <c r="H110" s="92"/>
      <c r="I110" s="105"/>
      <c r="J110" s="83"/>
      <c r="K110" s="83"/>
      <c r="L110" s="12"/>
      <c r="M110" s="28"/>
      <c r="N110" s="14"/>
      <c r="O110" s="11"/>
      <c r="P110" s="11"/>
      <c r="Q110" s="16"/>
      <c r="R110" s="2"/>
      <c r="S110" s="12"/>
      <c r="T110" s="17"/>
      <c r="U110" s="2"/>
      <c r="V110" s="18"/>
      <c r="W110" s="16"/>
    </row>
    <row r="111" spans="2:23" ht="18" x14ac:dyDescent="0.35">
      <c r="B111" s="95"/>
      <c r="C111" s="96"/>
      <c r="D111" s="97"/>
      <c r="E111" s="113"/>
      <c r="F111" s="90"/>
      <c r="G111" s="91"/>
      <c r="H111" s="92"/>
      <c r="I111" s="105"/>
      <c r="J111" s="83"/>
      <c r="K111" s="83"/>
      <c r="L111" s="12"/>
      <c r="M111" s="28"/>
      <c r="N111" s="14"/>
      <c r="O111" s="11"/>
      <c r="P111" s="11"/>
      <c r="Q111" s="16"/>
      <c r="R111" s="2"/>
      <c r="S111" s="12"/>
      <c r="T111" s="17"/>
      <c r="U111" s="2"/>
      <c r="V111" s="18"/>
      <c r="W111" s="16"/>
    </row>
    <row r="112" spans="2:23" ht="18" x14ac:dyDescent="0.35">
      <c r="B112" s="95"/>
      <c r="C112" s="96"/>
      <c r="D112" s="97"/>
      <c r="E112" s="113"/>
      <c r="F112" s="90"/>
      <c r="G112" s="91"/>
      <c r="H112" s="92"/>
      <c r="I112" s="105"/>
      <c r="J112" s="83"/>
      <c r="K112" s="83"/>
      <c r="L112" s="12"/>
      <c r="M112" s="28"/>
      <c r="N112" s="14"/>
      <c r="O112" s="11"/>
      <c r="P112" s="11"/>
      <c r="Q112" s="16"/>
      <c r="R112" s="2"/>
      <c r="S112" s="12"/>
      <c r="T112" s="17"/>
      <c r="U112" s="2"/>
      <c r="V112" s="18"/>
      <c r="W112" s="16"/>
    </row>
    <row r="113" spans="2:23" ht="18" x14ac:dyDescent="0.35">
      <c r="B113" s="95"/>
      <c r="C113" s="96"/>
      <c r="D113" s="97"/>
      <c r="E113" s="113"/>
      <c r="F113" s="90"/>
      <c r="G113" s="91"/>
      <c r="H113" s="92"/>
      <c r="I113" s="105"/>
      <c r="J113" s="83"/>
      <c r="K113" s="83"/>
      <c r="L113" s="12"/>
      <c r="M113" s="28"/>
      <c r="N113" s="14"/>
      <c r="O113" s="11"/>
      <c r="P113" s="11"/>
      <c r="Q113" s="16"/>
      <c r="R113" s="2"/>
      <c r="S113" s="12"/>
      <c r="T113" s="17"/>
      <c r="U113" s="2"/>
      <c r="V113" s="18"/>
      <c r="W113" s="16"/>
    </row>
    <row r="114" spans="2:23" ht="18" x14ac:dyDescent="0.35">
      <c r="B114" s="95"/>
      <c r="C114" s="96"/>
      <c r="D114" s="97"/>
      <c r="E114" s="113"/>
      <c r="F114" s="90"/>
      <c r="G114" s="91"/>
      <c r="H114" s="92"/>
      <c r="I114" s="105"/>
      <c r="J114" s="83"/>
      <c r="K114" s="83"/>
      <c r="L114" s="12"/>
      <c r="M114" s="28"/>
      <c r="N114" s="14"/>
      <c r="O114" s="11"/>
      <c r="P114" s="11"/>
      <c r="Q114" s="16"/>
      <c r="R114" s="2"/>
      <c r="S114" s="12"/>
      <c r="T114" s="17"/>
      <c r="U114" s="2"/>
      <c r="V114" s="18"/>
      <c r="W114" s="16"/>
    </row>
    <row r="115" spans="2:23" ht="18" x14ac:dyDescent="0.35">
      <c r="B115" s="95"/>
      <c r="C115" s="96"/>
      <c r="D115" s="97"/>
      <c r="E115" s="113"/>
      <c r="F115" s="90"/>
      <c r="G115" s="91"/>
      <c r="H115" s="92"/>
      <c r="I115" s="105"/>
      <c r="J115" s="83"/>
      <c r="K115" s="83"/>
      <c r="L115" s="12"/>
      <c r="M115" s="28"/>
      <c r="N115" s="14"/>
      <c r="O115" s="11"/>
      <c r="P115" s="11"/>
      <c r="Q115" s="16"/>
      <c r="R115" s="2"/>
      <c r="S115" s="12"/>
      <c r="T115" s="17"/>
      <c r="U115" s="2"/>
      <c r="V115" s="18"/>
      <c r="W115" s="16"/>
    </row>
    <row r="116" spans="2:23" ht="18" x14ac:dyDescent="0.35">
      <c r="B116" s="95"/>
      <c r="C116" s="96"/>
      <c r="D116" s="97"/>
      <c r="E116" s="113"/>
      <c r="F116" s="90"/>
      <c r="G116" s="91"/>
      <c r="H116" s="92"/>
      <c r="I116" s="105"/>
      <c r="J116" s="83"/>
      <c r="K116" s="83"/>
      <c r="L116" s="12"/>
      <c r="M116" s="28"/>
      <c r="N116" s="14"/>
      <c r="O116" s="11"/>
      <c r="P116" s="11"/>
      <c r="Q116" s="16"/>
      <c r="R116" s="2"/>
      <c r="S116" s="12"/>
      <c r="T116" s="17"/>
      <c r="U116" s="2"/>
      <c r="V116" s="18"/>
      <c r="W116" s="16"/>
    </row>
    <row r="117" spans="2:23" ht="18" x14ac:dyDescent="0.35">
      <c r="B117" s="95"/>
      <c r="C117" s="96"/>
      <c r="D117" s="97"/>
      <c r="E117" s="113"/>
      <c r="F117" s="90"/>
      <c r="G117" s="91"/>
      <c r="H117" s="92"/>
      <c r="I117" s="105"/>
      <c r="J117" s="83"/>
      <c r="K117" s="83"/>
      <c r="L117" s="12"/>
      <c r="M117" s="28"/>
      <c r="N117" s="14"/>
      <c r="O117" s="11"/>
      <c r="P117" s="11"/>
      <c r="Q117" s="16"/>
      <c r="R117" s="2"/>
      <c r="S117" s="12"/>
      <c r="T117" s="17"/>
      <c r="U117" s="2"/>
      <c r="V117" s="18"/>
      <c r="W117" s="16"/>
    </row>
    <row r="118" spans="2:23" ht="18" x14ac:dyDescent="0.35">
      <c r="B118" s="95"/>
      <c r="C118" s="96"/>
      <c r="D118" s="97"/>
      <c r="E118" s="113"/>
      <c r="F118" s="90"/>
      <c r="G118" s="91"/>
      <c r="H118" s="92"/>
      <c r="I118" s="105"/>
      <c r="J118" s="83"/>
      <c r="K118" s="83"/>
      <c r="L118" s="12"/>
      <c r="M118" s="28"/>
      <c r="N118" s="14"/>
      <c r="O118" s="11"/>
      <c r="P118" s="11"/>
      <c r="Q118" s="16"/>
      <c r="R118" s="2"/>
      <c r="S118" s="12"/>
      <c r="T118" s="17"/>
      <c r="U118" s="2"/>
      <c r="V118" s="18"/>
      <c r="W118" s="16"/>
    </row>
    <row r="119" spans="2:23" ht="18" x14ac:dyDescent="0.35">
      <c r="B119" s="95"/>
      <c r="C119" s="96"/>
      <c r="D119" s="97"/>
      <c r="E119" s="113"/>
      <c r="F119" s="90"/>
      <c r="G119" s="91"/>
      <c r="H119" s="92"/>
      <c r="I119" s="105"/>
      <c r="J119" s="83"/>
      <c r="K119" s="83"/>
      <c r="L119" s="12"/>
      <c r="M119" s="28"/>
      <c r="N119" s="14"/>
      <c r="O119" s="11"/>
      <c r="P119" s="11"/>
      <c r="Q119" s="16"/>
      <c r="R119" s="2"/>
      <c r="S119" s="12"/>
      <c r="T119" s="17"/>
      <c r="U119" s="2"/>
      <c r="V119" s="18"/>
      <c r="W119" s="16"/>
    </row>
    <row r="120" spans="2:23" ht="18" x14ac:dyDescent="0.35">
      <c r="B120" s="95"/>
      <c r="C120" s="96"/>
      <c r="D120" s="97"/>
      <c r="E120" s="113"/>
      <c r="F120" s="90"/>
      <c r="G120" s="91"/>
      <c r="H120" s="92"/>
      <c r="I120" s="105"/>
      <c r="J120" s="83"/>
      <c r="K120" s="83"/>
      <c r="L120" s="12"/>
      <c r="M120" s="28"/>
      <c r="N120" s="14"/>
      <c r="O120" s="11"/>
      <c r="P120" s="11"/>
      <c r="Q120" s="16"/>
      <c r="R120" s="2"/>
      <c r="S120" s="12"/>
      <c r="T120" s="17"/>
      <c r="U120" s="2"/>
      <c r="V120" s="18"/>
      <c r="W120" s="16"/>
    </row>
    <row r="121" spans="2:23" ht="18" x14ac:dyDescent="0.35">
      <c r="B121" s="95"/>
      <c r="C121" s="96"/>
      <c r="D121" s="97"/>
      <c r="E121" s="113"/>
      <c r="F121" s="90"/>
      <c r="G121" s="91"/>
      <c r="H121" s="92"/>
      <c r="I121" s="105"/>
      <c r="J121" s="83"/>
      <c r="K121" s="83"/>
      <c r="L121" s="12"/>
      <c r="M121" s="28"/>
      <c r="N121" s="14"/>
      <c r="O121" s="11"/>
      <c r="P121" s="11"/>
      <c r="Q121" s="16"/>
      <c r="R121" s="2"/>
      <c r="S121" s="12"/>
      <c r="T121" s="17"/>
      <c r="U121" s="2"/>
      <c r="V121" s="18"/>
      <c r="W121" s="16"/>
    </row>
    <row r="122" spans="2:23" ht="18" x14ac:dyDescent="0.35">
      <c r="B122" s="95"/>
      <c r="C122" s="96"/>
      <c r="D122" s="97"/>
      <c r="E122" s="113"/>
      <c r="F122" s="99"/>
      <c r="G122" s="100"/>
      <c r="H122" s="101"/>
      <c r="I122" s="105"/>
      <c r="J122" s="83"/>
      <c r="K122" s="83"/>
      <c r="L122" s="12"/>
      <c r="M122" s="28"/>
      <c r="N122" s="14"/>
      <c r="O122" s="11"/>
      <c r="P122" s="11"/>
      <c r="Q122" s="16"/>
      <c r="R122" s="2"/>
      <c r="S122" s="12"/>
      <c r="T122" s="17"/>
      <c r="U122" s="2"/>
      <c r="V122" s="18"/>
      <c r="W122" s="16"/>
    </row>
    <row r="123" spans="2:23" ht="18" x14ac:dyDescent="0.35">
      <c r="B123" s="95"/>
      <c r="C123" s="96"/>
      <c r="D123" s="97"/>
      <c r="E123" s="113"/>
      <c r="F123" s="99"/>
      <c r="G123" s="100"/>
      <c r="H123" s="101"/>
      <c r="I123" s="105"/>
      <c r="J123" s="83"/>
      <c r="K123" s="83"/>
      <c r="L123" s="12"/>
      <c r="M123" s="28"/>
      <c r="N123" s="14"/>
      <c r="O123" s="11"/>
      <c r="P123" s="11"/>
      <c r="Q123" s="16"/>
      <c r="R123" s="2"/>
      <c r="S123" s="12"/>
      <c r="T123" s="17"/>
      <c r="U123" s="2"/>
      <c r="V123" s="18"/>
      <c r="W123" s="16"/>
    </row>
    <row r="124" spans="2:23" ht="18" x14ac:dyDescent="0.35">
      <c r="B124" s="95"/>
      <c r="C124" s="96"/>
      <c r="D124" s="97"/>
      <c r="E124" s="113"/>
      <c r="F124" s="99"/>
      <c r="G124" s="100"/>
      <c r="H124" s="101"/>
      <c r="I124" s="105"/>
      <c r="J124" s="83"/>
      <c r="K124" s="83"/>
      <c r="L124" s="12"/>
      <c r="M124" s="28"/>
      <c r="N124" s="14"/>
      <c r="O124" s="11"/>
      <c r="P124" s="11"/>
      <c r="Q124" s="16"/>
      <c r="R124" s="2"/>
      <c r="S124" s="12"/>
      <c r="T124" s="17"/>
      <c r="U124" s="2"/>
      <c r="V124" s="18"/>
      <c r="W124" s="16"/>
    </row>
    <row r="125" spans="2:23" ht="18" x14ac:dyDescent="0.35">
      <c r="B125" s="95"/>
      <c r="C125" s="96"/>
      <c r="D125" s="97"/>
      <c r="E125" s="113"/>
      <c r="F125" s="99"/>
      <c r="G125" s="100"/>
      <c r="H125" s="101"/>
      <c r="I125" s="105"/>
      <c r="J125" s="83"/>
      <c r="K125" s="83"/>
      <c r="L125" s="12"/>
      <c r="M125" s="28"/>
      <c r="N125" s="14"/>
      <c r="O125" s="11"/>
      <c r="P125" s="11"/>
      <c r="Q125" s="16"/>
      <c r="R125" s="2"/>
      <c r="S125" s="12"/>
      <c r="T125" s="17"/>
      <c r="U125" s="2"/>
      <c r="V125" s="18"/>
      <c r="W125" s="16"/>
    </row>
    <row r="126" spans="2:23" ht="18" x14ac:dyDescent="0.35">
      <c r="B126" s="95"/>
      <c r="C126" s="96"/>
      <c r="D126" s="97"/>
      <c r="E126" s="113"/>
      <c r="F126" s="99"/>
      <c r="G126" s="100"/>
      <c r="H126" s="101"/>
      <c r="I126" s="105"/>
      <c r="J126" s="83"/>
      <c r="K126" s="83"/>
      <c r="L126" s="12"/>
      <c r="M126" s="28"/>
      <c r="N126" s="14"/>
      <c r="O126" s="11"/>
      <c r="P126" s="11"/>
      <c r="Q126" s="16"/>
      <c r="R126" s="2"/>
      <c r="S126" s="12"/>
      <c r="T126" s="17"/>
      <c r="U126" s="2"/>
      <c r="V126" s="18"/>
      <c r="W126" s="16"/>
    </row>
    <row r="127" spans="2:23" ht="18" x14ac:dyDescent="0.35">
      <c r="B127" s="95"/>
      <c r="C127" s="96"/>
      <c r="D127" s="97"/>
      <c r="E127" s="113"/>
      <c r="F127" s="99"/>
      <c r="G127" s="100"/>
      <c r="H127" s="101"/>
      <c r="I127" s="105"/>
      <c r="J127" s="83"/>
      <c r="K127" s="83"/>
      <c r="L127" s="12"/>
      <c r="M127" s="28"/>
      <c r="N127" s="14"/>
      <c r="O127" s="11"/>
      <c r="P127" s="11"/>
      <c r="Q127" s="16"/>
      <c r="R127" s="2"/>
      <c r="S127" s="12"/>
      <c r="T127" s="17"/>
      <c r="U127" s="2"/>
      <c r="V127" s="18"/>
      <c r="W127" s="16"/>
    </row>
    <row r="128" spans="2:23" ht="18" x14ac:dyDescent="0.35">
      <c r="B128" s="95"/>
      <c r="C128" s="96"/>
      <c r="D128" s="97"/>
      <c r="E128" s="113"/>
      <c r="F128" s="99"/>
      <c r="G128" s="100"/>
      <c r="H128" s="101"/>
      <c r="I128" s="105"/>
      <c r="J128" s="83"/>
      <c r="K128" s="83"/>
      <c r="L128" s="12"/>
      <c r="M128" s="28"/>
      <c r="N128" s="14"/>
      <c r="O128" s="11"/>
      <c r="P128" s="11"/>
      <c r="Q128" s="16"/>
      <c r="R128" s="2"/>
      <c r="S128" s="12"/>
      <c r="T128" s="17"/>
      <c r="U128" s="2"/>
      <c r="V128" s="18"/>
      <c r="W128" s="16"/>
    </row>
    <row r="129" spans="1:23" ht="18.600000000000001" thickBot="1" x14ac:dyDescent="0.4">
      <c r="B129" s="114"/>
      <c r="C129" s="115"/>
      <c r="D129" s="116"/>
      <c r="E129" s="113"/>
      <c r="F129" s="117"/>
      <c r="G129" s="118"/>
      <c r="H129" s="119"/>
      <c r="I129" s="105"/>
      <c r="J129" s="83"/>
      <c r="K129" s="83"/>
      <c r="L129" s="30"/>
      <c r="M129" s="31"/>
      <c r="N129" s="32"/>
      <c r="O129" s="29"/>
      <c r="P129" s="29"/>
      <c r="Q129" s="33"/>
      <c r="R129" s="2"/>
      <c r="S129" s="30"/>
      <c r="T129" s="34"/>
      <c r="U129" s="2"/>
      <c r="V129" s="35"/>
      <c r="W129" s="33"/>
    </row>
    <row r="130" spans="1:23" ht="18.600000000000001" thickBot="1" x14ac:dyDescent="0.4">
      <c r="A130" s="120" t="s">
        <v>15</v>
      </c>
      <c r="B130" s="121">
        <f>SUM(B9:B129)</f>
        <v>0</v>
      </c>
      <c r="C130" s="122"/>
      <c r="D130" s="121"/>
      <c r="E130" s="123">
        <f>SUM(E9:E129)</f>
        <v>0</v>
      </c>
      <c r="F130" s="124">
        <f>SUM(F9:F129)</f>
        <v>0</v>
      </c>
      <c r="G130" s="82"/>
      <c r="H130" s="125"/>
      <c r="I130" s="125">
        <f>SUM(I9:I129)</f>
        <v>0</v>
      </c>
      <c r="J130" s="83"/>
      <c r="K130" s="83"/>
      <c r="L130" s="126"/>
      <c r="M130" s="126">
        <f>SUM(M9:M129)</f>
        <v>0</v>
      </c>
      <c r="N130" s="127">
        <f>SUM(N9:N129)</f>
        <v>0</v>
      </c>
      <c r="O130" s="82"/>
      <c r="P130" s="82">
        <f>SUM(P9:P129)</f>
        <v>0</v>
      </c>
      <c r="Q130" s="128">
        <f>SUM(Q9:Q129)</f>
        <v>0</v>
      </c>
      <c r="R130" s="83"/>
      <c r="S130" s="84"/>
      <c r="T130" s="129">
        <f>SUM(T9:T129)</f>
        <v>0</v>
      </c>
      <c r="U130" s="83"/>
      <c r="V130" s="82"/>
      <c r="W130" s="130">
        <f>SUM(W9:W129)</f>
        <v>0</v>
      </c>
    </row>
  </sheetData>
  <mergeCells count="8">
    <mergeCell ref="V5:W5"/>
    <mergeCell ref="Y5:Z5"/>
    <mergeCell ref="E1:G1"/>
    <mergeCell ref="B2:C2"/>
    <mergeCell ref="B3:C3"/>
    <mergeCell ref="B5:I5"/>
    <mergeCell ref="L5:Q5"/>
    <mergeCell ref="S5:T5"/>
  </mergeCell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1EB589-C995-42DF-A83B-C4E4E2D0FB69}">
  <sheetPr codeName="Sheet38"/>
  <dimension ref="A1:Z130"/>
  <sheetViews>
    <sheetView zoomScale="80" zoomScaleNormal="80" workbookViewId="0">
      <selection activeCell="E13" sqref="E13"/>
    </sheetView>
  </sheetViews>
  <sheetFormatPr defaultColWidth="9.109375" defaultRowHeight="14.4" x14ac:dyDescent="0.3"/>
  <cols>
    <col min="1" max="1" width="15.5546875" style="36" customWidth="1"/>
    <col min="2" max="2" width="15.88671875" style="36" customWidth="1"/>
    <col min="3" max="3" width="20" style="76" customWidth="1"/>
    <col min="4" max="4" width="20.33203125" style="36" customWidth="1"/>
    <col min="5" max="5" width="22.33203125" style="36" customWidth="1"/>
    <col min="6" max="6" width="14.6640625" style="36" customWidth="1"/>
    <col min="7" max="7" width="22" style="76" customWidth="1"/>
    <col min="8" max="8" width="18.88671875" style="36" customWidth="1"/>
    <col min="9" max="9" width="23" style="36" customWidth="1"/>
    <col min="10" max="11" width="9.109375" style="36"/>
    <col min="12" max="12" width="20.6640625" style="76" customWidth="1"/>
    <col min="13" max="13" width="15.44140625" style="76" customWidth="1"/>
    <col min="14" max="14" width="22.6640625" style="36" customWidth="1"/>
    <col min="15" max="15" width="20.5546875" style="76" customWidth="1"/>
    <col min="16" max="16" width="13.33203125" style="76" customWidth="1"/>
    <col min="17" max="17" width="21.5546875" style="76" customWidth="1"/>
    <col min="18" max="18" width="9.109375" style="36"/>
    <col min="19" max="19" width="22" style="76" customWidth="1"/>
    <col min="20" max="20" width="22.33203125" style="76" customWidth="1"/>
    <col min="21" max="21" width="9.109375" style="36"/>
    <col min="22" max="22" width="21.88671875" style="76" customWidth="1"/>
    <col min="23" max="23" width="23.109375" style="76" customWidth="1"/>
    <col min="24" max="24" width="9.109375" style="36"/>
    <col min="25" max="25" width="21.33203125" style="36" customWidth="1"/>
    <col min="26" max="26" width="21.88671875" style="36" customWidth="1"/>
    <col min="27" max="16384" width="9.109375" style="36"/>
  </cols>
  <sheetData>
    <row r="1" spans="2:26" ht="21" x14ac:dyDescent="0.4">
      <c r="E1" s="189">
        <v>44189</v>
      </c>
      <c r="F1" s="189"/>
      <c r="G1" s="189"/>
    </row>
    <row r="2" spans="2:26" ht="18" x14ac:dyDescent="0.35">
      <c r="B2" s="190" t="s">
        <v>0</v>
      </c>
      <c r="C2" s="190"/>
      <c r="D2" s="1"/>
    </row>
    <row r="3" spans="2:26" ht="18" x14ac:dyDescent="0.35">
      <c r="B3" s="190" t="s">
        <v>1</v>
      </c>
      <c r="C3" s="190"/>
      <c r="D3" s="77">
        <f>(D2-E130-I130)</f>
        <v>0</v>
      </c>
    </row>
    <row r="5" spans="2:26" ht="36.6" x14ac:dyDescent="0.7">
      <c r="B5" s="187" t="s">
        <v>2</v>
      </c>
      <c r="C5" s="187"/>
      <c r="D5" s="187"/>
      <c r="E5" s="187"/>
      <c r="F5" s="187"/>
      <c r="G5" s="187"/>
      <c r="H5" s="187"/>
      <c r="I5" s="187"/>
      <c r="L5" s="187" t="s">
        <v>3</v>
      </c>
      <c r="M5" s="187"/>
      <c r="N5" s="187"/>
      <c r="O5" s="187"/>
      <c r="P5" s="187"/>
      <c r="Q5" s="187"/>
      <c r="S5" s="191" t="s">
        <v>4</v>
      </c>
      <c r="T5" s="191"/>
      <c r="V5" s="187" t="s">
        <v>5</v>
      </c>
      <c r="W5" s="187"/>
      <c r="Y5" s="188" t="s">
        <v>105</v>
      </c>
      <c r="Z5" s="187"/>
    </row>
    <row r="7" spans="2:26" ht="15" thickBot="1" x14ac:dyDescent="0.35"/>
    <row r="8" spans="2:26" ht="18.600000000000001" thickBot="1" x14ac:dyDescent="0.4">
      <c r="B8" s="78" t="s">
        <v>6</v>
      </c>
      <c r="C8" s="79" t="s">
        <v>7</v>
      </c>
      <c r="D8" s="78" t="s">
        <v>8</v>
      </c>
      <c r="E8" s="80" t="s">
        <v>9</v>
      </c>
      <c r="F8" s="81" t="s">
        <v>6</v>
      </c>
      <c r="G8" s="81" t="s">
        <v>10</v>
      </c>
      <c r="H8" s="81" t="s">
        <v>8</v>
      </c>
      <c r="I8" s="82" t="s">
        <v>9</v>
      </c>
      <c r="J8" s="83"/>
      <c r="K8" s="83"/>
      <c r="L8" s="84" t="s">
        <v>11</v>
      </c>
      <c r="M8" s="84" t="s">
        <v>6</v>
      </c>
      <c r="N8" s="84" t="s">
        <v>9</v>
      </c>
      <c r="O8" s="82" t="s">
        <v>12</v>
      </c>
      <c r="P8" s="82" t="s">
        <v>6</v>
      </c>
      <c r="Q8" s="82" t="s">
        <v>9</v>
      </c>
      <c r="R8" s="83"/>
      <c r="S8" s="84" t="s">
        <v>13</v>
      </c>
      <c r="T8" s="85" t="s">
        <v>9</v>
      </c>
      <c r="U8" s="83"/>
      <c r="V8" s="82" t="s">
        <v>14</v>
      </c>
      <c r="W8" s="82" t="s">
        <v>9</v>
      </c>
      <c r="Y8" s="146" t="s">
        <v>106</v>
      </c>
      <c r="Z8" s="147" t="s">
        <v>107</v>
      </c>
    </row>
    <row r="9" spans="2:26" ht="18" x14ac:dyDescent="0.35">
      <c r="B9" s="86"/>
      <c r="C9" s="87"/>
      <c r="D9" s="88"/>
      <c r="E9" s="89"/>
      <c r="F9" s="90"/>
      <c r="G9" s="91"/>
      <c r="H9" s="92"/>
      <c r="I9" s="93"/>
      <c r="J9" s="83"/>
      <c r="K9" s="83"/>
      <c r="L9" s="3"/>
      <c r="M9" s="4"/>
      <c r="N9" s="5"/>
      <c r="O9" s="6"/>
      <c r="P9" s="7"/>
      <c r="Q9" s="8"/>
      <c r="R9" s="2"/>
      <c r="S9" s="3"/>
      <c r="T9" s="9"/>
      <c r="U9" s="2"/>
      <c r="V9" s="10"/>
      <c r="W9" s="8"/>
      <c r="Y9" s="148" t="s">
        <v>88</v>
      </c>
      <c r="Z9" s="151">
        <f>SUMIF($C$9:$C$129, Y9, $B$9:$B$129)</f>
        <v>0</v>
      </c>
    </row>
    <row r="10" spans="2:26" ht="18" x14ac:dyDescent="0.35">
      <c r="B10" s="95"/>
      <c r="C10" s="96"/>
      <c r="D10" s="97"/>
      <c r="E10" s="98"/>
      <c r="F10" s="90"/>
      <c r="G10" s="91"/>
      <c r="H10" s="92"/>
      <c r="I10" s="93"/>
      <c r="J10" s="83"/>
      <c r="K10" s="83"/>
      <c r="L10" s="12"/>
      <c r="M10" s="13"/>
      <c r="N10" s="14"/>
      <c r="O10" s="11"/>
      <c r="P10" s="15"/>
      <c r="Q10" s="16"/>
      <c r="R10" s="2"/>
      <c r="S10" s="12"/>
      <c r="T10" s="17"/>
      <c r="U10" s="2"/>
      <c r="V10" s="18"/>
      <c r="W10" s="8"/>
      <c r="Y10" s="149" t="s">
        <v>76</v>
      </c>
      <c r="Z10" s="151">
        <f t="shared" ref="Z10:Z11" si="0">SUMIF($C$9:$C$129, Y10, $B$9:$B$129)</f>
        <v>0</v>
      </c>
    </row>
    <row r="11" spans="2:26" ht="18" x14ac:dyDescent="0.35">
      <c r="B11" s="95"/>
      <c r="C11" s="96"/>
      <c r="D11" s="97"/>
      <c r="E11" s="98"/>
      <c r="F11" s="90"/>
      <c r="G11" s="91"/>
      <c r="H11" s="92"/>
      <c r="I11" s="93"/>
      <c r="J11" s="83"/>
      <c r="K11" s="83"/>
      <c r="L11" s="12"/>
      <c r="M11" s="13"/>
      <c r="N11" s="14"/>
      <c r="O11" s="11"/>
      <c r="P11" s="15"/>
      <c r="Q11" s="16"/>
      <c r="R11" s="2"/>
      <c r="S11" s="12"/>
      <c r="T11" s="17"/>
      <c r="U11" s="2"/>
      <c r="V11" s="18"/>
      <c r="W11" s="8"/>
      <c r="Y11" s="149" t="s">
        <v>77</v>
      </c>
      <c r="Z11" s="151">
        <f t="shared" si="0"/>
        <v>0</v>
      </c>
    </row>
    <row r="12" spans="2:26" ht="18" x14ac:dyDescent="0.35">
      <c r="B12" s="95"/>
      <c r="C12" s="96"/>
      <c r="D12" s="97"/>
      <c r="E12" s="98"/>
      <c r="F12" s="90"/>
      <c r="G12" s="91"/>
      <c r="H12" s="92"/>
      <c r="I12" s="93"/>
      <c r="J12" s="83"/>
      <c r="K12" s="83"/>
      <c r="L12" s="12"/>
      <c r="M12" s="13"/>
      <c r="N12" s="14"/>
      <c r="O12" s="11"/>
      <c r="P12" s="15"/>
      <c r="Q12" s="16"/>
      <c r="R12" s="2"/>
      <c r="S12" s="12"/>
      <c r="T12" s="17"/>
      <c r="U12" s="2"/>
      <c r="V12" s="18"/>
      <c r="W12" s="8"/>
      <c r="Y12" s="149" t="s">
        <v>89</v>
      </c>
      <c r="Z12" s="152">
        <f>SUMIF($G$9:$G$129, Y12, $F$9:$F$129)</f>
        <v>0</v>
      </c>
    </row>
    <row r="13" spans="2:26" ht="18" x14ac:dyDescent="0.35">
      <c r="B13" s="95"/>
      <c r="C13" s="96"/>
      <c r="D13" s="97"/>
      <c r="E13" s="98"/>
      <c r="F13" s="90"/>
      <c r="G13" s="91"/>
      <c r="H13" s="92"/>
      <c r="I13" s="93"/>
      <c r="J13" s="83"/>
      <c r="K13" s="83"/>
      <c r="L13" s="12"/>
      <c r="M13" s="13"/>
      <c r="N13" s="14"/>
      <c r="O13" s="11"/>
      <c r="P13" s="15"/>
      <c r="Q13" s="16"/>
      <c r="R13" s="2"/>
      <c r="S13" s="12"/>
      <c r="T13" s="17"/>
      <c r="U13" s="2"/>
      <c r="V13" s="18"/>
      <c r="W13" s="8"/>
      <c r="Y13" s="149" t="s">
        <v>20</v>
      </c>
      <c r="Z13" s="152">
        <f t="shared" ref="Z13:Z76" si="1">SUMIF($G$9:$G$129, Y13, $F$9:$F$129)</f>
        <v>0</v>
      </c>
    </row>
    <row r="14" spans="2:26" ht="18" x14ac:dyDescent="0.35">
      <c r="B14" s="95"/>
      <c r="C14" s="96"/>
      <c r="D14" s="97"/>
      <c r="E14" s="98"/>
      <c r="F14" s="90"/>
      <c r="G14" s="91"/>
      <c r="H14" s="92"/>
      <c r="I14" s="93"/>
      <c r="J14" s="83"/>
      <c r="K14" s="83"/>
      <c r="L14" s="12"/>
      <c r="M14" s="13"/>
      <c r="N14" s="14"/>
      <c r="O14" s="11"/>
      <c r="P14" s="15"/>
      <c r="Q14" s="16"/>
      <c r="R14" s="2"/>
      <c r="S14" s="12"/>
      <c r="T14" s="17"/>
      <c r="U14" s="2"/>
      <c r="V14" s="18"/>
      <c r="W14" s="8"/>
      <c r="Y14" s="149" t="s">
        <v>19</v>
      </c>
      <c r="Z14" s="152">
        <f t="shared" si="1"/>
        <v>0</v>
      </c>
    </row>
    <row r="15" spans="2:26" ht="18" x14ac:dyDescent="0.35">
      <c r="B15" s="95"/>
      <c r="C15" s="96"/>
      <c r="D15" s="97"/>
      <c r="E15" s="98"/>
      <c r="F15" s="90"/>
      <c r="G15" s="91"/>
      <c r="H15" s="92"/>
      <c r="I15" s="93"/>
      <c r="J15" s="83"/>
      <c r="K15" s="83"/>
      <c r="L15" s="12"/>
      <c r="M15" s="13"/>
      <c r="N15" s="14"/>
      <c r="O15" s="11"/>
      <c r="P15" s="15"/>
      <c r="Q15" s="16"/>
      <c r="R15" s="2"/>
      <c r="S15" s="12"/>
      <c r="T15" s="17"/>
      <c r="U15" s="2"/>
      <c r="V15" s="18"/>
      <c r="W15" s="8"/>
      <c r="Y15" s="149" t="s">
        <v>18</v>
      </c>
      <c r="Z15" s="152">
        <f t="shared" si="1"/>
        <v>0</v>
      </c>
    </row>
    <row r="16" spans="2:26" ht="18" x14ac:dyDescent="0.35">
      <c r="B16" s="95"/>
      <c r="C16" s="96"/>
      <c r="D16" s="97"/>
      <c r="E16" s="98"/>
      <c r="F16" s="90"/>
      <c r="G16" s="91"/>
      <c r="H16" s="92"/>
      <c r="I16" s="93"/>
      <c r="J16" s="83"/>
      <c r="K16" s="83"/>
      <c r="L16" s="12"/>
      <c r="M16" s="13"/>
      <c r="N16" s="14"/>
      <c r="O16" s="11"/>
      <c r="P16" s="15"/>
      <c r="Q16" s="16"/>
      <c r="R16" s="2"/>
      <c r="S16" s="12"/>
      <c r="T16" s="17"/>
      <c r="U16" s="2"/>
      <c r="V16" s="18"/>
      <c r="W16" s="8"/>
      <c r="Y16" s="149" t="s">
        <v>22</v>
      </c>
      <c r="Z16" s="152">
        <f t="shared" si="1"/>
        <v>0</v>
      </c>
    </row>
    <row r="17" spans="2:26" ht="18" x14ac:dyDescent="0.35">
      <c r="B17" s="95"/>
      <c r="C17" s="96"/>
      <c r="D17" s="97"/>
      <c r="E17" s="98"/>
      <c r="F17" s="90"/>
      <c r="G17" s="91"/>
      <c r="H17" s="92"/>
      <c r="I17" s="93"/>
      <c r="J17" s="83"/>
      <c r="K17" s="83"/>
      <c r="L17" s="12"/>
      <c r="M17" s="13"/>
      <c r="N17" s="14"/>
      <c r="O17" s="11"/>
      <c r="P17" s="15"/>
      <c r="Q17" s="16"/>
      <c r="R17" s="2"/>
      <c r="S17" s="12"/>
      <c r="T17" s="17"/>
      <c r="U17" s="2"/>
      <c r="V17" s="18"/>
      <c r="W17" s="8"/>
      <c r="Y17" s="149" t="s">
        <v>67</v>
      </c>
      <c r="Z17" s="152">
        <f t="shared" si="1"/>
        <v>0</v>
      </c>
    </row>
    <row r="18" spans="2:26" ht="18" x14ac:dyDescent="0.35">
      <c r="B18" s="95"/>
      <c r="C18" s="96"/>
      <c r="D18" s="97"/>
      <c r="E18" s="98"/>
      <c r="F18" s="90"/>
      <c r="G18" s="91"/>
      <c r="H18" s="92"/>
      <c r="I18" s="93"/>
      <c r="J18" s="83"/>
      <c r="K18" s="83"/>
      <c r="L18" s="12"/>
      <c r="M18" s="13"/>
      <c r="N18" s="14"/>
      <c r="O18" s="11"/>
      <c r="P18" s="15"/>
      <c r="Q18" s="16"/>
      <c r="R18" s="2"/>
      <c r="S18" s="12"/>
      <c r="T18" s="17"/>
      <c r="U18" s="2"/>
      <c r="V18" s="18"/>
      <c r="W18" s="8"/>
      <c r="Y18" s="149" t="s">
        <v>90</v>
      </c>
      <c r="Z18" s="152">
        <f t="shared" si="1"/>
        <v>0</v>
      </c>
    </row>
    <row r="19" spans="2:26" ht="18" x14ac:dyDescent="0.35">
      <c r="B19" s="95"/>
      <c r="C19" s="96"/>
      <c r="D19" s="97"/>
      <c r="E19" s="98"/>
      <c r="F19" s="90"/>
      <c r="G19" s="91"/>
      <c r="H19" s="92"/>
      <c r="I19" s="93"/>
      <c r="J19" s="83"/>
      <c r="K19" s="83"/>
      <c r="L19" s="12"/>
      <c r="M19" s="13"/>
      <c r="N19" s="14"/>
      <c r="O19" s="11"/>
      <c r="P19" s="15"/>
      <c r="Q19" s="16"/>
      <c r="R19" s="2"/>
      <c r="S19" s="12"/>
      <c r="T19" s="17"/>
      <c r="U19" s="2"/>
      <c r="V19" s="18"/>
      <c r="W19" s="8"/>
      <c r="Y19" s="149" t="s">
        <v>91</v>
      </c>
      <c r="Z19" s="152">
        <f t="shared" si="1"/>
        <v>0</v>
      </c>
    </row>
    <row r="20" spans="2:26" ht="18" x14ac:dyDescent="0.35">
      <c r="B20" s="95"/>
      <c r="C20" s="96"/>
      <c r="D20" s="97"/>
      <c r="E20" s="98"/>
      <c r="F20" s="90"/>
      <c r="G20" s="91"/>
      <c r="H20" s="92"/>
      <c r="I20" s="93"/>
      <c r="J20" s="83"/>
      <c r="K20" s="83"/>
      <c r="L20" s="12"/>
      <c r="M20" s="13"/>
      <c r="N20" s="14"/>
      <c r="O20" s="11"/>
      <c r="P20" s="15"/>
      <c r="Q20" s="16"/>
      <c r="R20" s="2"/>
      <c r="S20" s="12"/>
      <c r="T20" s="17"/>
      <c r="U20" s="2"/>
      <c r="V20" s="18"/>
      <c r="W20" s="8"/>
      <c r="Y20" s="149" t="s">
        <v>92</v>
      </c>
      <c r="Z20" s="152">
        <f t="shared" si="1"/>
        <v>0</v>
      </c>
    </row>
    <row r="21" spans="2:26" ht="18" x14ac:dyDescent="0.35">
      <c r="B21" s="95"/>
      <c r="C21" s="96"/>
      <c r="D21" s="97"/>
      <c r="E21" s="98"/>
      <c r="F21" s="90"/>
      <c r="G21" s="91"/>
      <c r="H21" s="92"/>
      <c r="I21" s="93"/>
      <c r="J21" s="83"/>
      <c r="K21" s="83"/>
      <c r="L21" s="12"/>
      <c r="M21" s="13"/>
      <c r="N21" s="14"/>
      <c r="O21" s="11"/>
      <c r="P21" s="15"/>
      <c r="Q21" s="16"/>
      <c r="R21" s="2"/>
      <c r="S21" s="12"/>
      <c r="T21" s="17"/>
      <c r="U21" s="2"/>
      <c r="V21" s="18"/>
      <c r="W21" s="8"/>
      <c r="Y21" s="149" t="s">
        <v>68</v>
      </c>
      <c r="Z21" s="152">
        <f t="shared" si="1"/>
        <v>0</v>
      </c>
    </row>
    <row r="22" spans="2:26" ht="18" x14ac:dyDescent="0.35">
      <c r="B22" s="95"/>
      <c r="C22" s="96"/>
      <c r="D22" s="97"/>
      <c r="E22" s="98"/>
      <c r="F22" s="90"/>
      <c r="G22" s="91"/>
      <c r="H22" s="92"/>
      <c r="I22" s="93"/>
      <c r="J22" s="83"/>
      <c r="K22" s="83"/>
      <c r="L22" s="12"/>
      <c r="M22" s="13"/>
      <c r="N22" s="14"/>
      <c r="O22" s="11"/>
      <c r="P22" s="15"/>
      <c r="Q22" s="16"/>
      <c r="R22" s="2"/>
      <c r="S22" s="12"/>
      <c r="T22" s="17"/>
      <c r="U22" s="2"/>
      <c r="V22" s="18"/>
      <c r="W22" s="8"/>
      <c r="Y22" s="149" t="s">
        <v>93</v>
      </c>
      <c r="Z22" s="152">
        <f t="shared" si="1"/>
        <v>0</v>
      </c>
    </row>
    <row r="23" spans="2:26" ht="18" x14ac:dyDescent="0.35">
      <c r="B23" s="95"/>
      <c r="C23" s="96"/>
      <c r="D23" s="97"/>
      <c r="E23" s="98"/>
      <c r="F23" s="90"/>
      <c r="G23" s="91"/>
      <c r="H23" s="92"/>
      <c r="I23" s="93"/>
      <c r="J23" s="83"/>
      <c r="K23" s="83"/>
      <c r="L23" s="12"/>
      <c r="M23" s="13"/>
      <c r="N23" s="14"/>
      <c r="O23" s="11"/>
      <c r="P23" s="15"/>
      <c r="Q23" s="16"/>
      <c r="R23" s="2"/>
      <c r="S23" s="12"/>
      <c r="T23" s="17"/>
      <c r="U23" s="2"/>
      <c r="V23" s="18"/>
      <c r="W23" s="8"/>
      <c r="Y23" s="149" t="s">
        <v>23</v>
      </c>
      <c r="Z23" s="152">
        <f t="shared" si="1"/>
        <v>0</v>
      </c>
    </row>
    <row r="24" spans="2:26" ht="18" x14ac:dyDescent="0.35">
      <c r="B24" s="95"/>
      <c r="C24" s="96"/>
      <c r="D24" s="97"/>
      <c r="E24" s="98"/>
      <c r="F24" s="90"/>
      <c r="G24" s="91"/>
      <c r="H24" s="92"/>
      <c r="I24" s="93"/>
      <c r="J24" s="83"/>
      <c r="K24" s="83"/>
      <c r="L24" s="12"/>
      <c r="M24" s="13"/>
      <c r="N24" s="14"/>
      <c r="O24" s="11"/>
      <c r="P24" s="15"/>
      <c r="Q24" s="16"/>
      <c r="R24" s="2"/>
      <c r="S24" s="12"/>
      <c r="T24" s="17"/>
      <c r="U24" s="2"/>
      <c r="V24" s="18"/>
      <c r="W24" s="8"/>
      <c r="Y24" s="149" t="s">
        <v>24</v>
      </c>
      <c r="Z24" s="152">
        <f t="shared" si="1"/>
        <v>0</v>
      </c>
    </row>
    <row r="25" spans="2:26" ht="18" x14ac:dyDescent="0.35">
      <c r="B25" s="95"/>
      <c r="C25" s="96"/>
      <c r="D25" s="97"/>
      <c r="E25" s="98"/>
      <c r="F25" s="90"/>
      <c r="G25" s="91"/>
      <c r="H25" s="92"/>
      <c r="I25" s="93"/>
      <c r="J25" s="83"/>
      <c r="K25" s="83"/>
      <c r="L25" s="12"/>
      <c r="M25" s="13"/>
      <c r="N25" s="14"/>
      <c r="O25" s="11"/>
      <c r="P25" s="15"/>
      <c r="Q25" s="16"/>
      <c r="R25" s="2"/>
      <c r="S25" s="12"/>
      <c r="T25" s="17"/>
      <c r="U25" s="2"/>
      <c r="V25" s="18"/>
      <c r="W25" s="8"/>
      <c r="Y25" s="149" t="s">
        <v>25</v>
      </c>
      <c r="Z25" s="152">
        <f t="shared" si="1"/>
        <v>0</v>
      </c>
    </row>
    <row r="26" spans="2:26" ht="18" x14ac:dyDescent="0.35">
      <c r="B26" s="95"/>
      <c r="C26" s="96"/>
      <c r="D26" s="97"/>
      <c r="E26" s="98"/>
      <c r="F26" s="90"/>
      <c r="G26" s="91"/>
      <c r="H26" s="92"/>
      <c r="I26" s="93"/>
      <c r="J26" s="83"/>
      <c r="K26" s="83"/>
      <c r="L26" s="12"/>
      <c r="M26" s="13"/>
      <c r="N26" s="14"/>
      <c r="O26" s="11"/>
      <c r="P26" s="15"/>
      <c r="Q26" s="16"/>
      <c r="R26" s="2"/>
      <c r="S26" s="12"/>
      <c r="T26" s="17"/>
      <c r="U26" s="2"/>
      <c r="V26" s="18"/>
      <c r="W26" s="8"/>
      <c r="Y26" s="149" t="s">
        <v>98</v>
      </c>
      <c r="Z26" s="152">
        <f t="shared" si="1"/>
        <v>0</v>
      </c>
    </row>
    <row r="27" spans="2:26" ht="18" x14ac:dyDescent="0.35">
      <c r="B27" s="95"/>
      <c r="C27" s="96"/>
      <c r="D27" s="97"/>
      <c r="E27" s="98"/>
      <c r="F27" s="90"/>
      <c r="G27" s="91"/>
      <c r="H27" s="92"/>
      <c r="I27" s="93"/>
      <c r="J27" s="83"/>
      <c r="K27" s="83"/>
      <c r="L27" s="12"/>
      <c r="M27" s="13"/>
      <c r="N27" s="14"/>
      <c r="O27" s="11"/>
      <c r="P27" s="15"/>
      <c r="Q27" s="16"/>
      <c r="R27" s="2"/>
      <c r="S27" s="12"/>
      <c r="T27" s="17"/>
      <c r="U27" s="2"/>
      <c r="V27" s="18"/>
      <c r="W27" s="8"/>
      <c r="Y27" s="149" t="s">
        <v>94</v>
      </c>
      <c r="Z27" s="152">
        <f t="shared" si="1"/>
        <v>0</v>
      </c>
    </row>
    <row r="28" spans="2:26" ht="18" x14ac:dyDescent="0.35">
      <c r="B28" s="95"/>
      <c r="C28" s="96"/>
      <c r="D28" s="97"/>
      <c r="E28" s="98"/>
      <c r="F28" s="90"/>
      <c r="G28" s="91"/>
      <c r="H28" s="92"/>
      <c r="I28" s="93"/>
      <c r="J28" s="83"/>
      <c r="K28" s="83"/>
      <c r="L28" s="12"/>
      <c r="M28" s="13"/>
      <c r="N28" s="14"/>
      <c r="O28" s="11"/>
      <c r="P28" s="15"/>
      <c r="Q28" s="16"/>
      <c r="R28" s="2"/>
      <c r="S28" s="12"/>
      <c r="T28" s="17"/>
      <c r="U28" s="2"/>
      <c r="V28" s="18"/>
      <c r="W28" s="8"/>
      <c r="Y28" s="149" t="s">
        <v>42</v>
      </c>
      <c r="Z28" s="152">
        <f t="shared" si="1"/>
        <v>0</v>
      </c>
    </row>
    <row r="29" spans="2:26" ht="18" x14ac:dyDescent="0.35">
      <c r="B29" s="95"/>
      <c r="C29" s="96"/>
      <c r="D29" s="97"/>
      <c r="E29" s="98"/>
      <c r="F29" s="90"/>
      <c r="G29" s="91"/>
      <c r="H29" s="92"/>
      <c r="I29" s="93"/>
      <c r="J29" s="83"/>
      <c r="K29" s="83"/>
      <c r="L29" s="12"/>
      <c r="M29" s="13"/>
      <c r="N29" s="14"/>
      <c r="O29" s="11"/>
      <c r="P29" s="15"/>
      <c r="Q29" s="16"/>
      <c r="R29" s="2"/>
      <c r="S29" s="12"/>
      <c r="T29" s="17"/>
      <c r="U29" s="2"/>
      <c r="V29" s="18"/>
      <c r="W29" s="8"/>
      <c r="Y29" s="149" t="s">
        <v>39</v>
      </c>
      <c r="Z29" s="152">
        <f t="shared" si="1"/>
        <v>0</v>
      </c>
    </row>
    <row r="30" spans="2:26" ht="18" x14ac:dyDescent="0.35">
      <c r="B30" s="95"/>
      <c r="C30" s="96"/>
      <c r="D30" s="97"/>
      <c r="E30" s="98"/>
      <c r="F30" s="90"/>
      <c r="G30" s="91"/>
      <c r="H30" s="92"/>
      <c r="I30" s="93"/>
      <c r="J30" s="83"/>
      <c r="K30" s="83"/>
      <c r="L30" s="12"/>
      <c r="M30" s="13"/>
      <c r="N30" s="14"/>
      <c r="O30" s="11"/>
      <c r="P30" s="15"/>
      <c r="Q30" s="16"/>
      <c r="R30" s="2"/>
      <c r="S30" s="12"/>
      <c r="T30" s="17"/>
      <c r="U30" s="2"/>
      <c r="V30" s="18"/>
      <c r="W30" s="8"/>
      <c r="Y30" s="149" t="s">
        <v>99</v>
      </c>
      <c r="Z30" s="152">
        <f t="shared" si="1"/>
        <v>0</v>
      </c>
    </row>
    <row r="31" spans="2:26" ht="18" x14ac:dyDescent="0.35">
      <c r="B31" s="95"/>
      <c r="C31" s="96"/>
      <c r="D31" s="97"/>
      <c r="E31" s="98"/>
      <c r="F31" s="90"/>
      <c r="G31" s="91"/>
      <c r="H31" s="92"/>
      <c r="I31" s="93"/>
      <c r="J31" s="83"/>
      <c r="K31" s="83"/>
      <c r="L31" s="12"/>
      <c r="M31" s="13"/>
      <c r="N31" s="14"/>
      <c r="O31" s="11"/>
      <c r="P31" s="15"/>
      <c r="Q31" s="16"/>
      <c r="R31" s="2"/>
      <c r="S31" s="12"/>
      <c r="T31" s="17"/>
      <c r="U31" s="2"/>
      <c r="V31" s="18"/>
      <c r="W31" s="8"/>
      <c r="Y31" s="149" t="s">
        <v>95</v>
      </c>
      <c r="Z31" s="152">
        <f t="shared" si="1"/>
        <v>0</v>
      </c>
    </row>
    <row r="32" spans="2:26" ht="18" x14ac:dyDescent="0.35">
      <c r="B32" s="95"/>
      <c r="C32" s="96"/>
      <c r="D32" s="97"/>
      <c r="E32" s="98"/>
      <c r="F32" s="90"/>
      <c r="G32" s="91"/>
      <c r="H32" s="92"/>
      <c r="I32" s="93"/>
      <c r="J32" s="83"/>
      <c r="K32" s="83"/>
      <c r="L32" s="12"/>
      <c r="M32" s="13"/>
      <c r="N32" s="14"/>
      <c r="O32" s="11"/>
      <c r="P32" s="15"/>
      <c r="Q32" s="16"/>
      <c r="R32" s="2"/>
      <c r="S32" s="12"/>
      <c r="T32" s="17"/>
      <c r="U32" s="2"/>
      <c r="V32" s="18"/>
      <c r="W32" s="8"/>
      <c r="Y32" s="149" t="s">
        <v>97</v>
      </c>
      <c r="Z32" s="152">
        <f t="shared" si="1"/>
        <v>0</v>
      </c>
    </row>
    <row r="33" spans="2:26" ht="18" x14ac:dyDescent="0.35">
      <c r="B33" s="95"/>
      <c r="C33" s="96"/>
      <c r="D33" s="97"/>
      <c r="E33" s="98"/>
      <c r="F33" s="90"/>
      <c r="G33" s="91"/>
      <c r="H33" s="92"/>
      <c r="I33" s="93"/>
      <c r="J33" s="83"/>
      <c r="K33" s="83"/>
      <c r="L33" s="12"/>
      <c r="M33" s="13"/>
      <c r="N33" s="14"/>
      <c r="O33" s="11"/>
      <c r="P33" s="15"/>
      <c r="Q33" s="16"/>
      <c r="R33" s="2"/>
      <c r="S33" s="12"/>
      <c r="T33" s="17"/>
      <c r="U33" s="2"/>
      <c r="V33" s="18"/>
      <c r="W33" s="8"/>
      <c r="Y33" s="149" t="s">
        <v>43</v>
      </c>
      <c r="Z33" s="152">
        <f t="shared" si="1"/>
        <v>0</v>
      </c>
    </row>
    <row r="34" spans="2:26" ht="18" x14ac:dyDescent="0.35">
      <c r="B34" s="95"/>
      <c r="C34" s="96"/>
      <c r="D34" s="97"/>
      <c r="E34" s="98"/>
      <c r="F34" s="90"/>
      <c r="G34" s="91"/>
      <c r="H34" s="92"/>
      <c r="I34" s="93"/>
      <c r="J34" s="83"/>
      <c r="K34" s="83"/>
      <c r="L34" s="12"/>
      <c r="M34" s="13"/>
      <c r="N34" s="14"/>
      <c r="O34" s="11"/>
      <c r="P34" s="15"/>
      <c r="Q34" s="16"/>
      <c r="R34" s="2"/>
      <c r="S34" s="12"/>
      <c r="T34" s="17"/>
      <c r="U34" s="2"/>
      <c r="V34" s="18"/>
      <c r="W34" s="8"/>
      <c r="Y34" s="149" t="s">
        <v>32</v>
      </c>
      <c r="Z34" s="152">
        <f t="shared" si="1"/>
        <v>0</v>
      </c>
    </row>
    <row r="35" spans="2:26" ht="18" x14ac:dyDescent="0.35">
      <c r="B35" s="95"/>
      <c r="C35" s="96"/>
      <c r="D35" s="97"/>
      <c r="E35" s="98"/>
      <c r="F35" s="90"/>
      <c r="G35" s="91"/>
      <c r="H35" s="92"/>
      <c r="I35" s="93"/>
      <c r="J35" s="83"/>
      <c r="K35" s="83"/>
      <c r="L35" s="12"/>
      <c r="M35" s="13"/>
      <c r="N35" s="14"/>
      <c r="O35" s="11"/>
      <c r="P35" s="15"/>
      <c r="Q35" s="16"/>
      <c r="R35" s="2"/>
      <c r="S35" s="12"/>
      <c r="T35" s="17"/>
      <c r="U35" s="2"/>
      <c r="V35" s="18"/>
      <c r="W35" s="8"/>
      <c r="Y35" s="149" t="s">
        <v>33</v>
      </c>
      <c r="Z35" s="152">
        <f t="shared" si="1"/>
        <v>0</v>
      </c>
    </row>
    <row r="36" spans="2:26" ht="18" x14ac:dyDescent="0.35">
      <c r="B36" s="95"/>
      <c r="C36" s="96"/>
      <c r="D36" s="97"/>
      <c r="E36" s="98"/>
      <c r="F36" s="90"/>
      <c r="G36" s="91"/>
      <c r="H36" s="92"/>
      <c r="I36" s="93"/>
      <c r="J36" s="83"/>
      <c r="K36" s="83"/>
      <c r="L36" s="12"/>
      <c r="M36" s="13"/>
      <c r="N36" s="14"/>
      <c r="O36" s="11"/>
      <c r="P36" s="15"/>
      <c r="Q36" s="16"/>
      <c r="R36" s="2"/>
      <c r="S36" s="12"/>
      <c r="T36" s="17"/>
      <c r="U36" s="2"/>
      <c r="V36" s="18"/>
      <c r="W36" s="8"/>
      <c r="Y36" s="149" t="s">
        <v>30</v>
      </c>
      <c r="Z36" s="152">
        <f t="shared" si="1"/>
        <v>0</v>
      </c>
    </row>
    <row r="37" spans="2:26" ht="18" x14ac:dyDescent="0.35">
      <c r="B37" s="95"/>
      <c r="C37" s="96"/>
      <c r="D37" s="97"/>
      <c r="E37" s="98"/>
      <c r="F37" s="90"/>
      <c r="G37" s="91"/>
      <c r="H37" s="92"/>
      <c r="I37" s="93"/>
      <c r="J37" s="83"/>
      <c r="K37" s="83"/>
      <c r="L37" s="12"/>
      <c r="M37" s="13"/>
      <c r="N37" s="14"/>
      <c r="O37" s="11"/>
      <c r="P37" s="15"/>
      <c r="Q37" s="16"/>
      <c r="R37" s="2"/>
      <c r="S37" s="12"/>
      <c r="T37" s="17"/>
      <c r="U37" s="2"/>
      <c r="V37" s="18"/>
      <c r="W37" s="8"/>
      <c r="Y37" s="149" t="s">
        <v>31</v>
      </c>
      <c r="Z37" s="152">
        <f t="shared" si="1"/>
        <v>0</v>
      </c>
    </row>
    <row r="38" spans="2:26" ht="18" x14ac:dyDescent="0.35">
      <c r="B38" s="95"/>
      <c r="C38" s="96"/>
      <c r="D38" s="97"/>
      <c r="E38" s="98"/>
      <c r="F38" s="90"/>
      <c r="G38" s="91"/>
      <c r="H38" s="92"/>
      <c r="I38" s="93"/>
      <c r="J38" s="83"/>
      <c r="K38" s="83"/>
      <c r="L38" s="12"/>
      <c r="M38" s="13"/>
      <c r="N38" s="14"/>
      <c r="O38" s="11"/>
      <c r="P38" s="15"/>
      <c r="Q38" s="16"/>
      <c r="R38" s="2"/>
      <c r="S38" s="12"/>
      <c r="T38" s="17"/>
      <c r="U38" s="2"/>
      <c r="V38" s="18"/>
      <c r="W38" s="8"/>
      <c r="Y38" s="149" t="s">
        <v>84</v>
      </c>
      <c r="Z38" s="152">
        <f t="shared" si="1"/>
        <v>0</v>
      </c>
    </row>
    <row r="39" spans="2:26" ht="18" x14ac:dyDescent="0.35">
      <c r="B39" s="95"/>
      <c r="C39" s="96"/>
      <c r="D39" s="97"/>
      <c r="E39" s="98"/>
      <c r="F39" s="90"/>
      <c r="G39" s="91"/>
      <c r="H39" s="92"/>
      <c r="I39" s="93"/>
      <c r="J39" s="83"/>
      <c r="K39" s="83"/>
      <c r="L39" s="12"/>
      <c r="M39" s="13"/>
      <c r="N39" s="14"/>
      <c r="O39" s="11"/>
      <c r="P39" s="15"/>
      <c r="Q39" s="16"/>
      <c r="R39" s="2"/>
      <c r="S39" s="12"/>
      <c r="T39" s="17"/>
      <c r="U39" s="2"/>
      <c r="V39" s="18"/>
      <c r="W39" s="8"/>
      <c r="Y39" s="149" t="s">
        <v>85</v>
      </c>
      <c r="Z39" s="152">
        <f t="shared" si="1"/>
        <v>0</v>
      </c>
    </row>
    <row r="40" spans="2:26" ht="18" x14ac:dyDescent="0.35">
      <c r="B40" s="95"/>
      <c r="C40" s="96"/>
      <c r="D40" s="97"/>
      <c r="E40" s="98"/>
      <c r="F40" s="90"/>
      <c r="G40" s="91"/>
      <c r="H40" s="92"/>
      <c r="I40" s="93"/>
      <c r="J40" s="83"/>
      <c r="K40" s="83"/>
      <c r="L40" s="12"/>
      <c r="M40" s="13"/>
      <c r="N40" s="14"/>
      <c r="O40" s="11"/>
      <c r="P40" s="15"/>
      <c r="Q40" s="16"/>
      <c r="R40" s="2"/>
      <c r="S40" s="12"/>
      <c r="T40" s="17"/>
      <c r="U40" s="2"/>
      <c r="V40" s="18"/>
      <c r="W40" s="8"/>
      <c r="Y40" s="149" t="s">
        <v>86</v>
      </c>
      <c r="Z40" s="152">
        <f t="shared" si="1"/>
        <v>0</v>
      </c>
    </row>
    <row r="41" spans="2:26" ht="18" x14ac:dyDescent="0.35">
      <c r="B41" s="95"/>
      <c r="C41" s="96"/>
      <c r="D41" s="97"/>
      <c r="E41" s="98"/>
      <c r="F41" s="90"/>
      <c r="G41" s="91"/>
      <c r="H41" s="92"/>
      <c r="I41" s="93"/>
      <c r="J41" s="83"/>
      <c r="K41" s="83"/>
      <c r="L41" s="12"/>
      <c r="M41" s="13"/>
      <c r="N41" s="14"/>
      <c r="O41" s="11"/>
      <c r="P41" s="15"/>
      <c r="Q41" s="16"/>
      <c r="R41" s="2"/>
      <c r="S41" s="12"/>
      <c r="T41" s="17"/>
      <c r="U41" s="2"/>
      <c r="V41" s="18"/>
      <c r="W41" s="8"/>
      <c r="Y41" s="149" t="s">
        <v>87</v>
      </c>
      <c r="Z41" s="152">
        <f t="shared" si="1"/>
        <v>0</v>
      </c>
    </row>
    <row r="42" spans="2:26" ht="18" x14ac:dyDescent="0.35">
      <c r="B42" s="95"/>
      <c r="C42" s="96"/>
      <c r="D42" s="97"/>
      <c r="E42" s="98"/>
      <c r="F42" s="90"/>
      <c r="G42" s="91"/>
      <c r="H42" s="92"/>
      <c r="I42" s="93"/>
      <c r="J42" s="83"/>
      <c r="K42" s="83"/>
      <c r="L42" s="12"/>
      <c r="M42" s="13"/>
      <c r="N42" s="14"/>
      <c r="O42" s="11"/>
      <c r="P42" s="15"/>
      <c r="Q42" s="16"/>
      <c r="R42" s="2"/>
      <c r="S42" s="12"/>
      <c r="T42" s="17"/>
      <c r="U42" s="2"/>
      <c r="V42" s="18"/>
      <c r="W42" s="8"/>
      <c r="Y42" s="149" t="s">
        <v>46</v>
      </c>
      <c r="Z42" s="152">
        <f t="shared" si="1"/>
        <v>0</v>
      </c>
    </row>
    <row r="43" spans="2:26" ht="18" x14ac:dyDescent="0.35">
      <c r="B43" s="95"/>
      <c r="C43" s="96"/>
      <c r="D43" s="97"/>
      <c r="E43" s="98"/>
      <c r="F43" s="90"/>
      <c r="G43" s="91"/>
      <c r="H43" s="92"/>
      <c r="I43" s="93"/>
      <c r="J43" s="83"/>
      <c r="K43" s="83"/>
      <c r="L43" s="12"/>
      <c r="M43" s="13"/>
      <c r="N43" s="14"/>
      <c r="O43" s="11"/>
      <c r="P43" s="15"/>
      <c r="Q43" s="16"/>
      <c r="R43" s="2"/>
      <c r="S43" s="12"/>
      <c r="T43" s="17"/>
      <c r="U43" s="2"/>
      <c r="V43" s="18"/>
      <c r="W43" s="8"/>
      <c r="Y43" s="149" t="s">
        <v>47</v>
      </c>
      <c r="Z43" s="152">
        <f t="shared" si="1"/>
        <v>0</v>
      </c>
    </row>
    <row r="44" spans="2:26" ht="18" x14ac:dyDescent="0.35">
      <c r="B44" s="95"/>
      <c r="C44" s="96"/>
      <c r="D44" s="97"/>
      <c r="E44" s="98"/>
      <c r="F44" s="90"/>
      <c r="G44" s="91"/>
      <c r="H44" s="92"/>
      <c r="I44" s="93"/>
      <c r="J44" s="83"/>
      <c r="K44" s="83"/>
      <c r="L44" s="12"/>
      <c r="M44" s="13"/>
      <c r="N44" s="14"/>
      <c r="O44" s="11"/>
      <c r="P44" s="15"/>
      <c r="Q44" s="16"/>
      <c r="R44" s="2"/>
      <c r="S44" s="12"/>
      <c r="T44" s="17"/>
      <c r="U44" s="2"/>
      <c r="V44" s="18"/>
      <c r="W44" s="8"/>
      <c r="Y44" s="149" t="s">
        <v>48</v>
      </c>
      <c r="Z44" s="152">
        <f t="shared" si="1"/>
        <v>0</v>
      </c>
    </row>
    <row r="45" spans="2:26" ht="18" x14ac:dyDescent="0.35">
      <c r="B45" s="95"/>
      <c r="C45" s="96"/>
      <c r="D45" s="97"/>
      <c r="E45" s="98"/>
      <c r="F45" s="90"/>
      <c r="G45" s="91"/>
      <c r="H45" s="92"/>
      <c r="I45" s="93"/>
      <c r="J45" s="83"/>
      <c r="K45" s="83"/>
      <c r="L45" s="12"/>
      <c r="M45" s="13"/>
      <c r="N45" s="14"/>
      <c r="O45" s="11"/>
      <c r="P45" s="15"/>
      <c r="Q45" s="16"/>
      <c r="R45" s="2"/>
      <c r="S45" s="12"/>
      <c r="T45" s="17"/>
      <c r="U45" s="2"/>
      <c r="V45" s="18"/>
      <c r="W45" s="8"/>
      <c r="Y45" s="149" t="s">
        <v>83</v>
      </c>
      <c r="Z45" s="152">
        <f t="shared" si="1"/>
        <v>0</v>
      </c>
    </row>
    <row r="46" spans="2:26" ht="18" x14ac:dyDescent="0.35">
      <c r="B46" s="95"/>
      <c r="C46" s="96"/>
      <c r="D46" s="97"/>
      <c r="E46" s="98"/>
      <c r="F46" s="90"/>
      <c r="G46" s="91"/>
      <c r="H46" s="92"/>
      <c r="I46" s="93"/>
      <c r="J46" s="83"/>
      <c r="K46" s="83"/>
      <c r="L46" s="12"/>
      <c r="M46" s="13"/>
      <c r="N46" s="14"/>
      <c r="O46" s="11"/>
      <c r="P46" s="15"/>
      <c r="Q46" s="16"/>
      <c r="R46" s="2"/>
      <c r="S46" s="12"/>
      <c r="T46" s="17"/>
      <c r="U46" s="2"/>
      <c r="V46" s="18"/>
      <c r="W46" s="8"/>
      <c r="Y46" s="149" t="s">
        <v>96</v>
      </c>
      <c r="Z46" s="152">
        <f t="shared" si="1"/>
        <v>0</v>
      </c>
    </row>
    <row r="47" spans="2:26" ht="18" x14ac:dyDescent="0.35">
      <c r="B47" s="95"/>
      <c r="C47" s="96"/>
      <c r="D47" s="97"/>
      <c r="E47" s="98"/>
      <c r="F47" s="90"/>
      <c r="G47" s="91"/>
      <c r="H47" s="92"/>
      <c r="I47" s="93"/>
      <c r="J47" s="83"/>
      <c r="K47" s="83"/>
      <c r="L47" s="12"/>
      <c r="M47" s="13"/>
      <c r="N47" s="14"/>
      <c r="O47" s="11"/>
      <c r="P47" s="15"/>
      <c r="Q47" s="16"/>
      <c r="R47" s="2"/>
      <c r="S47" s="12"/>
      <c r="T47" s="17"/>
      <c r="U47" s="2"/>
      <c r="V47" s="18"/>
      <c r="W47" s="8"/>
      <c r="Y47" s="149" t="s">
        <v>73</v>
      </c>
      <c r="Z47" s="152">
        <f t="shared" si="1"/>
        <v>0</v>
      </c>
    </row>
    <row r="48" spans="2:26" ht="18" x14ac:dyDescent="0.35">
      <c r="B48" s="95"/>
      <c r="C48" s="96"/>
      <c r="D48" s="97"/>
      <c r="E48" s="98"/>
      <c r="F48" s="90"/>
      <c r="G48" s="91"/>
      <c r="H48" s="92"/>
      <c r="I48" s="93"/>
      <c r="J48" s="83"/>
      <c r="K48" s="83"/>
      <c r="L48" s="12"/>
      <c r="M48" s="13"/>
      <c r="N48" s="14"/>
      <c r="O48" s="11"/>
      <c r="P48" s="15"/>
      <c r="Q48" s="16"/>
      <c r="R48" s="2"/>
      <c r="S48" s="12"/>
      <c r="T48" s="17"/>
      <c r="U48" s="2"/>
      <c r="V48" s="18"/>
      <c r="W48" s="8"/>
      <c r="Y48" s="149" t="s">
        <v>74</v>
      </c>
      <c r="Z48" s="152">
        <f t="shared" si="1"/>
        <v>0</v>
      </c>
    </row>
    <row r="49" spans="2:26" ht="18" x14ac:dyDescent="0.35">
      <c r="B49" s="95"/>
      <c r="C49" s="96"/>
      <c r="D49" s="97"/>
      <c r="E49" s="98"/>
      <c r="F49" s="90"/>
      <c r="G49" s="91"/>
      <c r="H49" s="92"/>
      <c r="I49" s="93"/>
      <c r="J49" s="83"/>
      <c r="K49" s="83"/>
      <c r="L49" s="12"/>
      <c r="M49" s="13"/>
      <c r="N49" s="14"/>
      <c r="O49" s="11"/>
      <c r="P49" s="15"/>
      <c r="Q49" s="16"/>
      <c r="R49" s="2"/>
      <c r="S49" s="12"/>
      <c r="T49" s="17"/>
      <c r="U49" s="2"/>
      <c r="V49" s="18"/>
      <c r="W49" s="8"/>
      <c r="Y49" s="149" t="s">
        <v>70</v>
      </c>
      <c r="Z49" s="152">
        <f t="shared" si="1"/>
        <v>0</v>
      </c>
    </row>
    <row r="50" spans="2:26" ht="18" x14ac:dyDescent="0.35">
      <c r="B50" s="95"/>
      <c r="C50" s="96"/>
      <c r="D50" s="97"/>
      <c r="E50" s="98"/>
      <c r="F50" s="90"/>
      <c r="G50" s="91"/>
      <c r="H50" s="92"/>
      <c r="I50" s="93"/>
      <c r="J50" s="83"/>
      <c r="K50" s="83"/>
      <c r="L50" s="12"/>
      <c r="M50" s="13"/>
      <c r="N50" s="14"/>
      <c r="O50" s="11"/>
      <c r="P50" s="15"/>
      <c r="Q50" s="16"/>
      <c r="R50" s="2"/>
      <c r="S50" s="12"/>
      <c r="T50" s="17"/>
      <c r="U50" s="2"/>
      <c r="V50" s="18"/>
      <c r="W50" s="8"/>
      <c r="Y50" s="149" t="s">
        <v>64</v>
      </c>
      <c r="Z50" s="152">
        <f t="shared" si="1"/>
        <v>0</v>
      </c>
    </row>
    <row r="51" spans="2:26" ht="18" x14ac:dyDescent="0.35">
      <c r="B51" s="95"/>
      <c r="C51" s="96"/>
      <c r="D51" s="97"/>
      <c r="E51" s="98"/>
      <c r="F51" s="90"/>
      <c r="G51" s="91"/>
      <c r="H51" s="92"/>
      <c r="I51" s="93"/>
      <c r="J51" s="83"/>
      <c r="K51" s="83"/>
      <c r="L51" s="12"/>
      <c r="M51" s="13"/>
      <c r="N51" s="14"/>
      <c r="O51" s="11"/>
      <c r="P51" s="15"/>
      <c r="Q51" s="16"/>
      <c r="R51" s="2"/>
      <c r="S51" s="12"/>
      <c r="T51" s="17"/>
      <c r="U51" s="2"/>
      <c r="V51" s="18"/>
      <c r="W51" s="8"/>
      <c r="Y51" s="149" t="s">
        <v>65</v>
      </c>
      <c r="Z51" s="152">
        <f t="shared" si="1"/>
        <v>0</v>
      </c>
    </row>
    <row r="52" spans="2:26" ht="18" x14ac:dyDescent="0.35">
      <c r="B52" s="95"/>
      <c r="C52" s="96"/>
      <c r="D52" s="97"/>
      <c r="E52" s="98"/>
      <c r="F52" s="90"/>
      <c r="G52" s="91"/>
      <c r="H52" s="92"/>
      <c r="I52" s="93"/>
      <c r="J52" s="83"/>
      <c r="K52" s="83"/>
      <c r="L52" s="12"/>
      <c r="M52" s="13"/>
      <c r="N52" s="14"/>
      <c r="O52" s="11"/>
      <c r="P52" s="15"/>
      <c r="Q52" s="16"/>
      <c r="R52" s="2"/>
      <c r="S52" s="12"/>
      <c r="T52" s="17"/>
      <c r="U52" s="2"/>
      <c r="V52" s="18"/>
      <c r="W52" s="8"/>
      <c r="Y52" s="149" t="s">
        <v>66</v>
      </c>
      <c r="Z52" s="152">
        <f t="shared" si="1"/>
        <v>0</v>
      </c>
    </row>
    <row r="53" spans="2:26" ht="18" x14ac:dyDescent="0.35">
      <c r="B53" s="95"/>
      <c r="C53" s="96"/>
      <c r="D53" s="97"/>
      <c r="E53" s="98"/>
      <c r="F53" s="90"/>
      <c r="G53" s="91"/>
      <c r="H53" s="92"/>
      <c r="I53" s="93"/>
      <c r="J53" s="83"/>
      <c r="K53" s="83"/>
      <c r="L53" s="12"/>
      <c r="M53" s="13"/>
      <c r="N53" s="14"/>
      <c r="O53" s="11"/>
      <c r="P53" s="15"/>
      <c r="Q53" s="16"/>
      <c r="R53" s="2"/>
      <c r="S53" s="12"/>
      <c r="T53" s="17"/>
      <c r="U53" s="2"/>
      <c r="V53" s="18"/>
      <c r="W53" s="8"/>
      <c r="Y53" s="149" t="s">
        <v>100</v>
      </c>
      <c r="Z53" s="152">
        <f t="shared" si="1"/>
        <v>0</v>
      </c>
    </row>
    <row r="54" spans="2:26" ht="18" x14ac:dyDescent="0.35">
      <c r="B54" s="95"/>
      <c r="C54" s="96"/>
      <c r="D54" s="97"/>
      <c r="E54" s="98"/>
      <c r="F54" s="90"/>
      <c r="G54" s="91"/>
      <c r="H54" s="92"/>
      <c r="I54" s="93"/>
      <c r="J54" s="83"/>
      <c r="K54" s="83"/>
      <c r="L54" s="12"/>
      <c r="M54" s="13"/>
      <c r="N54" s="14"/>
      <c r="O54" s="11"/>
      <c r="P54" s="15"/>
      <c r="Q54" s="16"/>
      <c r="R54" s="2"/>
      <c r="S54" s="12"/>
      <c r="T54" s="17"/>
      <c r="U54" s="2"/>
      <c r="V54" s="18"/>
      <c r="W54" s="8"/>
      <c r="Y54" s="149" t="s">
        <v>101</v>
      </c>
      <c r="Z54" s="152">
        <f t="shared" si="1"/>
        <v>0</v>
      </c>
    </row>
    <row r="55" spans="2:26" ht="18" x14ac:dyDescent="0.35">
      <c r="B55" s="95"/>
      <c r="C55" s="96"/>
      <c r="D55" s="97"/>
      <c r="E55" s="98"/>
      <c r="F55" s="90"/>
      <c r="G55" s="91"/>
      <c r="H55" s="92"/>
      <c r="I55" s="93"/>
      <c r="J55" s="83"/>
      <c r="K55" s="83"/>
      <c r="L55" s="12"/>
      <c r="M55" s="13"/>
      <c r="N55" s="14"/>
      <c r="O55" s="11"/>
      <c r="P55" s="15"/>
      <c r="Q55" s="16"/>
      <c r="R55" s="2"/>
      <c r="S55" s="12"/>
      <c r="T55" s="17"/>
      <c r="U55" s="2"/>
      <c r="V55" s="18"/>
      <c r="W55" s="8"/>
      <c r="Y55" s="149" t="s">
        <v>102</v>
      </c>
      <c r="Z55" s="152">
        <f t="shared" si="1"/>
        <v>0</v>
      </c>
    </row>
    <row r="56" spans="2:26" ht="18" x14ac:dyDescent="0.35">
      <c r="B56" s="95"/>
      <c r="C56" s="96"/>
      <c r="D56" s="97"/>
      <c r="E56" s="98"/>
      <c r="F56" s="90"/>
      <c r="G56" s="91"/>
      <c r="H56" s="92"/>
      <c r="I56" s="93"/>
      <c r="J56" s="83"/>
      <c r="K56" s="83"/>
      <c r="L56" s="12"/>
      <c r="M56" s="13"/>
      <c r="N56" s="14"/>
      <c r="O56" s="11"/>
      <c r="P56" s="15"/>
      <c r="Q56" s="16"/>
      <c r="R56" s="2"/>
      <c r="S56" s="12"/>
      <c r="T56" s="17"/>
      <c r="U56" s="2"/>
      <c r="V56" s="18"/>
      <c r="W56" s="8"/>
      <c r="Y56" s="149" t="s">
        <v>26</v>
      </c>
      <c r="Z56" s="152">
        <f t="shared" si="1"/>
        <v>0</v>
      </c>
    </row>
    <row r="57" spans="2:26" ht="18" x14ac:dyDescent="0.35">
      <c r="B57" s="95"/>
      <c r="C57" s="96"/>
      <c r="D57" s="97"/>
      <c r="E57" s="98"/>
      <c r="F57" s="90"/>
      <c r="G57" s="91"/>
      <c r="H57" s="92"/>
      <c r="I57" s="93"/>
      <c r="J57" s="83"/>
      <c r="K57" s="83"/>
      <c r="L57" s="12"/>
      <c r="M57" s="13"/>
      <c r="N57" s="14"/>
      <c r="O57" s="11"/>
      <c r="P57" s="15"/>
      <c r="Q57" s="16"/>
      <c r="R57" s="2"/>
      <c r="S57" s="12"/>
      <c r="T57" s="17"/>
      <c r="U57" s="2"/>
      <c r="V57" s="18"/>
      <c r="W57" s="8"/>
      <c r="Y57" s="149" t="s">
        <v>27</v>
      </c>
      <c r="Z57" s="152">
        <f t="shared" si="1"/>
        <v>0</v>
      </c>
    </row>
    <row r="58" spans="2:26" ht="18" x14ac:dyDescent="0.35">
      <c r="B58" s="95"/>
      <c r="C58" s="96"/>
      <c r="D58" s="97"/>
      <c r="E58" s="98"/>
      <c r="F58" s="90"/>
      <c r="G58" s="91"/>
      <c r="H58" s="92"/>
      <c r="I58" s="93"/>
      <c r="J58" s="83"/>
      <c r="K58" s="83"/>
      <c r="L58" s="12"/>
      <c r="M58" s="13"/>
      <c r="N58" s="14"/>
      <c r="O58" s="11"/>
      <c r="P58" s="15"/>
      <c r="Q58" s="16"/>
      <c r="R58" s="2"/>
      <c r="S58" s="12"/>
      <c r="T58" s="17"/>
      <c r="U58" s="2"/>
      <c r="V58" s="18"/>
      <c r="W58" s="8"/>
      <c r="Y58" s="149" t="s">
        <v>28</v>
      </c>
      <c r="Z58" s="152">
        <f t="shared" si="1"/>
        <v>0</v>
      </c>
    </row>
    <row r="59" spans="2:26" ht="18" x14ac:dyDescent="0.35">
      <c r="B59" s="95"/>
      <c r="C59" s="96"/>
      <c r="D59" s="97"/>
      <c r="E59" s="98"/>
      <c r="F59" s="90"/>
      <c r="G59" s="91"/>
      <c r="H59" s="92"/>
      <c r="I59" s="93"/>
      <c r="J59" s="83"/>
      <c r="K59" s="83"/>
      <c r="L59" s="12"/>
      <c r="M59" s="13"/>
      <c r="N59" s="14"/>
      <c r="O59" s="11"/>
      <c r="P59" s="15"/>
      <c r="Q59" s="16"/>
      <c r="R59" s="2"/>
      <c r="S59" s="12"/>
      <c r="T59" s="17"/>
      <c r="U59" s="2"/>
      <c r="V59" s="18"/>
      <c r="W59" s="8"/>
      <c r="Y59" s="149" t="s">
        <v>29</v>
      </c>
      <c r="Z59" s="152">
        <f t="shared" si="1"/>
        <v>0</v>
      </c>
    </row>
    <row r="60" spans="2:26" ht="18" x14ac:dyDescent="0.35">
      <c r="B60" s="95"/>
      <c r="C60" s="96"/>
      <c r="D60" s="97"/>
      <c r="E60" s="98"/>
      <c r="F60" s="90"/>
      <c r="G60" s="91"/>
      <c r="H60" s="92"/>
      <c r="I60" s="93"/>
      <c r="J60" s="83"/>
      <c r="K60" s="83"/>
      <c r="L60" s="12"/>
      <c r="M60" s="13"/>
      <c r="N60" s="14"/>
      <c r="O60" s="11"/>
      <c r="P60" s="15"/>
      <c r="Q60" s="16"/>
      <c r="R60" s="2"/>
      <c r="S60" s="12"/>
      <c r="T60" s="17"/>
      <c r="U60" s="2"/>
      <c r="V60" s="18"/>
      <c r="W60" s="8"/>
      <c r="Y60" s="149" t="s">
        <v>34</v>
      </c>
      <c r="Z60" s="152">
        <f t="shared" si="1"/>
        <v>0</v>
      </c>
    </row>
    <row r="61" spans="2:26" ht="18" x14ac:dyDescent="0.35">
      <c r="B61" s="95"/>
      <c r="C61" s="96"/>
      <c r="D61" s="97"/>
      <c r="E61" s="98"/>
      <c r="F61" s="90"/>
      <c r="G61" s="91"/>
      <c r="H61" s="92"/>
      <c r="I61" s="93"/>
      <c r="J61" s="83"/>
      <c r="K61" s="83"/>
      <c r="L61" s="12"/>
      <c r="M61" s="13"/>
      <c r="N61" s="14"/>
      <c r="O61" s="11"/>
      <c r="P61" s="15"/>
      <c r="Q61" s="16"/>
      <c r="R61" s="2"/>
      <c r="S61" s="12"/>
      <c r="T61" s="17"/>
      <c r="U61" s="2"/>
      <c r="V61" s="18"/>
      <c r="W61" s="8"/>
      <c r="Y61" s="149" t="s">
        <v>35</v>
      </c>
      <c r="Z61" s="152">
        <f t="shared" si="1"/>
        <v>0</v>
      </c>
    </row>
    <row r="62" spans="2:26" ht="18" x14ac:dyDescent="0.35">
      <c r="B62" s="95"/>
      <c r="C62" s="96"/>
      <c r="D62" s="97"/>
      <c r="E62" s="98"/>
      <c r="F62" s="90"/>
      <c r="G62" s="91"/>
      <c r="H62" s="92"/>
      <c r="I62" s="93"/>
      <c r="J62" s="83"/>
      <c r="K62" s="83"/>
      <c r="L62" s="12"/>
      <c r="M62" s="13"/>
      <c r="N62" s="14"/>
      <c r="O62" s="11"/>
      <c r="P62" s="15"/>
      <c r="Q62" s="16"/>
      <c r="R62" s="2"/>
      <c r="S62" s="12"/>
      <c r="T62" s="17"/>
      <c r="U62" s="2"/>
      <c r="V62" s="18"/>
      <c r="W62" s="8"/>
      <c r="Y62" s="149" t="s">
        <v>36</v>
      </c>
      <c r="Z62" s="152">
        <f t="shared" si="1"/>
        <v>0</v>
      </c>
    </row>
    <row r="63" spans="2:26" ht="18" x14ac:dyDescent="0.35">
      <c r="B63" s="95"/>
      <c r="C63" s="96"/>
      <c r="D63" s="97"/>
      <c r="E63" s="98"/>
      <c r="F63" s="90"/>
      <c r="G63" s="91"/>
      <c r="H63" s="92"/>
      <c r="I63" s="93"/>
      <c r="J63" s="83"/>
      <c r="K63" s="83"/>
      <c r="L63" s="12"/>
      <c r="M63" s="13"/>
      <c r="N63" s="14"/>
      <c r="O63" s="11"/>
      <c r="P63" s="15"/>
      <c r="Q63" s="16"/>
      <c r="R63" s="2"/>
      <c r="S63" s="12"/>
      <c r="T63" s="17"/>
      <c r="U63" s="2"/>
      <c r="V63" s="18"/>
      <c r="W63" s="8"/>
      <c r="Y63" s="149" t="s">
        <v>37</v>
      </c>
      <c r="Z63" s="152">
        <f t="shared" si="1"/>
        <v>0</v>
      </c>
    </row>
    <row r="64" spans="2:26" ht="18" x14ac:dyDescent="0.35">
      <c r="B64" s="95"/>
      <c r="C64" s="96"/>
      <c r="D64" s="97"/>
      <c r="E64" s="98"/>
      <c r="F64" s="90"/>
      <c r="G64" s="91"/>
      <c r="H64" s="92"/>
      <c r="I64" s="93"/>
      <c r="J64" s="83"/>
      <c r="K64" s="83"/>
      <c r="L64" s="12"/>
      <c r="M64" s="13"/>
      <c r="N64" s="14"/>
      <c r="O64" s="11"/>
      <c r="P64" s="15"/>
      <c r="Q64" s="16"/>
      <c r="R64" s="2"/>
      <c r="S64" s="12"/>
      <c r="T64" s="17"/>
      <c r="U64" s="2"/>
      <c r="V64" s="18"/>
      <c r="W64" s="8"/>
      <c r="Y64" s="149" t="s">
        <v>38</v>
      </c>
      <c r="Z64" s="152">
        <f t="shared" si="1"/>
        <v>0</v>
      </c>
    </row>
    <row r="65" spans="2:26" ht="18" x14ac:dyDescent="0.35">
      <c r="B65" s="95"/>
      <c r="C65" s="96"/>
      <c r="D65" s="97"/>
      <c r="E65" s="98"/>
      <c r="F65" s="99"/>
      <c r="G65" s="100"/>
      <c r="H65" s="101"/>
      <c r="I65" s="102"/>
      <c r="J65" s="83"/>
      <c r="K65" s="83"/>
      <c r="L65" s="12"/>
      <c r="M65" s="13"/>
      <c r="N65" s="14"/>
      <c r="O65" s="11"/>
      <c r="P65" s="15"/>
      <c r="Q65" s="16"/>
      <c r="R65" s="2"/>
      <c r="S65" s="12"/>
      <c r="T65" s="17"/>
      <c r="U65" s="2"/>
      <c r="V65" s="18"/>
      <c r="W65" s="8"/>
      <c r="Y65" s="149" t="s">
        <v>40</v>
      </c>
      <c r="Z65" s="152">
        <f t="shared" si="1"/>
        <v>0</v>
      </c>
    </row>
    <row r="66" spans="2:26" ht="18" x14ac:dyDescent="0.35">
      <c r="B66" s="95"/>
      <c r="C66" s="96"/>
      <c r="D66" s="97"/>
      <c r="E66" s="98"/>
      <c r="F66" s="90"/>
      <c r="G66" s="91"/>
      <c r="H66" s="92"/>
      <c r="I66" s="93"/>
      <c r="J66" s="83"/>
      <c r="K66" s="83"/>
      <c r="L66" s="12"/>
      <c r="M66" s="13"/>
      <c r="N66" s="14"/>
      <c r="O66" s="11"/>
      <c r="P66" s="15"/>
      <c r="Q66" s="16"/>
      <c r="R66" s="2"/>
      <c r="S66" s="12"/>
      <c r="T66" s="17"/>
      <c r="U66" s="2"/>
      <c r="V66" s="18"/>
      <c r="W66" s="8"/>
      <c r="Y66" s="149" t="s">
        <v>41</v>
      </c>
      <c r="Z66" s="152">
        <f t="shared" si="1"/>
        <v>0</v>
      </c>
    </row>
    <row r="67" spans="2:26" ht="18" x14ac:dyDescent="0.35">
      <c r="B67" s="95"/>
      <c r="C67" s="96"/>
      <c r="D67" s="97"/>
      <c r="E67" s="98"/>
      <c r="F67" s="103"/>
      <c r="G67" s="94"/>
      <c r="H67" s="104"/>
      <c r="I67" s="105"/>
      <c r="J67" s="83"/>
      <c r="K67" s="83"/>
      <c r="L67" s="12"/>
      <c r="M67" s="13"/>
      <c r="N67" s="14"/>
      <c r="O67" s="11"/>
      <c r="P67" s="15"/>
      <c r="Q67" s="16"/>
      <c r="R67" s="2"/>
      <c r="S67" s="12"/>
      <c r="T67" s="17"/>
      <c r="U67" s="2"/>
      <c r="V67" s="18"/>
      <c r="W67" s="8"/>
      <c r="Y67" s="149" t="s">
        <v>69</v>
      </c>
      <c r="Z67" s="152">
        <f t="shared" si="1"/>
        <v>0</v>
      </c>
    </row>
    <row r="68" spans="2:26" ht="18" x14ac:dyDescent="0.35">
      <c r="B68" s="95"/>
      <c r="C68" s="96"/>
      <c r="D68" s="97"/>
      <c r="E68" s="98"/>
      <c r="F68" s="90"/>
      <c r="G68" s="91"/>
      <c r="H68" s="92"/>
      <c r="I68" s="105"/>
      <c r="J68" s="83"/>
      <c r="K68" s="83"/>
      <c r="L68" s="12"/>
      <c r="M68" s="13"/>
      <c r="N68" s="14"/>
      <c r="O68" s="11"/>
      <c r="P68" s="15"/>
      <c r="Q68" s="16"/>
      <c r="R68" s="2"/>
      <c r="S68" s="12"/>
      <c r="T68" s="17"/>
      <c r="U68" s="2"/>
      <c r="V68" s="18"/>
      <c r="W68" s="8"/>
      <c r="Y68" s="149" t="s">
        <v>108</v>
      </c>
      <c r="Z68" s="152">
        <f t="shared" si="1"/>
        <v>0</v>
      </c>
    </row>
    <row r="69" spans="2:26" ht="18" x14ac:dyDescent="0.35">
      <c r="B69" s="95"/>
      <c r="C69" s="96"/>
      <c r="D69" s="97"/>
      <c r="E69" s="98"/>
      <c r="F69" s="90"/>
      <c r="G69" s="91"/>
      <c r="H69" s="92"/>
      <c r="I69" s="105"/>
      <c r="J69" s="83"/>
      <c r="K69" s="83"/>
      <c r="L69" s="12"/>
      <c r="M69" s="13"/>
      <c r="N69" s="14"/>
      <c r="O69" s="11"/>
      <c r="P69" s="15"/>
      <c r="Q69" s="16"/>
      <c r="R69" s="2"/>
      <c r="S69" s="12"/>
      <c r="T69" s="17"/>
      <c r="U69" s="2"/>
      <c r="V69" s="18"/>
      <c r="W69" s="8"/>
      <c r="Y69" s="149" t="s">
        <v>44</v>
      </c>
      <c r="Z69" s="152">
        <f t="shared" si="1"/>
        <v>0</v>
      </c>
    </row>
    <row r="70" spans="2:26" ht="18" x14ac:dyDescent="0.35">
      <c r="B70" s="95"/>
      <c r="C70" s="96"/>
      <c r="D70" s="97"/>
      <c r="E70" s="98"/>
      <c r="F70" s="90"/>
      <c r="G70" s="91"/>
      <c r="H70" s="92"/>
      <c r="I70" s="105"/>
      <c r="J70" s="83"/>
      <c r="K70" s="83"/>
      <c r="L70" s="12"/>
      <c r="M70" s="13"/>
      <c r="N70" s="14"/>
      <c r="O70" s="11"/>
      <c r="P70" s="15"/>
      <c r="Q70" s="16"/>
      <c r="R70" s="2"/>
      <c r="S70" s="12"/>
      <c r="T70" s="17"/>
      <c r="U70" s="2"/>
      <c r="V70" s="18"/>
      <c r="W70" s="8"/>
      <c r="Y70" s="149" t="s">
        <v>45</v>
      </c>
      <c r="Z70" s="152">
        <f t="shared" si="1"/>
        <v>0</v>
      </c>
    </row>
    <row r="71" spans="2:26" ht="18" x14ac:dyDescent="0.35">
      <c r="B71" s="95"/>
      <c r="C71" s="96"/>
      <c r="D71" s="97"/>
      <c r="E71" s="98"/>
      <c r="F71" s="90"/>
      <c r="G71" s="91"/>
      <c r="H71" s="92"/>
      <c r="I71" s="105"/>
      <c r="J71" s="83"/>
      <c r="K71" s="83"/>
      <c r="L71" s="12"/>
      <c r="M71" s="13"/>
      <c r="N71" s="14"/>
      <c r="O71" s="11"/>
      <c r="P71" s="15"/>
      <c r="Q71" s="16"/>
      <c r="R71" s="2"/>
      <c r="S71" s="12"/>
      <c r="T71" s="17"/>
      <c r="U71" s="2"/>
      <c r="V71" s="18"/>
      <c r="W71" s="8"/>
      <c r="Y71" s="149" t="s">
        <v>49</v>
      </c>
      <c r="Z71" s="152">
        <f t="shared" si="1"/>
        <v>0</v>
      </c>
    </row>
    <row r="72" spans="2:26" ht="18" x14ac:dyDescent="0.35">
      <c r="B72" s="106"/>
      <c r="C72" s="107"/>
      <c r="D72" s="108"/>
      <c r="E72" s="109"/>
      <c r="F72" s="90"/>
      <c r="G72" s="91"/>
      <c r="H72" s="92"/>
      <c r="I72" s="105"/>
      <c r="J72" s="83"/>
      <c r="K72" s="83"/>
      <c r="L72" s="12"/>
      <c r="M72" s="13"/>
      <c r="N72" s="14"/>
      <c r="O72" s="11"/>
      <c r="P72" s="15"/>
      <c r="Q72" s="16"/>
      <c r="R72" s="2"/>
      <c r="S72" s="12"/>
      <c r="T72" s="17"/>
      <c r="U72" s="2"/>
      <c r="V72" s="18"/>
      <c r="W72" s="8"/>
      <c r="Y72" s="149" t="s">
        <v>50</v>
      </c>
      <c r="Z72" s="152">
        <f t="shared" si="1"/>
        <v>0</v>
      </c>
    </row>
    <row r="73" spans="2:26" ht="18" x14ac:dyDescent="0.35">
      <c r="B73" s="95"/>
      <c r="C73" s="96"/>
      <c r="D73" s="97"/>
      <c r="E73" s="98"/>
      <c r="F73" s="90"/>
      <c r="G73" s="91"/>
      <c r="H73" s="92"/>
      <c r="I73" s="105"/>
      <c r="J73" s="83"/>
      <c r="K73" s="83"/>
      <c r="L73" s="20"/>
      <c r="M73" s="21"/>
      <c r="N73" s="22"/>
      <c r="O73" s="19"/>
      <c r="P73" s="23"/>
      <c r="Q73" s="24"/>
      <c r="R73" s="2"/>
      <c r="S73" s="20"/>
      <c r="T73" s="25"/>
      <c r="U73" s="2"/>
      <c r="V73" s="26"/>
      <c r="W73" s="27"/>
      <c r="Y73" s="149" t="s">
        <v>51</v>
      </c>
      <c r="Z73" s="152">
        <f t="shared" si="1"/>
        <v>0</v>
      </c>
    </row>
    <row r="74" spans="2:26" ht="18" x14ac:dyDescent="0.35">
      <c r="B74" s="110"/>
      <c r="C74" s="111"/>
      <c r="D74" s="112"/>
      <c r="E74" s="113"/>
      <c r="F74" s="90"/>
      <c r="G74" s="91"/>
      <c r="H74" s="92"/>
      <c r="I74" s="105"/>
      <c r="J74" s="83"/>
      <c r="K74" s="83"/>
      <c r="L74" s="12"/>
      <c r="M74" s="28"/>
      <c r="N74" s="14"/>
      <c r="O74" s="11"/>
      <c r="P74" s="11"/>
      <c r="Q74" s="16"/>
      <c r="R74" s="2"/>
      <c r="S74" s="12"/>
      <c r="T74" s="17"/>
      <c r="U74" s="2"/>
      <c r="V74" s="18"/>
      <c r="W74" s="16"/>
      <c r="Y74" s="149" t="s">
        <v>52</v>
      </c>
      <c r="Z74" s="152">
        <f t="shared" si="1"/>
        <v>0</v>
      </c>
    </row>
    <row r="75" spans="2:26" ht="18" x14ac:dyDescent="0.35">
      <c r="B75" s="95"/>
      <c r="C75" s="96"/>
      <c r="D75" s="97"/>
      <c r="E75" s="113"/>
      <c r="F75" s="90"/>
      <c r="G75" s="91"/>
      <c r="H75" s="92"/>
      <c r="I75" s="105"/>
      <c r="J75" s="83"/>
      <c r="K75" s="83"/>
      <c r="L75" s="12"/>
      <c r="M75" s="28"/>
      <c r="N75" s="14"/>
      <c r="O75" s="11"/>
      <c r="P75" s="11"/>
      <c r="Q75" s="16"/>
      <c r="R75" s="2"/>
      <c r="S75" s="12"/>
      <c r="T75" s="17"/>
      <c r="U75" s="2"/>
      <c r="V75" s="18"/>
      <c r="W75" s="16"/>
      <c r="Y75" s="149" t="s">
        <v>72</v>
      </c>
      <c r="Z75" s="152">
        <f t="shared" si="1"/>
        <v>0</v>
      </c>
    </row>
    <row r="76" spans="2:26" ht="18" x14ac:dyDescent="0.35">
      <c r="B76" s="95"/>
      <c r="C76" s="96"/>
      <c r="D76" s="97"/>
      <c r="E76" s="113"/>
      <c r="F76" s="90"/>
      <c r="G76" s="91"/>
      <c r="H76" s="92"/>
      <c r="I76" s="105"/>
      <c r="J76" s="83"/>
      <c r="K76" s="83"/>
      <c r="L76" s="12"/>
      <c r="M76" s="28"/>
      <c r="N76" s="14"/>
      <c r="O76" s="11"/>
      <c r="P76" s="11"/>
      <c r="Q76" s="16"/>
      <c r="R76" s="2"/>
      <c r="S76" s="12"/>
      <c r="T76" s="17"/>
      <c r="U76" s="2"/>
      <c r="V76" s="18"/>
      <c r="W76" s="16"/>
      <c r="Y76" s="149" t="s">
        <v>71</v>
      </c>
      <c r="Z76" s="152">
        <f t="shared" si="1"/>
        <v>0</v>
      </c>
    </row>
    <row r="77" spans="2:26" ht="18" x14ac:dyDescent="0.35">
      <c r="B77" s="95"/>
      <c r="C77" s="96"/>
      <c r="D77" s="97"/>
      <c r="E77" s="113"/>
      <c r="F77" s="90"/>
      <c r="G77" s="91"/>
      <c r="H77" s="92"/>
      <c r="I77" s="105"/>
      <c r="J77" s="83"/>
      <c r="K77" s="83"/>
      <c r="L77" s="12"/>
      <c r="M77" s="28"/>
      <c r="N77" s="14"/>
      <c r="O77" s="11"/>
      <c r="P77" s="11"/>
      <c r="Q77" s="16"/>
      <c r="R77" s="2"/>
      <c r="S77" s="12"/>
      <c r="T77" s="17"/>
      <c r="U77" s="2"/>
      <c r="V77" s="18"/>
      <c r="W77" s="16"/>
      <c r="Y77" s="149" t="s">
        <v>53</v>
      </c>
      <c r="Z77" s="152">
        <f t="shared" ref="Z77:Z79" si="2">SUMIF($G$9:$G$129, Y77, $F$9:$F$129)</f>
        <v>0</v>
      </c>
    </row>
    <row r="78" spans="2:26" ht="18" x14ac:dyDescent="0.35">
      <c r="B78" s="95"/>
      <c r="C78" s="96"/>
      <c r="D78" s="97"/>
      <c r="E78" s="113"/>
      <c r="F78" s="90"/>
      <c r="G78" s="91"/>
      <c r="H78" s="92"/>
      <c r="I78" s="105"/>
      <c r="J78" s="83"/>
      <c r="K78" s="83"/>
      <c r="L78" s="12"/>
      <c r="M78" s="28"/>
      <c r="N78" s="14"/>
      <c r="O78" s="11"/>
      <c r="P78" s="11"/>
      <c r="Q78" s="16"/>
      <c r="R78" s="2"/>
      <c r="S78" s="12"/>
      <c r="T78" s="17"/>
      <c r="U78" s="2"/>
      <c r="V78" s="18"/>
      <c r="W78" s="16"/>
      <c r="Y78" s="149" t="s">
        <v>54</v>
      </c>
      <c r="Z78" s="152">
        <f t="shared" si="2"/>
        <v>0</v>
      </c>
    </row>
    <row r="79" spans="2:26" ht="18.600000000000001" thickBot="1" x14ac:dyDescent="0.4">
      <c r="B79" s="95"/>
      <c r="C79" s="96"/>
      <c r="D79" s="97"/>
      <c r="E79" s="113"/>
      <c r="F79" s="90"/>
      <c r="G79" s="91"/>
      <c r="H79" s="92"/>
      <c r="I79" s="105"/>
      <c r="J79" s="83"/>
      <c r="K79" s="83"/>
      <c r="L79" s="12"/>
      <c r="M79" s="28"/>
      <c r="N79" s="14"/>
      <c r="O79" s="11"/>
      <c r="P79" s="11"/>
      <c r="Q79" s="16"/>
      <c r="R79" s="2"/>
      <c r="S79" s="12"/>
      <c r="T79" s="17"/>
      <c r="U79" s="2"/>
      <c r="V79" s="18"/>
      <c r="W79" s="16"/>
      <c r="Y79" s="150" t="s">
        <v>55</v>
      </c>
      <c r="Z79" s="153">
        <f t="shared" si="2"/>
        <v>0</v>
      </c>
    </row>
    <row r="80" spans="2:26" ht="18" x14ac:dyDescent="0.35">
      <c r="B80" s="95"/>
      <c r="C80" s="96"/>
      <c r="D80" s="97"/>
      <c r="E80" s="113"/>
      <c r="F80" s="90"/>
      <c r="G80" s="91"/>
      <c r="H80" s="92"/>
      <c r="I80" s="105"/>
      <c r="J80" s="83"/>
      <c r="K80" s="83"/>
      <c r="L80" s="12"/>
      <c r="M80" s="28"/>
      <c r="N80" s="14"/>
      <c r="O80" s="11"/>
      <c r="P80" s="11"/>
      <c r="Q80" s="16"/>
      <c r="R80" s="2"/>
      <c r="S80" s="12"/>
      <c r="T80" s="17"/>
      <c r="U80" s="2"/>
      <c r="V80" s="18"/>
      <c r="W80" s="16"/>
    </row>
    <row r="81" spans="2:23" ht="18" x14ac:dyDescent="0.35">
      <c r="B81" s="95"/>
      <c r="C81" s="96"/>
      <c r="D81" s="97"/>
      <c r="E81" s="113"/>
      <c r="F81" s="90"/>
      <c r="G81" s="91"/>
      <c r="H81" s="92"/>
      <c r="I81" s="105"/>
      <c r="J81" s="83"/>
      <c r="K81" s="83"/>
      <c r="L81" s="12"/>
      <c r="M81" s="28"/>
      <c r="N81" s="14"/>
      <c r="O81" s="11"/>
      <c r="P81" s="11"/>
      <c r="Q81" s="16"/>
      <c r="R81" s="2"/>
      <c r="S81" s="12"/>
      <c r="T81" s="17"/>
      <c r="U81" s="2"/>
      <c r="V81" s="18"/>
      <c r="W81" s="16"/>
    </row>
    <row r="82" spans="2:23" ht="18" x14ac:dyDescent="0.35">
      <c r="B82" s="95"/>
      <c r="C82" s="96"/>
      <c r="D82" s="97"/>
      <c r="E82" s="113"/>
      <c r="F82" s="90"/>
      <c r="G82" s="91"/>
      <c r="H82" s="92"/>
      <c r="I82" s="105"/>
      <c r="J82" s="83"/>
      <c r="K82" s="83"/>
      <c r="L82" s="12"/>
      <c r="M82" s="28"/>
      <c r="N82" s="14"/>
      <c r="O82" s="11"/>
      <c r="P82" s="11"/>
      <c r="Q82" s="16"/>
      <c r="R82" s="2"/>
      <c r="S82" s="12"/>
      <c r="T82" s="17"/>
      <c r="U82" s="2"/>
      <c r="V82" s="18"/>
      <c r="W82" s="16"/>
    </row>
    <row r="83" spans="2:23" ht="18" x14ac:dyDescent="0.35">
      <c r="B83" s="95"/>
      <c r="C83" s="96"/>
      <c r="D83" s="97"/>
      <c r="E83" s="113"/>
      <c r="F83" s="90"/>
      <c r="G83" s="91"/>
      <c r="H83" s="92"/>
      <c r="I83" s="105"/>
      <c r="J83" s="83"/>
      <c r="K83" s="83"/>
      <c r="L83" s="12"/>
      <c r="M83" s="28"/>
      <c r="N83" s="14"/>
      <c r="O83" s="11"/>
      <c r="P83" s="11"/>
      <c r="Q83" s="16"/>
      <c r="R83" s="2"/>
      <c r="S83" s="12"/>
      <c r="T83" s="17"/>
      <c r="U83" s="2"/>
      <c r="V83" s="18"/>
      <c r="W83" s="16"/>
    </row>
    <row r="84" spans="2:23" ht="18" x14ac:dyDescent="0.35">
      <c r="B84" s="95"/>
      <c r="C84" s="96"/>
      <c r="D84" s="97"/>
      <c r="E84" s="113"/>
      <c r="F84" s="90"/>
      <c r="G84" s="91"/>
      <c r="H84" s="92"/>
      <c r="I84" s="105"/>
      <c r="J84" s="83"/>
      <c r="K84" s="83"/>
      <c r="L84" s="12"/>
      <c r="M84" s="28"/>
      <c r="N84" s="14"/>
      <c r="O84" s="11"/>
      <c r="P84" s="11"/>
      <c r="Q84" s="16"/>
      <c r="R84" s="2"/>
      <c r="S84" s="12"/>
      <c r="T84" s="17"/>
      <c r="U84" s="2"/>
      <c r="V84" s="18"/>
      <c r="W84" s="16"/>
    </row>
    <row r="85" spans="2:23" ht="18" x14ac:dyDescent="0.35">
      <c r="B85" s="95"/>
      <c r="C85" s="96"/>
      <c r="D85" s="97"/>
      <c r="E85" s="113"/>
      <c r="F85" s="90"/>
      <c r="G85" s="91"/>
      <c r="H85" s="92"/>
      <c r="I85" s="105"/>
      <c r="J85" s="83"/>
      <c r="K85" s="83"/>
      <c r="L85" s="12"/>
      <c r="M85" s="28"/>
      <c r="N85" s="14"/>
      <c r="O85" s="11"/>
      <c r="P85" s="11"/>
      <c r="Q85" s="16"/>
      <c r="R85" s="2"/>
      <c r="S85" s="12"/>
      <c r="T85" s="17"/>
      <c r="U85" s="2"/>
      <c r="V85" s="18"/>
      <c r="W85" s="16"/>
    </row>
    <row r="86" spans="2:23" ht="18" x14ac:dyDescent="0.35">
      <c r="B86" s="95"/>
      <c r="C86" s="96"/>
      <c r="D86" s="97"/>
      <c r="E86" s="113"/>
      <c r="F86" s="90"/>
      <c r="G86" s="91"/>
      <c r="H86" s="92"/>
      <c r="I86" s="105"/>
      <c r="J86" s="83"/>
      <c r="K86" s="83"/>
      <c r="L86" s="12"/>
      <c r="M86" s="28"/>
      <c r="N86" s="14"/>
      <c r="O86" s="11"/>
      <c r="P86" s="11"/>
      <c r="Q86" s="16"/>
      <c r="R86" s="2"/>
      <c r="S86" s="12"/>
      <c r="T86" s="17"/>
      <c r="U86" s="2"/>
      <c r="V86" s="18"/>
      <c r="W86" s="16"/>
    </row>
    <row r="87" spans="2:23" ht="18" x14ac:dyDescent="0.35">
      <c r="B87" s="95"/>
      <c r="C87" s="96"/>
      <c r="D87" s="97"/>
      <c r="E87" s="113"/>
      <c r="F87" s="90"/>
      <c r="G87" s="91"/>
      <c r="H87" s="92"/>
      <c r="I87" s="105"/>
      <c r="J87" s="83"/>
      <c r="K87" s="83"/>
      <c r="L87" s="12"/>
      <c r="M87" s="28"/>
      <c r="N87" s="14"/>
      <c r="O87" s="11"/>
      <c r="P87" s="11"/>
      <c r="Q87" s="16"/>
      <c r="R87" s="2"/>
      <c r="S87" s="12"/>
      <c r="T87" s="17"/>
      <c r="U87" s="2"/>
      <c r="V87" s="18"/>
      <c r="W87" s="16"/>
    </row>
    <row r="88" spans="2:23" ht="18" x14ac:dyDescent="0.35">
      <c r="B88" s="95"/>
      <c r="C88" s="96"/>
      <c r="D88" s="97"/>
      <c r="E88" s="113"/>
      <c r="F88" s="90"/>
      <c r="G88" s="91"/>
      <c r="H88" s="92"/>
      <c r="I88" s="105"/>
      <c r="J88" s="83"/>
      <c r="K88" s="83"/>
      <c r="L88" s="12"/>
      <c r="M88" s="28"/>
      <c r="N88" s="14"/>
      <c r="O88" s="11"/>
      <c r="P88" s="11"/>
      <c r="Q88" s="16"/>
      <c r="R88" s="2"/>
      <c r="S88" s="12"/>
      <c r="T88" s="17"/>
      <c r="U88" s="2"/>
      <c r="V88" s="18"/>
      <c r="W88" s="16"/>
    </row>
    <row r="89" spans="2:23" ht="18" x14ac:dyDescent="0.35">
      <c r="B89" s="95"/>
      <c r="C89" s="96"/>
      <c r="D89" s="97"/>
      <c r="E89" s="113"/>
      <c r="F89" s="90"/>
      <c r="G89" s="91"/>
      <c r="H89" s="92"/>
      <c r="I89" s="105"/>
      <c r="J89" s="83"/>
      <c r="K89" s="83"/>
      <c r="L89" s="12"/>
      <c r="M89" s="28"/>
      <c r="N89" s="14"/>
      <c r="O89" s="11"/>
      <c r="P89" s="11"/>
      <c r="Q89" s="16"/>
      <c r="R89" s="2"/>
      <c r="S89" s="12"/>
      <c r="T89" s="17"/>
      <c r="U89" s="2"/>
      <c r="V89" s="18"/>
      <c r="W89" s="16"/>
    </row>
    <row r="90" spans="2:23" ht="18" x14ac:dyDescent="0.35">
      <c r="B90" s="95"/>
      <c r="C90" s="96"/>
      <c r="D90" s="97"/>
      <c r="E90" s="113"/>
      <c r="F90" s="90"/>
      <c r="G90" s="91"/>
      <c r="H90" s="92"/>
      <c r="I90" s="105"/>
      <c r="J90" s="83"/>
      <c r="K90" s="83"/>
      <c r="L90" s="12"/>
      <c r="M90" s="28"/>
      <c r="N90" s="14"/>
      <c r="O90" s="11"/>
      <c r="P90" s="11"/>
      <c r="Q90" s="16"/>
      <c r="R90" s="2"/>
      <c r="S90" s="12"/>
      <c r="T90" s="17"/>
      <c r="U90" s="2"/>
      <c r="V90" s="18"/>
      <c r="W90" s="16"/>
    </row>
    <row r="91" spans="2:23" ht="18" x14ac:dyDescent="0.35">
      <c r="B91" s="95"/>
      <c r="C91" s="96"/>
      <c r="D91" s="97"/>
      <c r="E91" s="113"/>
      <c r="F91" s="90"/>
      <c r="G91" s="91"/>
      <c r="H91" s="92"/>
      <c r="I91" s="105"/>
      <c r="J91" s="83"/>
      <c r="K91" s="83"/>
      <c r="L91" s="12"/>
      <c r="M91" s="28"/>
      <c r="N91" s="14"/>
      <c r="O91" s="11"/>
      <c r="P91" s="11"/>
      <c r="Q91" s="16"/>
      <c r="R91" s="2"/>
      <c r="S91" s="12"/>
      <c r="T91" s="17"/>
      <c r="U91" s="2"/>
      <c r="V91" s="18"/>
      <c r="W91" s="16"/>
    </row>
    <row r="92" spans="2:23" ht="18" x14ac:dyDescent="0.35">
      <c r="B92" s="95"/>
      <c r="C92" s="96"/>
      <c r="D92" s="97"/>
      <c r="E92" s="113"/>
      <c r="F92" s="90"/>
      <c r="G92" s="91"/>
      <c r="H92" s="92"/>
      <c r="I92" s="105"/>
      <c r="J92" s="83"/>
      <c r="K92" s="83"/>
      <c r="L92" s="12"/>
      <c r="M92" s="28"/>
      <c r="N92" s="14"/>
      <c r="O92" s="11"/>
      <c r="P92" s="11"/>
      <c r="Q92" s="16"/>
      <c r="R92" s="2"/>
      <c r="S92" s="12"/>
      <c r="T92" s="17"/>
      <c r="U92" s="2"/>
      <c r="V92" s="18"/>
      <c r="W92" s="16"/>
    </row>
    <row r="93" spans="2:23" ht="18" x14ac:dyDescent="0.35">
      <c r="B93" s="95"/>
      <c r="C93" s="96"/>
      <c r="D93" s="97"/>
      <c r="E93" s="113"/>
      <c r="F93" s="90"/>
      <c r="G93" s="91"/>
      <c r="H93" s="92"/>
      <c r="I93" s="105"/>
      <c r="J93" s="83"/>
      <c r="K93" s="83"/>
      <c r="L93" s="12"/>
      <c r="M93" s="28"/>
      <c r="N93" s="14"/>
      <c r="O93" s="11"/>
      <c r="P93" s="11"/>
      <c r="Q93" s="16"/>
      <c r="R93" s="2"/>
      <c r="S93" s="12"/>
      <c r="T93" s="17"/>
      <c r="U93" s="2"/>
      <c r="V93" s="18"/>
      <c r="W93" s="16"/>
    </row>
    <row r="94" spans="2:23" ht="18" x14ac:dyDescent="0.35">
      <c r="B94" s="95"/>
      <c r="C94" s="96"/>
      <c r="D94" s="97"/>
      <c r="E94" s="113"/>
      <c r="F94" s="90"/>
      <c r="G94" s="91"/>
      <c r="H94" s="92"/>
      <c r="I94" s="105"/>
      <c r="J94" s="83"/>
      <c r="K94" s="83"/>
      <c r="L94" s="12"/>
      <c r="M94" s="28"/>
      <c r="N94" s="14"/>
      <c r="O94" s="11"/>
      <c r="P94" s="11"/>
      <c r="Q94" s="16"/>
      <c r="R94" s="2"/>
      <c r="S94" s="12"/>
      <c r="T94" s="17"/>
      <c r="U94" s="2"/>
      <c r="V94" s="18"/>
      <c r="W94" s="16"/>
    </row>
    <row r="95" spans="2:23" ht="18" x14ac:dyDescent="0.35">
      <c r="B95" s="95"/>
      <c r="C95" s="96"/>
      <c r="D95" s="97"/>
      <c r="E95" s="113"/>
      <c r="F95" s="90"/>
      <c r="G95" s="91"/>
      <c r="H95" s="92"/>
      <c r="I95" s="105"/>
      <c r="J95" s="83"/>
      <c r="K95" s="83"/>
      <c r="L95" s="12"/>
      <c r="M95" s="28"/>
      <c r="N95" s="14"/>
      <c r="O95" s="11"/>
      <c r="P95" s="11"/>
      <c r="Q95" s="16"/>
      <c r="R95" s="2"/>
      <c r="S95" s="12"/>
      <c r="T95" s="17"/>
      <c r="U95" s="2"/>
      <c r="V95" s="18"/>
      <c r="W95" s="16"/>
    </row>
    <row r="96" spans="2:23" ht="18" x14ac:dyDescent="0.35">
      <c r="B96" s="95"/>
      <c r="C96" s="96"/>
      <c r="D96" s="97"/>
      <c r="E96" s="113"/>
      <c r="F96" s="90"/>
      <c r="G96" s="91"/>
      <c r="H96" s="92"/>
      <c r="I96" s="105"/>
      <c r="J96" s="83"/>
      <c r="K96" s="83"/>
      <c r="L96" s="12"/>
      <c r="M96" s="28"/>
      <c r="N96" s="14"/>
      <c r="O96" s="11"/>
      <c r="P96" s="11"/>
      <c r="Q96" s="16"/>
      <c r="R96" s="2"/>
      <c r="S96" s="12"/>
      <c r="T96" s="17"/>
      <c r="U96" s="2"/>
      <c r="V96" s="18"/>
      <c r="W96" s="16"/>
    </row>
    <row r="97" spans="2:23" ht="18" x14ac:dyDescent="0.35">
      <c r="B97" s="95"/>
      <c r="C97" s="96"/>
      <c r="D97" s="97"/>
      <c r="E97" s="113"/>
      <c r="F97" s="90"/>
      <c r="G97" s="91"/>
      <c r="H97" s="92"/>
      <c r="I97" s="105"/>
      <c r="J97" s="83"/>
      <c r="K97" s="83"/>
      <c r="L97" s="12"/>
      <c r="M97" s="28"/>
      <c r="N97" s="14"/>
      <c r="O97" s="11"/>
      <c r="P97" s="11"/>
      <c r="Q97" s="16"/>
      <c r="R97" s="2"/>
      <c r="S97" s="12"/>
      <c r="T97" s="17"/>
      <c r="U97" s="2"/>
      <c r="V97" s="18"/>
      <c r="W97" s="16"/>
    </row>
    <row r="98" spans="2:23" ht="18" x14ac:dyDescent="0.35">
      <c r="B98" s="95"/>
      <c r="C98" s="96"/>
      <c r="D98" s="97"/>
      <c r="E98" s="113"/>
      <c r="F98" s="90"/>
      <c r="G98" s="91"/>
      <c r="H98" s="92"/>
      <c r="I98" s="105"/>
      <c r="J98" s="83"/>
      <c r="K98" s="83"/>
      <c r="L98" s="12"/>
      <c r="M98" s="28"/>
      <c r="N98" s="14"/>
      <c r="O98" s="11"/>
      <c r="P98" s="11"/>
      <c r="Q98" s="16"/>
      <c r="R98" s="2"/>
      <c r="S98" s="12"/>
      <c r="T98" s="17"/>
      <c r="U98" s="2"/>
      <c r="V98" s="18"/>
      <c r="W98" s="16"/>
    </row>
    <row r="99" spans="2:23" ht="18" x14ac:dyDescent="0.35">
      <c r="B99" s="95"/>
      <c r="C99" s="96"/>
      <c r="D99" s="97"/>
      <c r="E99" s="113"/>
      <c r="F99" s="90"/>
      <c r="G99" s="91"/>
      <c r="H99" s="92"/>
      <c r="I99" s="105"/>
      <c r="J99" s="83"/>
      <c r="K99" s="83"/>
      <c r="L99" s="12"/>
      <c r="M99" s="28"/>
      <c r="N99" s="14"/>
      <c r="O99" s="11"/>
      <c r="P99" s="11"/>
      <c r="Q99" s="16"/>
      <c r="R99" s="2"/>
      <c r="S99" s="12"/>
      <c r="T99" s="17"/>
      <c r="U99" s="2"/>
      <c r="V99" s="18"/>
      <c r="W99" s="16"/>
    </row>
    <row r="100" spans="2:23" ht="18" x14ac:dyDescent="0.35">
      <c r="B100" s="95"/>
      <c r="C100" s="96"/>
      <c r="D100" s="97"/>
      <c r="E100" s="113"/>
      <c r="F100" s="90"/>
      <c r="G100" s="91"/>
      <c r="H100" s="92"/>
      <c r="I100" s="105"/>
      <c r="J100" s="83"/>
      <c r="K100" s="83"/>
      <c r="L100" s="12"/>
      <c r="M100" s="28"/>
      <c r="N100" s="14"/>
      <c r="O100" s="11"/>
      <c r="P100" s="11"/>
      <c r="Q100" s="16"/>
      <c r="R100" s="2"/>
      <c r="S100" s="12"/>
      <c r="T100" s="17"/>
      <c r="U100" s="2"/>
      <c r="V100" s="18"/>
      <c r="W100" s="16"/>
    </row>
    <row r="101" spans="2:23" ht="18" x14ac:dyDescent="0.35">
      <c r="B101" s="95"/>
      <c r="C101" s="96"/>
      <c r="D101" s="97"/>
      <c r="E101" s="113"/>
      <c r="F101" s="90"/>
      <c r="G101" s="91"/>
      <c r="H101" s="92"/>
      <c r="I101" s="105"/>
      <c r="J101" s="83"/>
      <c r="K101" s="83"/>
      <c r="L101" s="12"/>
      <c r="M101" s="28"/>
      <c r="N101" s="14"/>
      <c r="O101" s="11"/>
      <c r="P101" s="11"/>
      <c r="Q101" s="16"/>
      <c r="R101" s="2"/>
      <c r="S101" s="12"/>
      <c r="T101" s="17"/>
      <c r="U101" s="2"/>
      <c r="V101" s="18"/>
      <c r="W101" s="16"/>
    </row>
    <row r="102" spans="2:23" ht="18" x14ac:dyDescent="0.35">
      <c r="B102" s="95"/>
      <c r="C102" s="96"/>
      <c r="D102" s="97"/>
      <c r="E102" s="113"/>
      <c r="F102" s="90"/>
      <c r="G102" s="91"/>
      <c r="H102" s="92"/>
      <c r="I102" s="105"/>
      <c r="J102" s="83"/>
      <c r="K102" s="83"/>
      <c r="L102" s="12"/>
      <c r="M102" s="28"/>
      <c r="N102" s="14"/>
      <c r="O102" s="11"/>
      <c r="P102" s="11"/>
      <c r="Q102" s="16"/>
      <c r="R102" s="2"/>
      <c r="S102" s="12"/>
      <c r="T102" s="17"/>
      <c r="U102" s="2"/>
      <c r="V102" s="18"/>
      <c r="W102" s="16"/>
    </row>
    <row r="103" spans="2:23" ht="18" x14ac:dyDescent="0.35">
      <c r="B103" s="95"/>
      <c r="C103" s="96"/>
      <c r="D103" s="97"/>
      <c r="E103" s="113"/>
      <c r="F103" s="90"/>
      <c r="G103" s="91"/>
      <c r="H103" s="92"/>
      <c r="I103" s="105"/>
      <c r="J103" s="83"/>
      <c r="K103" s="83"/>
      <c r="L103" s="12"/>
      <c r="M103" s="28"/>
      <c r="N103" s="14"/>
      <c r="O103" s="11"/>
      <c r="P103" s="11"/>
      <c r="Q103" s="16"/>
      <c r="R103" s="2"/>
      <c r="S103" s="12"/>
      <c r="T103" s="17"/>
      <c r="U103" s="2"/>
      <c r="V103" s="18"/>
      <c r="W103" s="16"/>
    </row>
    <row r="104" spans="2:23" ht="18" x14ac:dyDescent="0.35">
      <c r="B104" s="95"/>
      <c r="C104" s="96"/>
      <c r="D104" s="97"/>
      <c r="E104" s="113"/>
      <c r="F104" s="90"/>
      <c r="G104" s="91"/>
      <c r="H104" s="92"/>
      <c r="I104" s="105"/>
      <c r="J104" s="83"/>
      <c r="K104" s="83"/>
      <c r="L104" s="12"/>
      <c r="M104" s="28"/>
      <c r="N104" s="14"/>
      <c r="O104" s="11"/>
      <c r="P104" s="11"/>
      <c r="Q104" s="16"/>
      <c r="R104" s="2"/>
      <c r="S104" s="12"/>
      <c r="T104" s="17"/>
      <c r="U104" s="2"/>
      <c r="V104" s="18"/>
      <c r="W104" s="16"/>
    </row>
    <row r="105" spans="2:23" ht="18" x14ac:dyDescent="0.35">
      <c r="B105" s="95"/>
      <c r="C105" s="96"/>
      <c r="D105" s="97"/>
      <c r="E105" s="113"/>
      <c r="F105" s="90"/>
      <c r="G105" s="91"/>
      <c r="H105" s="92"/>
      <c r="I105" s="105"/>
      <c r="J105" s="83"/>
      <c r="K105" s="83"/>
      <c r="L105" s="12"/>
      <c r="M105" s="28"/>
      <c r="N105" s="14"/>
      <c r="O105" s="11"/>
      <c r="P105" s="11"/>
      <c r="Q105" s="16"/>
      <c r="R105" s="2"/>
      <c r="S105" s="12"/>
      <c r="T105" s="17"/>
      <c r="U105" s="2"/>
      <c r="V105" s="18"/>
      <c r="W105" s="16"/>
    </row>
    <row r="106" spans="2:23" ht="18" x14ac:dyDescent="0.35">
      <c r="B106" s="95"/>
      <c r="C106" s="96"/>
      <c r="D106" s="97"/>
      <c r="E106" s="113"/>
      <c r="F106" s="90"/>
      <c r="G106" s="91"/>
      <c r="H106" s="92"/>
      <c r="I106" s="105"/>
      <c r="J106" s="83"/>
      <c r="K106" s="83"/>
      <c r="L106" s="12"/>
      <c r="M106" s="28"/>
      <c r="N106" s="14"/>
      <c r="O106" s="11"/>
      <c r="P106" s="11"/>
      <c r="Q106" s="16"/>
      <c r="R106" s="2"/>
      <c r="S106" s="12"/>
      <c r="T106" s="17"/>
      <c r="U106" s="2"/>
      <c r="V106" s="18"/>
      <c r="W106" s="16"/>
    </row>
    <row r="107" spans="2:23" ht="18" x14ac:dyDescent="0.35">
      <c r="B107" s="95"/>
      <c r="C107" s="96"/>
      <c r="D107" s="97"/>
      <c r="E107" s="113"/>
      <c r="F107" s="90"/>
      <c r="G107" s="91"/>
      <c r="H107" s="92"/>
      <c r="I107" s="105"/>
      <c r="J107" s="83"/>
      <c r="K107" s="83"/>
      <c r="L107" s="12"/>
      <c r="M107" s="28"/>
      <c r="N107" s="14"/>
      <c r="O107" s="11"/>
      <c r="P107" s="11"/>
      <c r="Q107" s="16"/>
      <c r="R107" s="2"/>
      <c r="S107" s="12"/>
      <c r="T107" s="17"/>
      <c r="U107" s="2"/>
      <c r="V107" s="18"/>
      <c r="W107" s="16"/>
    </row>
    <row r="108" spans="2:23" ht="18" x14ac:dyDescent="0.35">
      <c r="B108" s="95"/>
      <c r="C108" s="96"/>
      <c r="D108" s="97"/>
      <c r="E108" s="113"/>
      <c r="F108" s="90"/>
      <c r="G108" s="91"/>
      <c r="H108" s="92"/>
      <c r="I108" s="105"/>
      <c r="J108" s="83"/>
      <c r="K108" s="83"/>
      <c r="L108" s="12"/>
      <c r="M108" s="28"/>
      <c r="N108" s="14"/>
      <c r="O108" s="11"/>
      <c r="P108" s="11"/>
      <c r="Q108" s="16"/>
      <c r="R108" s="2"/>
      <c r="S108" s="12"/>
      <c r="T108" s="17"/>
      <c r="U108" s="2"/>
      <c r="V108" s="18"/>
      <c r="W108" s="16"/>
    </row>
    <row r="109" spans="2:23" ht="18" x14ac:dyDescent="0.35">
      <c r="B109" s="95"/>
      <c r="C109" s="96"/>
      <c r="D109" s="97"/>
      <c r="E109" s="113"/>
      <c r="F109" s="90"/>
      <c r="G109" s="91"/>
      <c r="H109" s="92"/>
      <c r="I109" s="105"/>
      <c r="J109" s="83"/>
      <c r="K109" s="83"/>
      <c r="L109" s="12"/>
      <c r="M109" s="28"/>
      <c r="N109" s="14"/>
      <c r="O109" s="11"/>
      <c r="P109" s="11"/>
      <c r="Q109" s="16"/>
      <c r="R109" s="2"/>
      <c r="S109" s="12"/>
      <c r="T109" s="17"/>
      <c r="U109" s="2"/>
      <c r="V109" s="18"/>
      <c r="W109" s="16"/>
    </row>
    <row r="110" spans="2:23" ht="18" x14ac:dyDescent="0.35">
      <c r="B110" s="95"/>
      <c r="C110" s="96"/>
      <c r="D110" s="97"/>
      <c r="E110" s="113"/>
      <c r="F110" s="90"/>
      <c r="G110" s="91"/>
      <c r="H110" s="92"/>
      <c r="I110" s="105"/>
      <c r="J110" s="83"/>
      <c r="K110" s="83"/>
      <c r="L110" s="12"/>
      <c r="M110" s="28"/>
      <c r="N110" s="14"/>
      <c r="O110" s="11"/>
      <c r="P110" s="11"/>
      <c r="Q110" s="16"/>
      <c r="R110" s="2"/>
      <c r="S110" s="12"/>
      <c r="T110" s="17"/>
      <c r="U110" s="2"/>
      <c r="V110" s="18"/>
      <c r="W110" s="16"/>
    </row>
    <row r="111" spans="2:23" ht="18" x14ac:dyDescent="0.35">
      <c r="B111" s="95"/>
      <c r="C111" s="96"/>
      <c r="D111" s="97"/>
      <c r="E111" s="113"/>
      <c r="F111" s="90"/>
      <c r="G111" s="91"/>
      <c r="H111" s="92"/>
      <c r="I111" s="105"/>
      <c r="J111" s="83"/>
      <c r="K111" s="83"/>
      <c r="L111" s="12"/>
      <c r="M111" s="28"/>
      <c r="N111" s="14"/>
      <c r="O111" s="11"/>
      <c r="P111" s="11"/>
      <c r="Q111" s="16"/>
      <c r="R111" s="2"/>
      <c r="S111" s="12"/>
      <c r="T111" s="17"/>
      <c r="U111" s="2"/>
      <c r="V111" s="18"/>
      <c r="W111" s="16"/>
    </row>
    <row r="112" spans="2:23" ht="18" x14ac:dyDescent="0.35">
      <c r="B112" s="95"/>
      <c r="C112" s="96"/>
      <c r="D112" s="97"/>
      <c r="E112" s="113"/>
      <c r="F112" s="90"/>
      <c r="G112" s="91"/>
      <c r="H112" s="92"/>
      <c r="I112" s="105"/>
      <c r="J112" s="83"/>
      <c r="K112" s="83"/>
      <c r="L112" s="12"/>
      <c r="M112" s="28"/>
      <c r="N112" s="14"/>
      <c r="O112" s="11"/>
      <c r="P112" s="11"/>
      <c r="Q112" s="16"/>
      <c r="R112" s="2"/>
      <c r="S112" s="12"/>
      <c r="T112" s="17"/>
      <c r="U112" s="2"/>
      <c r="V112" s="18"/>
      <c r="W112" s="16"/>
    </row>
    <row r="113" spans="2:23" ht="18" x14ac:dyDescent="0.35">
      <c r="B113" s="95"/>
      <c r="C113" s="96"/>
      <c r="D113" s="97"/>
      <c r="E113" s="113"/>
      <c r="F113" s="90"/>
      <c r="G113" s="91"/>
      <c r="H113" s="92"/>
      <c r="I113" s="105"/>
      <c r="J113" s="83"/>
      <c r="K113" s="83"/>
      <c r="L113" s="12"/>
      <c r="M113" s="28"/>
      <c r="N113" s="14"/>
      <c r="O113" s="11"/>
      <c r="P113" s="11"/>
      <c r="Q113" s="16"/>
      <c r="R113" s="2"/>
      <c r="S113" s="12"/>
      <c r="T113" s="17"/>
      <c r="U113" s="2"/>
      <c r="V113" s="18"/>
      <c r="W113" s="16"/>
    </row>
    <row r="114" spans="2:23" ht="18" x14ac:dyDescent="0.35">
      <c r="B114" s="95"/>
      <c r="C114" s="96"/>
      <c r="D114" s="97"/>
      <c r="E114" s="113"/>
      <c r="F114" s="90"/>
      <c r="G114" s="91"/>
      <c r="H114" s="92"/>
      <c r="I114" s="105"/>
      <c r="J114" s="83"/>
      <c r="K114" s="83"/>
      <c r="L114" s="12"/>
      <c r="M114" s="28"/>
      <c r="N114" s="14"/>
      <c r="O114" s="11"/>
      <c r="P114" s="11"/>
      <c r="Q114" s="16"/>
      <c r="R114" s="2"/>
      <c r="S114" s="12"/>
      <c r="T114" s="17"/>
      <c r="U114" s="2"/>
      <c r="V114" s="18"/>
      <c r="W114" s="16"/>
    </row>
    <row r="115" spans="2:23" ht="18" x14ac:dyDescent="0.35">
      <c r="B115" s="95"/>
      <c r="C115" s="96"/>
      <c r="D115" s="97"/>
      <c r="E115" s="113"/>
      <c r="F115" s="90"/>
      <c r="G115" s="91"/>
      <c r="H115" s="92"/>
      <c r="I115" s="105"/>
      <c r="J115" s="83"/>
      <c r="K115" s="83"/>
      <c r="L115" s="12"/>
      <c r="M115" s="28"/>
      <c r="N115" s="14"/>
      <c r="O115" s="11"/>
      <c r="P115" s="11"/>
      <c r="Q115" s="16"/>
      <c r="R115" s="2"/>
      <c r="S115" s="12"/>
      <c r="T115" s="17"/>
      <c r="U115" s="2"/>
      <c r="V115" s="18"/>
      <c r="W115" s="16"/>
    </row>
    <row r="116" spans="2:23" ht="18" x14ac:dyDescent="0.35">
      <c r="B116" s="95"/>
      <c r="C116" s="96"/>
      <c r="D116" s="97"/>
      <c r="E116" s="113"/>
      <c r="F116" s="90"/>
      <c r="G116" s="91"/>
      <c r="H116" s="92"/>
      <c r="I116" s="105"/>
      <c r="J116" s="83"/>
      <c r="K116" s="83"/>
      <c r="L116" s="12"/>
      <c r="M116" s="28"/>
      <c r="N116" s="14"/>
      <c r="O116" s="11"/>
      <c r="P116" s="11"/>
      <c r="Q116" s="16"/>
      <c r="R116" s="2"/>
      <c r="S116" s="12"/>
      <c r="T116" s="17"/>
      <c r="U116" s="2"/>
      <c r="V116" s="18"/>
      <c r="W116" s="16"/>
    </row>
    <row r="117" spans="2:23" ht="18" x14ac:dyDescent="0.35">
      <c r="B117" s="95"/>
      <c r="C117" s="96"/>
      <c r="D117" s="97"/>
      <c r="E117" s="113"/>
      <c r="F117" s="90"/>
      <c r="G117" s="91"/>
      <c r="H117" s="92"/>
      <c r="I117" s="105"/>
      <c r="J117" s="83"/>
      <c r="K117" s="83"/>
      <c r="L117" s="12"/>
      <c r="M117" s="28"/>
      <c r="N117" s="14"/>
      <c r="O117" s="11"/>
      <c r="P117" s="11"/>
      <c r="Q117" s="16"/>
      <c r="R117" s="2"/>
      <c r="S117" s="12"/>
      <c r="T117" s="17"/>
      <c r="U117" s="2"/>
      <c r="V117" s="18"/>
      <c r="W117" s="16"/>
    </row>
    <row r="118" spans="2:23" ht="18" x14ac:dyDescent="0.35">
      <c r="B118" s="95"/>
      <c r="C118" s="96"/>
      <c r="D118" s="97"/>
      <c r="E118" s="113"/>
      <c r="F118" s="90"/>
      <c r="G118" s="91"/>
      <c r="H118" s="92"/>
      <c r="I118" s="105"/>
      <c r="J118" s="83"/>
      <c r="K118" s="83"/>
      <c r="L118" s="12"/>
      <c r="M118" s="28"/>
      <c r="N118" s="14"/>
      <c r="O118" s="11"/>
      <c r="P118" s="11"/>
      <c r="Q118" s="16"/>
      <c r="R118" s="2"/>
      <c r="S118" s="12"/>
      <c r="T118" s="17"/>
      <c r="U118" s="2"/>
      <c r="V118" s="18"/>
      <c r="W118" s="16"/>
    </row>
    <row r="119" spans="2:23" ht="18" x14ac:dyDescent="0.35">
      <c r="B119" s="95"/>
      <c r="C119" s="96"/>
      <c r="D119" s="97"/>
      <c r="E119" s="113"/>
      <c r="F119" s="90"/>
      <c r="G119" s="91"/>
      <c r="H119" s="92"/>
      <c r="I119" s="105"/>
      <c r="J119" s="83"/>
      <c r="K119" s="83"/>
      <c r="L119" s="12"/>
      <c r="M119" s="28"/>
      <c r="N119" s="14"/>
      <c r="O119" s="11"/>
      <c r="P119" s="11"/>
      <c r="Q119" s="16"/>
      <c r="R119" s="2"/>
      <c r="S119" s="12"/>
      <c r="T119" s="17"/>
      <c r="U119" s="2"/>
      <c r="V119" s="18"/>
      <c r="W119" s="16"/>
    </row>
    <row r="120" spans="2:23" ht="18" x14ac:dyDescent="0.35">
      <c r="B120" s="95"/>
      <c r="C120" s="96"/>
      <c r="D120" s="97"/>
      <c r="E120" s="113"/>
      <c r="F120" s="90"/>
      <c r="G120" s="91"/>
      <c r="H120" s="92"/>
      <c r="I120" s="105"/>
      <c r="J120" s="83"/>
      <c r="K120" s="83"/>
      <c r="L120" s="12"/>
      <c r="M120" s="28"/>
      <c r="N120" s="14"/>
      <c r="O120" s="11"/>
      <c r="P120" s="11"/>
      <c r="Q120" s="16"/>
      <c r="R120" s="2"/>
      <c r="S120" s="12"/>
      <c r="T120" s="17"/>
      <c r="U120" s="2"/>
      <c r="V120" s="18"/>
      <c r="W120" s="16"/>
    </row>
    <row r="121" spans="2:23" ht="18" x14ac:dyDescent="0.35">
      <c r="B121" s="95"/>
      <c r="C121" s="96"/>
      <c r="D121" s="97"/>
      <c r="E121" s="113"/>
      <c r="F121" s="90"/>
      <c r="G121" s="91"/>
      <c r="H121" s="92"/>
      <c r="I121" s="105"/>
      <c r="J121" s="83"/>
      <c r="K121" s="83"/>
      <c r="L121" s="12"/>
      <c r="M121" s="28"/>
      <c r="N121" s="14"/>
      <c r="O121" s="11"/>
      <c r="P121" s="11"/>
      <c r="Q121" s="16"/>
      <c r="R121" s="2"/>
      <c r="S121" s="12"/>
      <c r="T121" s="17"/>
      <c r="U121" s="2"/>
      <c r="V121" s="18"/>
      <c r="W121" s="16"/>
    </row>
    <row r="122" spans="2:23" ht="18" x14ac:dyDescent="0.35">
      <c r="B122" s="95"/>
      <c r="C122" s="96"/>
      <c r="D122" s="97"/>
      <c r="E122" s="113"/>
      <c r="F122" s="99"/>
      <c r="G122" s="100"/>
      <c r="H122" s="101"/>
      <c r="I122" s="105"/>
      <c r="J122" s="83"/>
      <c r="K122" s="83"/>
      <c r="L122" s="12"/>
      <c r="M122" s="28"/>
      <c r="N122" s="14"/>
      <c r="O122" s="11"/>
      <c r="P122" s="11"/>
      <c r="Q122" s="16"/>
      <c r="R122" s="2"/>
      <c r="S122" s="12"/>
      <c r="T122" s="17"/>
      <c r="U122" s="2"/>
      <c r="V122" s="18"/>
      <c r="W122" s="16"/>
    </row>
    <row r="123" spans="2:23" ht="18" x14ac:dyDescent="0.35">
      <c r="B123" s="95"/>
      <c r="C123" s="96"/>
      <c r="D123" s="97"/>
      <c r="E123" s="113"/>
      <c r="F123" s="99"/>
      <c r="G123" s="100"/>
      <c r="H123" s="101"/>
      <c r="I123" s="105"/>
      <c r="J123" s="83"/>
      <c r="K123" s="83"/>
      <c r="L123" s="12"/>
      <c r="M123" s="28"/>
      <c r="N123" s="14"/>
      <c r="O123" s="11"/>
      <c r="P123" s="11"/>
      <c r="Q123" s="16"/>
      <c r="R123" s="2"/>
      <c r="S123" s="12"/>
      <c r="T123" s="17"/>
      <c r="U123" s="2"/>
      <c r="V123" s="18"/>
      <c r="W123" s="16"/>
    </row>
    <row r="124" spans="2:23" ht="18" x14ac:dyDescent="0.35">
      <c r="B124" s="95"/>
      <c r="C124" s="96"/>
      <c r="D124" s="97"/>
      <c r="E124" s="113"/>
      <c r="F124" s="99"/>
      <c r="G124" s="100"/>
      <c r="H124" s="101"/>
      <c r="I124" s="105"/>
      <c r="J124" s="83"/>
      <c r="K124" s="83"/>
      <c r="L124" s="12"/>
      <c r="M124" s="28"/>
      <c r="N124" s="14"/>
      <c r="O124" s="11"/>
      <c r="P124" s="11"/>
      <c r="Q124" s="16"/>
      <c r="R124" s="2"/>
      <c r="S124" s="12"/>
      <c r="T124" s="17"/>
      <c r="U124" s="2"/>
      <c r="V124" s="18"/>
      <c r="W124" s="16"/>
    </row>
    <row r="125" spans="2:23" ht="18" x14ac:dyDescent="0.35">
      <c r="B125" s="95"/>
      <c r="C125" s="96"/>
      <c r="D125" s="97"/>
      <c r="E125" s="113"/>
      <c r="F125" s="99"/>
      <c r="G125" s="100"/>
      <c r="H125" s="101"/>
      <c r="I125" s="105"/>
      <c r="J125" s="83"/>
      <c r="K125" s="83"/>
      <c r="L125" s="12"/>
      <c r="M125" s="28"/>
      <c r="N125" s="14"/>
      <c r="O125" s="11"/>
      <c r="P125" s="11"/>
      <c r="Q125" s="16"/>
      <c r="R125" s="2"/>
      <c r="S125" s="12"/>
      <c r="T125" s="17"/>
      <c r="U125" s="2"/>
      <c r="V125" s="18"/>
      <c r="W125" s="16"/>
    </row>
    <row r="126" spans="2:23" ht="18" x14ac:dyDescent="0.35">
      <c r="B126" s="95"/>
      <c r="C126" s="96"/>
      <c r="D126" s="97"/>
      <c r="E126" s="113"/>
      <c r="F126" s="99"/>
      <c r="G126" s="100"/>
      <c r="H126" s="101"/>
      <c r="I126" s="105"/>
      <c r="J126" s="83"/>
      <c r="K126" s="83"/>
      <c r="L126" s="12"/>
      <c r="M126" s="28"/>
      <c r="N126" s="14"/>
      <c r="O126" s="11"/>
      <c r="P126" s="11"/>
      <c r="Q126" s="16"/>
      <c r="R126" s="2"/>
      <c r="S126" s="12"/>
      <c r="T126" s="17"/>
      <c r="U126" s="2"/>
      <c r="V126" s="18"/>
      <c r="W126" s="16"/>
    </row>
    <row r="127" spans="2:23" ht="18" x14ac:dyDescent="0.35">
      <c r="B127" s="95"/>
      <c r="C127" s="96"/>
      <c r="D127" s="97"/>
      <c r="E127" s="113"/>
      <c r="F127" s="99"/>
      <c r="G127" s="100"/>
      <c r="H127" s="101"/>
      <c r="I127" s="105"/>
      <c r="J127" s="83"/>
      <c r="K127" s="83"/>
      <c r="L127" s="12"/>
      <c r="M127" s="28"/>
      <c r="N127" s="14"/>
      <c r="O127" s="11"/>
      <c r="P127" s="11"/>
      <c r="Q127" s="16"/>
      <c r="R127" s="2"/>
      <c r="S127" s="12"/>
      <c r="T127" s="17"/>
      <c r="U127" s="2"/>
      <c r="V127" s="18"/>
      <c r="W127" s="16"/>
    </row>
    <row r="128" spans="2:23" ht="18" x14ac:dyDescent="0.35">
      <c r="B128" s="95"/>
      <c r="C128" s="96"/>
      <c r="D128" s="97"/>
      <c r="E128" s="113"/>
      <c r="F128" s="99"/>
      <c r="G128" s="100"/>
      <c r="H128" s="101"/>
      <c r="I128" s="105"/>
      <c r="J128" s="83"/>
      <c r="K128" s="83"/>
      <c r="L128" s="12"/>
      <c r="M128" s="28"/>
      <c r="N128" s="14"/>
      <c r="O128" s="11"/>
      <c r="P128" s="11"/>
      <c r="Q128" s="16"/>
      <c r="R128" s="2"/>
      <c r="S128" s="12"/>
      <c r="T128" s="17"/>
      <c r="U128" s="2"/>
      <c r="V128" s="18"/>
      <c r="W128" s="16"/>
    </row>
    <row r="129" spans="1:23" ht="18.600000000000001" thickBot="1" x14ac:dyDescent="0.4">
      <c r="B129" s="114"/>
      <c r="C129" s="115"/>
      <c r="D129" s="116"/>
      <c r="E129" s="113"/>
      <c r="F129" s="117"/>
      <c r="G129" s="118"/>
      <c r="H129" s="119"/>
      <c r="I129" s="105"/>
      <c r="J129" s="83"/>
      <c r="K129" s="83"/>
      <c r="L129" s="30"/>
      <c r="M129" s="31"/>
      <c r="N129" s="32"/>
      <c r="O129" s="29"/>
      <c r="P129" s="29"/>
      <c r="Q129" s="33"/>
      <c r="R129" s="2"/>
      <c r="S129" s="30"/>
      <c r="T129" s="34"/>
      <c r="U129" s="2"/>
      <c r="V129" s="35"/>
      <c r="W129" s="33"/>
    </row>
    <row r="130" spans="1:23" ht="18.600000000000001" thickBot="1" x14ac:dyDescent="0.4">
      <c r="A130" s="120" t="s">
        <v>15</v>
      </c>
      <c r="B130" s="121">
        <f>SUM(B9:B129)</f>
        <v>0</v>
      </c>
      <c r="C130" s="122"/>
      <c r="D130" s="121"/>
      <c r="E130" s="123">
        <f>SUM(E9:E129)</f>
        <v>0</v>
      </c>
      <c r="F130" s="124">
        <f>SUM(F9:F129)</f>
        <v>0</v>
      </c>
      <c r="G130" s="82"/>
      <c r="H130" s="125"/>
      <c r="I130" s="125">
        <f>SUM(I9:I129)</f>
        <v>0</v>
      </c>
      <c r="J130" s="83"/>
      <c r="K130" s="83"/>
      <c r="L130" s="126"/>
      <c r="M130" s="126">
        <f>SUM(M9:M129)</f>
        <v>0</v>
      </c>
      <c r="N130" s="127">
        <f>SUM(N9:N129)</f>
        <v>0</v>
      </c>
      <c r="O130" s="82"/>
      <c r="P130" s="82">
        <f>SUM(P9:P129)</f>
        <v>0</v>
      </c>
      <c r="Q130" s="128">
        <f>SUM(Q9:Q129)</f>
        <v>0</v>
      </c>
      <c r="R130" s="83"/>
      <c r="S130" s="84"/>
      <c r="T130" s="129">
        <f>SUM(T9:T129)</f>
        <v>0</v>
      </c>
      <c r="U130" s="83"/>
      <c r="V130" s="82"/>
      <c r="W130" s="130">
        <f>SUM(W9:W129)</f>
        <v>0</v>
      </c>
    </row>
  </sheetData>
  <mergeCells count="8">
    <mergeCell ref="V5:W5"/>
    <mergeCell ref="Y5:Z5"/>
    <mergeCell ref="E1:G1"/>
    <mergeCell ref="B2:C2"/>
    <mergeCell ref="B3:C3"/>
    <mergeCell ref="B5:I5"/>
    <mergeCell ref="L5:Q5"/>
    <mergeCell ref="S5:T5"/>
  </mergeCell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38FBC-1263-49C7-9E5B-A9BAEDB63713}">
  <sheetPr codeName="Sheet37"/>
  <dimension ref="A1:Z130"/>
  <sheetViews>
    <sheetView zoomScale="80" zoomScaleNormal="80" workbookViewId="0">
      <selection activeCell="D24" sqref="D24"/>
    </sheetView>
  </sheetViews>
  <sheetFormatPr defaultColWidth="9.109375" defaultRowHeight="14.4" x14ac:dyDescent="0.3"/>
  <cols>
    <col min="1" max="1" width="15.5546875" style="36" customWidth="1"/>
    <col min="2" max="2" width="15.88671875" style="36" customWidth="1"/>
    <col min="3" max="3" width="20" style="76" customWidth="1"/>
    <col min="4" max="4" width="20.33203125" style="36" customWidth="1"/>
    <col min="5" max="5" width="22.33203125" style="36" customWidth="1"/>
    <col min="6" max="6" width="14.6640625" style="36" customWidth="1"/>
    <col min="7" max="7" width="22" style="76" customWidth="1"/>
    <col min="8" max="8" width="18.88671875" style="36" customWidth="1"/>
    <col min="9" max="9" width="23" style="36" customWidth="1"/>
    <col min="10" max="11" width="9.109375" style="36"/>
    <col min="12" max="12" width="20.6640625" style="76" customWidth="1"/>
    <col min="13" max="13" width="15.44140625" style="76" customWidth="1"/>
    <col min="14" max="14" width="22.6640625" style="36" customWidth="1"/>
    <col min="15" max="15" width="20.5546875" style="76" customWidth="1"/>
    <col min="16" max="16" width="13.33203125" style="76" customWidth="1"/>
    <col min="17" max="17" width="21.5546875" style="76" customWidth="1"/>
    <col min="18" max="18" width="9.109375" style="36"/>
    <col min="19" max="19" width="22" style="76" customWidth="1"/>
    <col min="20" max="20" width="22.33203125" style="76" customWidth="1"/>
    <col min="21" max="21" width="9.109375" style="36"/>
    <col min="22" max="22" width="21.88671875" style="76" customWidth="1"/>
    <col min="23" max="23" width="23.109375" style="76" customWidth="1"/>
    <col min="24" max="24" width="9.109375" style="36"/>
    <col min="25" max="25" width="21.33203125" style="36" customWidth="1"/>
    <col min="26" max="26" width="21.88671875" style="36" customWidth="1"/>
    <col min="27" max="16384" width="9.109375" style="36"/>
  </cols>
  <sheetData>
    <row r="1" spans="2:26" ht="21" x14ac:dyDescent="0.4">
      <c r="E1" s="189">
        <v>44190</v>
      </c>
      <c r="F1" s="189"/>
      <c r="G1" s="189"/>
    </row>
    <row r="2" spans="2:26" ht="18" x14ac:dyDescent="0.35">
      <c r="B2" s="190" t="s">
        <v>0</v>
      </c>
      <c r="C2" s="190"/>
      <c r="D2" s="1"/>
    </row>
    <row r="3" spans="2:26" ht="18" x14ac:dyDescent="0.35">
      <c r="B3" s="190" t="s">
        <v>1</v>
      </c>
      <c r="C3" s="190"/>
      <c r="D3" s="77">
        <f>(D2-E130-I130)</f>
        <v>0</v>
      </c>
    </row>
    <row r="5" spans="2:26" ht="36.6" x14ac:dyDescent="0.7">
      <c r="B5" s="187" t="s">
        <v>2</v>
      </c>
      <c r="C5" s="187"/>
      <c r="D5" s="187"/>
      <c r="E5" s="187"/>
      <c r="F5" s="187"/>
      <c r="G5" s="187"/>
      <c r="H5" s="187"/>
      <c r="I5" s="187"/>
      <c r="L5" s="187" t="s">
        <v>3</v>
      </c>
      <c r="M5" s="187"/>
      <c r="N5" s="187"/>
      <c r="O5" s="187"/>
      <c r="P5" s="187"/>
      <c r="Q5" s="187"/>
      <c r="S5" s="191" t="s">
        <v>4</v>
      </c>
      <c r="T5" s="191"/>
      <c r="V5" s="187" t="s">
        <v>5</v>
      </c>
      <c r="W5" s="187"/>
      <c r="Y5" s="188" t="s">
        <v>105</v>
      </c>
      <c r="Z5" s="187"/>
    </row>
    <row r="7" spans="2:26" ht="15" thickBot="1" x14ac:dyDescent="0.35"/>
    <row r="8" spans="2:26" ht="18.600000000000001" thickBot="1" x14ac:dyDescent="0.4">
      <c r="B8" s="78" t="s">
        <v>6</v>
      </c>
      <c r="C8" s="79" t="s">
        <v>7</v>
      </c>
      <c r="D8" s="78" t="s">
        <v>8</v>
      </c>
      <c r="E8" s="80" t="s">
        <v>9</v>
      </c>
      <c r="F8" s="81" t="s">
        <v>6</v>
      </c>
      <c r="G8" s="81" t="s">
        <v>10</v>
      </c>
      <c r="H8" s="81" t="s">
        <v>8</v>
      </c>
      <c r="I8" s="82" t="s">
        <v>9</v>
      </c>
      <c r="J8" s="83"/>
      <c r="K8" s="83"/>
      <c r="L8" s="84" t="s">
        <v>11</v>
      </c>
      <c r="M8" s="84" t="s">
        <v>6</v>
      </c>
      <c r="N8" s="84" t="s">
        <v>9</v>
      </c>
      <c r="O8" s="82" t="s">
        <v>12</v>
      </c>
      <c r="P8" s="82" t="s">
        <v>6</v>
      </c>
      <c r="Q8" s="82" t="s">
        <v>9</v>
      </c>
      <c r="R8" s="83"/>
      <c r="S8" s="84" t="s">
        <v>13</v>
      </c>
      <c r="T8" s="85" t="s">
        <v>9</v>
      </c>
      <c r="U8" s="83"/>
      <c r="V8" s="82" t="s">
        <v>14</v>
      </c>
      <c r="W8" s="82" t="s">
        <v>9</v>
      </c>
      <c r="Y8" s="146" t="s">
        <v>106</v>
      </c>
      <c r="Z8" s="147" t="s">
        <v>107</v>
      </c>
    </row>
    <row r="9" spans="2:26" ht="18" x14ac:dyDescent="0.35">
      <c r="B9" s="86"/>
      <c r="C9" s="87"/>
      <c r="D9" s="88"/>
      <c r="E9" s="89"/>
      <c r="F9" s="90"/>
      <c r="G9" s="91"/>
      <c r="H9" s="92"/>
      <c r="I9" s="93"/>
      <c r="J9" s="83"/>
      <c r="K9" s="83"/>
      <c r="L9" s="3"/>
      <c r="M9" s="4"/>
      <c r="N9" s="5"/>
      <c r="O9" s="6"/>
      <c r="P9" s="7"/>
      <c r="Q9" s="8"/>
      <c r="R9" s="2"/>
      <c r="S9" s="3"/>
      <c r="T9" s="9"/>
      <c r="U9" s="2"/>
      <c r="V9" s="10"/>
      <c r="W9" s="8"/>
      <c r="Y9" s="148" t="s">
        <v>88</v>
      </c>
      <c r="Z9" s="151">
        <f>SUMIF($C$9:$C$129, Y9, $B$9:$B$129)</f>
        <v>0</v>
      </c>
    </row>
    <row r="10" spans="2:26" ht="18" x14ac:dyDescent="0.35">
      <c r="B10" s="95"/>
      <c r="C10" s="96"/>
      <c r="D10" s="97"/>
      <c r="E10" s="98"/>
      <c r="F10" s="90"/>
      <c r="G10" s="91"/>
      <c r="H10" s="92"/>
      <c r="I10" s="93"/>
      <c r="J10" s="83"/>
      <c r="K10" s="83"/>
      <c r="L10" s="12"/>
      <c r="M10" s="13"/>
      <c r="N10" s="14"/>
      <c r="O10" s="11"/>
      <c r="P10" s="15"/>
      <c r="Q10" s="16"/>
      <c r="R10" s="2"/>
      <c r="S10" s="12"/>
      <c r="T10" s="17"/>
      <c r="U10" s="2"/>
      <c r="V10" s="18"/>
      <c r="W10" s="8"/>
      <c r="Y10" s="149" t="s">
        <v>76</v>
      </c>
      <c r="Z10" s="151">
        <f t="shared" ref="Z10:Z11" si="0">SUMIF($C$9:$C$129, Y10, $B$9:$B$129)</f>
        <v>0</v>
      </c>
    </row>
    <row r="11" spans="2:26" ht="18" x14ac:dyDescent="0.35">
      <c r="B11" s="95"/>
      <c r="C11" s="96"/>
      <c r="D11" s="97"/>
      <c r="E11" s="98"/>
      <c r="F11" s="90"/>
      <c r="G11" s="91"/>
      <c r="H11" s="92"/>
      <c r="I11" s="93"/>
      <c r="J11" s="83"/>
      <c r="K11" s="83"/>
      <c r="L11" s="12"/>
      <c r="M11" s="13"/>
      <c r="N11" s="14"/>
      <c r="O11" s="11"/>
      <c r="P11" s="15"/>
      <c r="Q11" s="16"/>
      <c r="R11" s="2"/>
      <c r="S11" s="12"/>
      <c r="T11" s="17"/>
      <c r="U11" s="2"/>
      <c r="V11" s="18"/>
      <c r="W11" s="8"/>
      <c r="Y11" s="149" t="s">
        <v>77</v>
      </c>
      <c r="Z11" s="151">
        <f t="shared" si="0"/>
        <v>0</v>
      </c>
    </row>
    <row r="12" spans="2:26" ht="18" x14ac:dyDescent="0.35">
      <c r="B12" s="95"/>
      <c r="C12" s="96"/>
      <c r="D12" s="97"/>
      <c r="E12" s="98"/>
      <c r="F12" s="90"/>
      <c r="G12" s="91"/>
      <c r="H12" s="92"/>
      <c r="I12" s="93"/>
      <c r="J12" s="83"/>
      <c r="K12" s="83"/>
      <c r="L12" s="12"/>
      <c r="M12" s="13"/>
      <c r="N12" s="14"/>
      <c r="O12" s="11"/>
      <c r="P12" s="15"/>
      <c r="Q12" s="16"/>
      <c r="R12" s="2"/>
      <c r="S12" s="12"/>
      <c r="T12" s="17"/>
      <c r="U12" s="2"/>
      <c r="V12" s="18"/>
      <c r="W12" s="8"/>
      <c r="Y12" s="149" t="s">
        <v>89</v>
      </c>
      <c r="Z12" s="152">
        <f>SUMIF($G$9:$G$129, Y12, $F$9:$F$129)</f>
        <v>0</v>
      </c>
    </row>
    <row r="13" spans="2:26" ht="18" x14ac:dyDescent="0.35">
      <c r="B13" s="95"/>
      <c r="C13" s="96"/>
      <c r="D13" s="97"/>
      <c r="E13" s="98"/>
      <c r="F13" s="90"/>
      <c r="G13" s="91"/>
      <c r="H13" s="92"/>
      <c r="I13" s="93"/>
      <c r="J13" s="83"/>
      <c r="K13" s="83"/>
      <c r="L13" s="12"/>
      <c r="M13" s="13"/>
      <c r="N13" s="14"/>
      <c r="O13" s="11"/>
      <c r="P13" s="15"/>
      <c r="Q13" s="16"/>
      <c r="R13" s="2"/>
      <c r="S13" s="12"/>
      <c r="T13" s="17"/>
      <c r="U13" s="2"/>
      <c r="V13" s="18"/>
      <c r="W13" s="8"/>
      <c r="Y13" s="149" t="s">
        <v>20</v>
      </c>
      <c r="Z13" s="152">
        <f t="shared" ref="Z13:Z76" si="1">SUMIF($G$9:$G$129, Y13, $F$9:$F$129)</f>
        <v>0</v>
      </c>
    </row>
    <row r="14" spans="2:26" ht="18" x14ac:dyDescent="0.35">
      <c r="B14" s="95"/>
      <c r="C14" s="96"/>
      <c r="D14" s="97"/>
      <c r="E14" s="98"/>
      <c r="F14" s="90"/>
      <c r="G14" s="91"/>
      <c r="H14" s="92"/>
      <c r="I14" s="93"/>
      <c r="J14" s="83"/>
      <c r="K14" s="83"/>
      <c r="L14" s="12"/>
      <c r="M14" s="13"/>
      <c r="N14" s="14"/>
      <c r="O14" s="11"/>
      <c r="P14" s="15"/>
      <c r="Q14" s="16"/>
      <c r="R14" s="2"/>
      <c r="S14" s="12"/>
      <c r="T14" s="17"/>
      <c r="U14" s="2"/>
      <c r="V14" s="18"/>
      <c r="W14" s="8"/>
      <c r="Y14" s="149" t="s">
        <v>19</v>
      </c>
      <c r="Z14" s="152">
        <f t="shared" si="1"/>
        <v>0</v>
      </c>
    </row>
    <row r="15" spans="2:26" ht="18" x14ac:dyDescent="0.35">
      <c r="B15" s="95"/>
      <c r="C15" s="96"/>
      <c r="D15" s="97"/>
      <c r="E15" s="98"/>
      <c r="F15" s="90"/>
      <c r="G15" s="91"/>
      <c r="H15" s="92"/>
      <c r="I15" s="93"/>
      <c r="J15" s="83"/>
      <c r="K15" s="83"/>
      <c r="L15" s="12"/>
      <c r="M15" s="13"/>
      <c r="N15" s="14"/>
      <c r="O15" s="11"/>
      <c r="P15" s="15"/>
      <c r="Q15" s="16"/>
      <c r="R15" s="2"/>
      <c r="S15" s="12"/>
      <c r="T15" s="17"/>
      <c r="U15" s="2"/>
      <c r="V15" s="18"/>
      <c r="W15" s="8"/>
      <c r="Y15" s="149" t="s">
        <v>18</v>
      </c>
      <c r="Z15" s="152">
        <f t="shared" si="1"/>
        <v>0</v>
      </c>
    </row>
    <row r="16" spans="2:26" ht="18" x14ac:dyDescent="0.35">
      <c r="B16" s="95"/>
      <c r="C16" s="96"/>
      <c r="D16" s="97"/>
      <c r="E16" s="98"/>
      <c r="F16" s="90"/>
      <c r="G16" s="91"/>
      <c r="H16" s="92"/>
      <c r="I16" s="93"/>
      <c r="J16" s="83"/>
      <c r="K16" s="83"/>
      <c r="L16" s="12"/>
      <c r="M16" s="13"/>
      <c r="N16" s="14"/>
      <c r="O16" s="11"/>
      <c r="P16" s="15"/>
      <c r="Q16" s="16"/>
      <c r="R16" s="2"/>
      <c r="S16" s="12"/>
      <c r="T16" s="17"/>
      <c r="U16" s="2"/>
      <c r="V16" s="18"/>
      <c r="W16" s="8"/>
      <c r="Y16" s="149" t="s">
        <v>22</v>
      </c>
      <c r="Z16" s="152">
        <f t="shared" si="1"/>
        <v>0</v>
      </c>
    </row>
    <row r="17" spans="2:26" ht="18" x14ac:dyDescent="0.35">
      <c r="B17" s="95"/>
      <c r="C17" s="96"/>
      <c r="D17" s="97"/>
      <c r="E17" s="98"/>
      <c r="F17" s="90"/>
      <c r="G17" s="91"/>
      <c r="H17" s="92"/>
      <c r="I17" s="93"/>
      <c r="J17" s="83"/>
      <c r="K17" s="83"/>
      <c r="L17" s="12"/>
      <c r="M17" s="13"/>
      <c r="N17" s="14"/>
      <c r="O17" s="11"/>
      <c r="P17" s="15"/>
      <c r="Q17" s="16"/>
      <c r="R17" s="2"/>
      <c r="S17" s="12"/>
      <c r="T17" s="17"/>
      <c r="U17" s="2"/>
      <c r="V17" s="18"/>
      <c r="W17" s="8"/>
      <c r="Y17" s="149" t="s">
        <v>67</v>
      </c>
      <c r="Z17" s="152">
        <f t="shared" si="1"/>
        <v>0</v>
      </c>
    </row>
    <row r="18" spans="2:26" ht="18" x14ac:dyDescent="0.35">
      <c r="B18" s="95"/>
      <c r="C18" s="96"/>
      <c r="D18" s="97"/>
      <c r="E18" s="98"/>
      <c r="F18" s="90"/>
      <c r="G18" s="91"/>
      <c r="H18" s="92"/>
      <c r="I18" s="93"/>
      <c r="J18" s="83"/>
      <c r="K18" s="83"/>
      <c r="L18" s="12"/>
      <c r="M18" s="13"/>
      <c r="N18" s="14"/>
      <c r="O18" s="11"/>
      <c r="P18" s="15"/>
      <c r="Q18" s="16"/>
      <c r="R18" s="2"/>
      <c r="S18" s="12"/>
      <c r="T18" s="17"/>
      <c r="U18" s="2"/>
      <c r="V18" s="18"/>
      <c r="W18" s="8"/>
      <c r="Y18" s="149" t="s">
        <v>90</v>
      </c>
      <c r="Z18" s="152">
        <f t="shared" si="1"/>
        <v>0</v>
      </c>
    </row>
    <row r="19" spans="2:26" ht="18" x14ac:dyDescent="0.35">
      <c r="B19" s="95"/>
      <c r="C19" s="96"/>
      <c r="D19" s="97"/>
      <c r="E19" s="98"/>
      <c r="F19" s="90"/>
      <c r="G19" s="91"/>
      <c r="H19" s="92"/>
      <c r="I19" s="93"/>
      <c r="J19" s="83"/>
      <c r="K19" s="83"/>
      <c r="L19" s="12"/>
      <c r="M19" s="13"/>
      <c r="N19" s="14"/>
      <c r="O19" s="11"/>
      <c r="P19" s="15"/>
      <c r="Q19" s="16"/>
      <c r="R19" s="2"/>
      <c r="S19" s="12"/>
      <c r="T19" s="17"/>
      <c r="U19" s="2"/>
      <c r="V19" s="18"/>
      <c r="W19" s="8"/>
      <c r="Y19" s="149" t="s">
        <v>91</v>
      </c>
      <c r="Z19" s="152">
        <f t="shared" si="1"/>
        <v>0</v>
      </c>
    </row>
    <row r="20" spans="2:26" ht="18" x14ac:dyDescent="0.35">
      <c r="B20" s="95"/>
      <c r="C20" s="96"/>
      <c r="D20" s="97"/>
      <c r="E20" s="98"/>
      <c r="F20" s="90"/>
      <c r="G20" s="91"/>
      <c r="H20" s="92"/>
      <c r="I20" s="93"/>
      <c r="J20" s="83"/>
      <c r="K20" s="83"/>
      <c r="L20" s="12"/>
      <c r="M20" s="13"/>
      <c r="N20" s="14"/>
      <c r="O20" s="11"/>
      <c r="P20" s="15"/>
      <c r="Q20" s="16"/>
      <c r="R20" s="2"/>
      <c r="S20" s="12"/>
      <c r="T20" s="17"/>
      <c r="U20" s="2"/>
      <c r="V20" s="18"/>
      <c r="W20" s="8"/>
      <c r="Y20" s="149" t="s">
        <v>92</v>
      </c>
      <c r="Z20" s="152">
        <f t="shared" si="1"/>
        <v>0</v>
      </c>
    </row>
    <row r="21" spans="2:26" ht="18" x14ac:dyDescent="0.35">
      <c r="B21" s="95"/>
      <c r="C21" s="96"/>
      <c r="D21" s="97"/>
      <c r="E21" s="98"/>
      <c r="F21" s="90"/>
      <c r="G21" s="91"/>
      <c r="H21" s="92"/>
      <c r="I21" s="93"/>
      <c r="J21" s="83"/>
      <c r="K21" s="83"/>
      <c r="L21" s="12"/>
      <c r="M21" s="13"/>
      <c r="N21" s="14"/>
      <c r="O21" s="11"/>
      <c r="P21" s="15"/>
      <c r="Q21" s="16"/>
      <c r="R21" s="2"/>
      <c r="S21" s="12"/>
      <c r="T21" s="17"/>
      <c r="U21" s="2"/>
      <c r="V21" s="18"/>
      <c r="W21" s="8"/>
      <c r="Y21" s="149" t="s">
        <v>68</v>
      </c>
      <c r="Z21" s="152">
        <f t="shared" si="1"/>
        <v>0</v>
      </c>
    </row>
    <row r="22" spans="2:26" ht="18" x14ac:dyDescent="0.35">
      <c r="B22" s="95"/>
      <c r="C22" s="96"/>
      <c r="D22" s="97"/>
      <c r="E22" s="98"/>
      <c r="F22" s="90"/>
      <c r="G22" s="91"/>
      <c r="H22" s="92"/>
      <c r="I22" s="93"/>
      <c r="J22" s="83"/>
      <c r="K22" s="83"/>
      <c r="L22" s="12"/>
      <c r="M22" s="13"/>
      <c r="N22" s="14"/>
      <c r="O22" s="11"/>
      <c r="P22" s="15"/>
      <c r="Q22" s="16"/>
      <c r="R22" s="2"/>
      <c r="S22" s="12"/>
      <c r="T22" s="17"/>
      <c r="U22" s="2"/>
      <c r="V22" s="18"/>
      <c r="W22" s="8"/>
      <c r="Y22" s="149" t="s">
        <v>93</v>
      </c>
      <c r="Z22" s="152">
        <f t="shared" si="1"/>
        <v>0</v>
      </c>
    </row>
    <row r="23" spans="2:26" ht="18" x14ac:dyDescent="0.35">
      <c r="B23" s="95"/>
      <c r="C23" s="96"/>
      <c r="D23" s="97"/>
      <c r="E23" s="98"/>
      <c r="F23" s="90"/>
      <c r="G23" s="91"/>
      <c r="H23" s="92"/>
      <c r="I23" s="93"/>
      <c r="J23" s="83"/>
      <c r="K23" s="83"/>
      <c r="L23" s="12"/>
      <c r="M23" s="13"/>
      <c r="N23" s="14"/>
      <c r="O23" s="11"/>
      <c r="P23" s="15"/>
      <c r="Q23" s="16"/>
      <c r="R23" s="2"/>
      <c r="S23" s="12"/>
      <c r="T23" s="17"/>
      <c r="U23" s="2"/>
      <c r="V23" s="18"/>
      <c r="W23" s="8"/>
      <c r="Y23" s="149" t="s">
        <v>23</v>
      </c>
      <c r="Z23" s="152">
        <f t="shared" si="1"/>
        <v>0</v>
      </c>
    </row>
    <row r="24" spans="2:26" ht="18" x14ac:dyDescent="0.35">
      <c r="B24" s="95"/>
      <c r="C24" s="96"/>
      <c r="D24" s="97"/>
      <c r="E24" s="98"/>
      <c r="F24" s="90"/>
      <c r="G24" s="91"/>
      <c r="H24" s="92"/>
      <c r="I24" s="93"/>
      <c r="J24" s="83"/>
      <c r="K24" s="83"/>
      <c r="L24" s="12"/>
      <c r="M24" s="13"/>
      <c r="N24" s="14"/>
      <c r="O24" s="11"/>
      <c r="P24" s="15"/>
      <c r="Q24" s="16"/>
      <c r="R24" s="2"/>
      <c r="S24" s="12"/>
      <c r="T24" s="17"/>
      <c r="U24" s="2"/>
      <c r="V24" s="18"/>
      <c r="W24" s="8"/>
      <c r="Y24" s="149" t="s">
        <v>24</v>
      </c>
      <c r="Z24" s="152">
        <f t="shared" si="1"/>
        <v>0</v>
      </c>
    </row>
    <row r="25" spans="2:26" ht="18" x14ac:dyDescent="0.35">
      <c r="B25" s="95"/>
      <c r="C25" s="96"/>
      <c r="D25" s="97"/>
      <c r="E25" s="98"/>
      <c r="F25" s="90"/>
      <c r="G25" s="91"/>
      <c r="H25" s="92"/>
      <c r="I25" s="93"/>
      <c r="J25" s="83"/>
      <c r="K25" s="83"/>
      <c r="L25" s="12"/>
      <c r="M25" s="13"/>
      <c r="N25" s="14"/>
      <c r="O25" s="11"/>
      <c r="P25" s="15"/>
      <c r="Q25" s="16"/>
      <c r="R25" s="2"/>
      <c r="S25" s="12"/>
      <c r="T25" s="17"/>
      <c r="U25" s="2"/>
      <c r="V25" s="18"/>
      <c r="W25" s="8"/>
      <c r="Y25" s="149" t="s">
        <v>25</v>
      </c>
      <c r="Z25" s="152">
        <f t="shared" si="1"/>
        <v>0</v>
      </c>
    </row>
    <row r="26" spans="2:26" ht="18" x14ac:dyDescent="0.35">
      <c r="B26" s="95"/>
      <c r="C26" s="96"/>
      <c r="D26" s="97"/>
      <c r="E26" s="98"/>
      <c r="F26" s="90"/>
      <c r="G26" s="91"/>
      <c r="H26" s="92"/>
      <c r="I26" s="93"/>
      <c r="J26" s="83"/>
      <c r="K26" s="83"/>
      <c r="L26" s="12"/>
      <c r="M26" s="13"/>
      <c r="N26" s="14"/>
      <c r="O26" s="11"/>
      <c r="P26" s="15"/>
      <c r="Q26" s="16"/>
      <c r="R26" s="2"/>
      <c r="S26" s="12"/>
      <c r="T26" s="17"/>
      <c r="U26" s="2"/>
      <c r="V26" s="18"/>
      <c r="W26" s="8"/>
      <c r="Y26" s="149" t="s">
        <v>98</v>
      </c>
      <c r="Z26" s="152">
        <f t="shared" si="1"/>
        <v>0</v>
      </c>
    </row>
    <row r="27" spans="2:26" ht="18" x14ac:dyDescent="0.35">
      <c r="B27" s="95"/>
      <c r="C27" s="96"/>
      <c r="D27" s="97"/>
      <c r="E27" s="98"/>
      <c r="F27" s="90"/>
      <c r="G27" s="91"/>
      <c r="H27" s="92"/>
      <c r="I27" s="93"/>
      <c r="J27" s="83"/>
      <c r="K27" s="83"/>
      <c r="L27" s="12"/>
      <c r="M27" s="13"/>
      <c r="N27" s="14"/>
      <c r="O27" s="11"/>
      <c r="P27" s="15"/>
      <c r="Q27" s="16"/>
      <c r="R27" s="2"/>
      <c r="S27" s="12"/>
      <c r="T27" s="17"/>
      <c r="U27" s="2"/>
      <c r="V27" s="18"/>
      <c r="W27" s="8"/>
      <c r="Y27" s="149" t="s">
        <v>94</v>
      </c>
      <c r="Z27" s="152">
        <f t="shared" si="1"/>
        <v>0</v>
      </c>
    </row>
    <row r="28" spans="2:26" ht="18" x14ac:dyDescent="0.35">
      <c r="B28" s="95"/>
      <c r="C28" s="96"/>
      <c r="D28" s="97"/>
      <c r="E28" s="98"/>
      <c r="F28" s="90"/>
      <c r="G28" s="91"/>
      <c r="H28" s="92"/>
      <c r="I28" s="93"/>
      <c r="J28" s="83"/>
      <c r="K28" s="83"/>
      <c r="L28" s="12"/>
      <c r="M28" s="13"/>
      <c r="N28" s="14"/>
      <c r="O28" s="11"/>
      <c r="P28" s="15"/>
      <c r="Q28" s="16"/>
      <c r="R28" s="2"/>
      <c r="S28" s="12"/>
      <c r="T28" s="17"/>
      <c r="U28" s="2"/>
      <c r="V28" s="18"/>
      <c r="W28" s="8"/>
      <c r="Y28" s="149" t="s">
        <v>42</v>
      </c>
      <c r="Z28" s="152">
        <f t="shared" si="1"/>
        <v>0</v>
      </c>
    </row>
    <row r="29" spans="2:26" ht="18" x14ac:dyDescent="0.35">
      <c r="B29" s="95"/>
      <c r="C29" s="96"/>
      <c r="D29" s="97"/>
      <c r="E29" s="98"/>
      <c r="F29" s="90"/>
      <c r="G29" s="91"/>
      <c r="H29" s="92"/>
      <c r="I29" s="93"/>
      <c r="J29" s="83"/>
      <c r="K29" s="83"/>
      <c r="L29" s="12"/>
      <c r="M29" s="13"/>
      <c r="N29" s="14"/>
      <c r="O29" s="11"/>
      <c r="P29" s="15"/>
      <c r="Q29" s="16"/>
      <c r="R29" s="2"/>
      <c r="S29" s="12"/>
      <c r="T29" s="17"/>
      <c r="U29" s="2"/>
      <c r="V29" s="18"/>
      <c r="W29" s="8"/>
      <c r="Y29" s="149" t="s">
        <v>39</v>
      </c>
      <c r="Z29" s="152">
        <f t="shared" si="1"/>
        <v>0</v>
      </c>
    </row>
    <row r="30" spans="2:26" ht="18" x14ac:dyDescent="0.35">
      <c r="B30" s="95"/>
      <c r="C30" s="96"/>
      <c r="D30" s="97"/>
      <c r="E30" s="98"/>
      <c r="F30" s="90"/>
      <c r="G30" s="91"/>
      <c r="H30" s="92"/>
      <c r="I30" s="93"/>
      <c r="J30" s="83"/>
      <c r="K30" s="83"/>
      <c r="L30" s="12"/>
      <c r="M30" s="13"/>
      <c r="N30" s="14"/>
      <c r="O30" s="11"/>
      <c r="P30" s="15"/>
      <c r="Q30" s="16"/>
      <c r="R30" s="2"/>
      <c r="S30" s="12"/>
      <c r="T30" s="17"/>
      <c r="U30" s="2"/>
      <c r="V30" s="18"/>
      <c r="W30" s="8"/>
      <c r="Y30" s="149" t="s">
        <v>99</v>
      </c>
      <c r="Z30" s="152">
        <f t="shared" si="1"/>
        <v>0</v>
      </c>
    </row>
    <row r="31" spans="2:26" ht="18" x14ac:dyDescent="0.35">
      <c r="B31" s="95"/>
      <c r="C31" s="96"/>
      <c r="D31" s="97"/>
      <c r="E31" s="98"/>
      <c r="F31" s="90"/>
      <c r="G31" s="91"/>
      <c r="H31" s="92"/>
      <c r="I31" s="93"/>
      <c r="J31" s="83"/>
      <c r="K31" s="83"/>
      <c r="L31" s="12"/>
      <c r="M31" s="13"/>
      <c r="N31" s="14"/>
      <c r="O31" s="11"/>
      <c r="P31" s="15"/>
      <c r="Q31" s="16"/>
      <c r="R31" s="2"/>
      <c r="S31" s="12"/>
      <c r="T31" s="17"/>
      <c r="U31" s="2"/>
      <c r="V31" s="18"/>
      <c r="W31" s="8"/>
      <c r="Y31" s="149" t="s">
        <v>95</v>
      </c>
      <c r="Z31" s="152">
        <f t="shared" si="1"/>
        <v>0</v>
      </c>
    </row>
    <row r="32" spans="2:26" ht="18" x14ac:dyDescent="0.35">
      <c r="B32" s="95"/>
      <c r="C32" s="96"/>
      <c r="D32" s="97"/>
      <c r="E32" s="98"/>
      <c r="F32" s="90"/>
      <c r="G32" s="91"/>
      <c r="H32" s="92"/>
      <c r="I32" s="93"/>
      <c r="J32" s="83"/>
      <c r="K32" s="83"/>
      <c r="L32" s="12"/>
      <c r="M32" s="13"/>
      <c r="N32" s="14"/>
      <c r="O32" s="11"/>
      <c r="P32" s="15"/>
      <c r="Q32" s="16"/>
      <c r="R32" s="2"/>
      <c r="S32" s="12"/>
      <c r="T32" s="17"/>
      <c r="U32" s="2"/>
      <c r="V32" s="18"/>
      <c r="W32" s="8"/>
      <c r="Y32" s="149" t="s">
        <v>97</v>
      </c>
      <c r="Z32" s="152">
        <f t="shared" si="1"/>
        <v>0</v>
      </c>
    </row>
    <row r="33" spans="2:26" ht="18" x14ac:dyDescent="0.35">
      <c r="B33" s="95"/>
      <c r="C33" s="96"/>
      <c r="D33" s="97"/>
      <c r="E33" s="98"/>
      <c r="F33" s="90"/>
      <c r="G33" s="91"/>
      <c r="H33" s="92"/>
      <c r="I33" s="93"/>
      <c r="J33" s="83"/>
      <c r="K33" s="83"/>
      <c r="L33" s="12"/>
      <c r="M33" s="13"/>
      <c r="N33" s="14"/>
      <c r="O33" s="11"/>
      <c r="P33" s="15"/>
      <c r="Q33" s="16"/>
      <c r="R33" s="2"/>
      <c r="S33" s="12"/>
      <c r="T33" s="17"/>
      <c r="U33" s="2"/>
      <c r="V33" s="18"/>
      <c r="W33" s="8"/>
      <c r="Y33" s="149" t="s">
        <v>43</v>
      </c>
      <c r="Z33" s="152">
        <f t="shared" si="1"/>
        <v>0</v>
      </c>
    </row>
    <row r="34" spans="2:26" ht="18" x14ac:dyDescent="0.35">
      <c r="B34" s="95"/>
      <c r="C34" s="96"/>
      <c r="D34" s="97"/>
      <c r="E34" s="98"/>
      <c r="F34" s="90"/>
      <c r="G34" s="91"/>
      <c r="H34" s="92"/>
      <c r="I34" s="93"/>
      <c r="J34" s="83"/>
      <c r="K34" s="83"/>
      <c r="L34" s="12"/>
      <c r="M34" s="13"/>
      <c r="N34" s="14"/>
      <c r="O34" s="11"/>
      <c r="P34" s="15"/>
      <c r="Q34" s="16"/>
      <c r="R34" s="2"/>
      <c r="S34" s="12"/>
      <c r="T34" s="17"/>
      <c r="U34" s="2"/>
      <c r="V34" s="18"/>
      <c r="W34" s="8"/>
      <c r="Y34" s="149" t="s">
        <v>32</v>
      </c>
      <c r="Z34" s="152">
        <f t="shared" si="1"/>
        <v>0</v>
      </c>
    </row>
    <row r="35" spans="2:26" ht="18" x14ac:dyDescent="0.35">
      <c r="B35" s="95"/>
      <c r="C35" s="96"/>
      <c r="D35" s="97"/>
      <c r="E35" s="98"/>
      <c r="F35" s="90"/>
      <c r="G35" s="91"/>
      <c r="H35" s="92"/>
      <c r="I35" s="93"/>
      <c r="J35" s="83"/>
      <c r="K35" s="83"/>
      <c r="L35" s="12"/>
      <c r="M35" s="13"/>
      <c r="N35" s="14"/>
      <c r="O35" s="11"/>
      <c r="P35" s="15"/>
      <c r="Q35" s="16"/>
      <c r="R35" s="2"/>
      <c r="S35" s="12"/>
      <c r="T35" s="17"/>
      <c r="U35" s="2"/>
      <c r="V35" s="18"/>
      <c r="W35" s="8"/>
      <c r="Y35" s="149" t="s">
        <v>33</v>
      </c>
      <c r="Z35" s="152">
        <f t="shared" si="1"/>
        <v>0</v>
      </c>
    </row>
    <row r="36" spans="2:26" ht="18" x14ac:dyDescent="0.35">
      <c r="B36" s="95"/>
      <c r="C36" s="96"/>
      <c r="D36" s="97"/>
      <c r="E36" s="98"/>
      <c r="F36" s="90"/>
      <c r="G36" s="91"/>
      <c r="H36" s="92"/>
      <c r="I36" s="93"/>
      <c r="J36" s="83"/>
      <c r="K36" s="83"/>
      <c r="L36" s="12"/>
      <c r="M36" s="13"/>
      <c r="N36" s="14"/>
      <c r="O36" s="11"/>
      <c r="P36" s="15"/>
      <c r="Q36" s="16"/>
      <c r="R36" s="2"/>
      <c r="S36" s="12"/>
      <c r="T36" s="17"/>
      <c r="U36" s="2"/>
      <c r="V36" s="18"/>
      <c r="W36" s="8"/>
      <c r="Y36" s="149" t="s">
        <v>30</v>
      </c>
      <c r="Z36" s="152">
        <f t="shared" si="1"/>
        <v>0</v>
      </c>
    </row>
    <row r="37" spans="2:26" ht="18" x14ac:dyDescent="0.35">
      <c r="B37" s="95"/>
      <c r="C37" s="96"/>
      <c r="D37" s="97"/>
      <c r="E37" s="98"/>
      <c r="F37" s="90"/>
      <c r="G37" s="91"/>
      <c r="H37" s="92"/>
      <c r="I37" s="93"/>
      <c r="J37" s="83"/>
      <c r="K37" s="83"/>
      <c r="L37" s="12"/>
      <c r="M37" s="13"/>
      <c r="N37" s="14"/>
      <c r="O37" s="11"/>
      <c r="P37" s="15"/>
      <c r="Q37" s="16"/>
      <c r="R37" s="2"/>
      <c r="S37" s="12"/>
      <c r="T37" s="17"/>
      <c r="U37" s="2"/>
      <c r="V37" s="18"/>
      <c r="W37" s="8"/>
      <c r="Y37" s="149" t="s">
        <v>31</v>
      </c>
      <c r="Z37" s="152">
        <f t="shared" si="1"/>
        <v>0</v>
      </c>
    </row>
    <row r="38" spans="2:26" ht="18" x14ac:dyDescent="0.35">
      <c r="B38" s="95"/>
      <c r="C38" s="96"/>
      <c r="D38" s="97"/>
      <c r="E38" s="98"/>
      <c r="F38" s="90"/>
      <c r="G38" s="91"/>
      <c r="H38" s="92"/>
      <c r="I38" s="93"/>
      <c r="J38" s="83"/>
      <c r="K38" s="83"/>
      <c r="L38" s="12"/>
      <c r="M38" s="13"/>
      <c r="N38" s="14"/>
      <c r="O38" s="11"/>
      <c r="P38" s="15"/>
      <c r="Q38" s="16"/>
      <c r="R38" s="2"/>
      <c r="S38" s="12"/>
      <c r="T38" s="17"/>
      <c r="U38" s="2"/>
      <c r="V38" s="18"/>
      <c r="W38" s="8"/>
      <c r="Y38" s="149" t="s">
        <v>84</v>
      </c>
      <c r="Z38" s="152">
        <f t="shared" si="1"/>
        <v>0</v>
      </c>
    </row>
    <row r="39" spans="2:26" ht="18" x14ac:dyDescent="0.35">
      <c r="B39" s="95"/>
      <c r="C39" s="96"/>
      <c r="D39" s="97"/>
      <c r="E39" s="98"/>
      <c r="F39" s="90"/>
      <c r="G39" s="91"/>
      <c r="H39" s="92"/>
      <c r="I39" s="93"/>
      <c r="J39" s="83"/>
      <c r="K39" s="83"/>
      <c r="L39" s="12"/>
      <c r="M39" s="13"/>
      <c r="N39" s="14"/>
      <c r="O39" s="11"/>
      <c r="P39" s="15"/>
      <c r="Q39" s="16"/>
      <c r="R39" s="2"/>
      <c r="S39" s="12"/>
      <c r="T39" s="17"/>
      <c r="U39" s="2"/>
      <c r="V39" s="18"/>
      <c r="W39" s="8"/>
      <c r="Y39" s="149" t="s">
        <v>85</v>
      </c>
      <c r="Z39" s="152">
        <f t="shared" si="1"/>
        <v>0</v>
      </c>
    </row>
    <row r="40" spans="2:26" ht="18" x14ac:dyDescent="0.35">
      <c r="B40" s="95"/>
      <c r="C40" s="96"/>
      <c r="D40" s="97"/>
      <c r="E40" s="98"/>
      <c r="F40" s="90"/>
      <c r="G40" s="91"/>
      <c r="H40" s="92"/>
      <c r="I40" s="93"/>
      <c r="J40" s="83"/>
      <c r="K40" s="83"/>
      <c r="L40" s="12"/>
      <c r="M40" s="13"/>
      <c r="N40" s="14"/>
      <c r="O40" s="11"/>
      <c r="P40" s="15"/>
      <c r="Q40" s="16"/>
      <c r="R40" s="2"/>
      <c r="S40" s="12"/>
      <c r="T40" s="17"/>
      <c r="U40" s="2"/>
      <c r="V40" s="18"/>
      <c r="W40" s="8"/>
      <c r="Y40" s="149" t="s">
        <v>86</v>
      </c>
      <c r="Z40" s="152">
        <f t="shared" si="1"/>
        <v>0</v>
      </c>
    </row>
    <row r="41" spans="2:26" ht="18" x14ac:dyDescent="0.35">
      <c r="B41" s="95"/>
      <c r="C41" s="96"/>
      <c r="D41" s="97"/>
      <c r="E41" s="98"/>
      <c r="F41" s="90"/>
      <c r="G41" s="91"/>
      <c r="H41" s="92"/>
      <c r="I41" s="93"/>
      <c r="J41" s="83"/>
      <c r="K41" s="83"/>
      <c r="L41" s="12"/>
      <c r="M41" s="13"/>
      <c r="N41" s="14"/>
      <c r="O41" s="11"/>
      <c r="P41" s="15"/>
      <c r="Q41" s="16"/>
      <c r="R41" s="2"/>
      <c r="S41" s="12"/>
      <c r="T41" s="17"/>
      <c r="U41" s="2"/>
      <c r="V41" s="18"/>
      <c r="W41" s="8"/>
      <c r="Y41" s="149" t="s">
        <v>87</v>
      </c>
      <c r="Z41" s="152">
        <f t="shared" si="1"/>
        <v>0</v>
      </c>
    </row>
    <row r="42" spans="2:26" ht="18" x14ac:dyDescent="0.35">
      <c r="B42" s="95"/>
      <c r="C42" s="96"/>
      <c r="D42" s="97"/>
      <c r="E42" s="98"/>
      <c r="F42" s="90"/>
      <c r="G42" s="91"/>
      <c r="H42" s="92"/>
      <c r="I42" s="93"/>
      <c r="J42" s="83"/>
      <c r="K42" s="83"/>
      <c r="L42" s="12"/>
      <c r="M42" s="13"/>
      <c r="N42" s="14"/>
      <c r="O42" s="11"/>
      <c r="P42" s="15"/>
      <c r="Q42" s="16"/>
      <c r="R42" s="2"/>
      <c r="S42" s="12"/>
      <c r="T42" s="17"/>
      <c r="U42" s="2"/>
      <c r="V42" s="18"/>
      <c r="W42" s="8"/>
      <c r="Y42" s="149" t="s">
        <v>46</v>
      </c>
      <c r="Z42" s="152">
        <f t="shared" si="1"/>
        <v>0</v>
      </c>
    </row>
    <row r="43" spans="2:26" ht="18" x14ac:dyDescent="0.35">
      <c r="B43" s="95"/>
      <c r="C43" s="96"/>
      <c r="D43" s="97"/>
      <c r="E43" s="98"/>
      <c r="F43" s="90"/>
      <c r="G43" s="91"/>
      <c r="H43" s="92"/>
      <c r="I43" s="93"/>
      <c r="J43" s="83"/>
      <c r="K43" s="83"/>
      <c r="L43" s="12"/>
      <c r="M43" s="13"/>
      <c r="N43" s="14"/>
      <c r="O43" s="11"/>
      <c r="P43" s="15"/>
      <c r="Q43" s="16"/>
      <c r="R43" s="2"/>
      <c r="S43" s="12"/>
      <c r="T43" s="17"/>
      <c r="U43" s="2"/>
      <c r="V43" s="18"/>
      <c r="W43" s="8"/>
      <c r="Y43" s="149" t="s">
        <v>47</v>
      </c>
      <c r="Z43" s="152">
        <f t="shared" si="1"/>
        <v>0</v>
      </c>
    </row>
    <row r="44" spans="2:26" ht="18" x14ac:dyDescent="0.35">
      <c r="B44" s="95"/>
      <c r="C44" s="96"/>
      <c r="D44" s="97"/>
      <c r="E44" s="98"/>
      <c r="F44" s="90"/>
      <c r="G44" s="91"/>
      <c r="H44" s="92"/>
      <c r="I44" s="93"/>
      <c r="J44" s="83"/>
      <c r="K44" s="83"/>
      <c r="L44" s="12"/>
      <c r="M44" s="13"/>
      <c r="N44" s="14"/>
      <c r="O44" s="11"/>
      <c r="P44" s="15"/>
      <c r="Q44" s="16"/>
      <c r="R44" s="2"/>
      <c r="S44" s="12"/>
      <c r="T44" s="17"/>
      <c r="U44" s="2"/>
      <c r="V44" s="18"/>
      <c r="W44" s="8"/>
      <c r="Y44" s="149" t="s">
        <v>48</v>
      </c>
      <c r="Z44" s="152">
        <f t="shared" si="1"/>
        <v>0</v>
      </c>
    </row>
    <row r="45" spans="2:26" ht="18" x14ac:dyDescent="0.35">
      <c r="B45" s="95"/>
      <c r="C45" s="96"/>
      <c r="D45" s="97"/>
      <c r="E45" s="98"/>
      <c r="F45" s="90"/>
      <c r="G45" s="91"/>
      <c r="H45" s="92"/>
      <c r="I45" s="93"/>
      <c r="J45" s="83"/>
      <c r="K45" s="83"/>
      <c r="L45" s="12"/>
      <c r="M45" s="13"/>
      <c r="N45" s="14"/>
      <c r="O45" s="11"/>
      <c r="P45" s="15"/>
      <c r="Q45" s="16"/>
      <c r="R45" s="2"/>
      <c r="S45" s="12"/>
      <c r="T45" s="17"/>
      <c r="U45" s="2"/>
      <c r="V45" s="18"/>
      <c r="W45" s="8"/>
      <c r="Y45" s="149" t="s">
        <v>83</v>
      </c>
      <c r="Z45" s="152">
        <f t="shared" si="1"/>
        <v>0</v>
      </c>
    </row>
    <row r="46" spans="2:26" ht="18" x14ac:dyDescent="0.35">
      <c r="B46" s="95"/>
      <c r="C46" s="96"/>
      <c r="D46" s="97"/>
      <c r="E46" s="98"/>
      <c r="F46" s="90"/>
      <c r="G46" s="91"/>
      <c r="H46" s="92"/>
      <c r="I46" s="93"/>
      <c r="J46" s="83"/>
      <c r="K46" s="83"/>
      <c r="L46" s="12"/>
      <c r="M46" s="13"/>
      <c r="N46" s="14"/>
      <c r="O46" s="11"/>
      <c r="P46" s="15"/>
      <c r="Q46" s="16"/>
      <c r="R46" s="2"/>
      <c r="S46" s="12"/>
      <c r="T46" s="17"/>
      <c r="U46" s="2"/>
      <c r="V46" s="18"/>
      <c r="W46" s="8"/>
      <c r="Y46" s="149" t="s">
        <v>96</v>
      </c>
      <c r="Z46" s="152">
        <f t="shared" si="1"/>
        <v>0</v>
      </c>
    </row>
    <row r="47" spans="2:26" ht="18" x14ac:dyDescent="0.35">
      <c r="B47" s="95"/>
      <c r="C47" s="96"/>
      <c r="D47" s="97"/>
      <c r="E47" s="98"/>
      <c r="F47" s="90"/>
      <c r="G47" s="91"/>
      <c r="H47" s="92"/>
      <c r="I47" s="93"/>
      <c r="J47" s="83"/>
      <c r="K47" s="83"/>
      <c r="L47" s="12"/>
      <c r="M47" s="13"/>
      <c r="N47" s="14"/>
      <c r="O47" s="11"/>
      <c r="P47" s="15"/>
      <c r="Q47" s="16"/>
      <c r="R47" s="2"/>
      <c r="S47" s="12"/>
      <c r="T47" s="17"/>
      <c r="U47" s="2"/>
      <c r="V47" s="18"/>
      <c r="W47" s="8"/>
      <c r="Y47" s="149" t="s">
        <v>73</v>
      </c>
      <c r="Z47" s="152">
        <f t="shared" si="1"/>
        <v>0</v>
      </c>
    </row>
    <row r="48" spans="2:26" ht="18" x14ac:dyDescent="0.35">
      <c r="B48" s="95"/>
      <c r="C48" s="96"/>
      <c r="D48" s="97"/>
      <c r="E48" s="98"/>
      <c r="F48" s="90"/>
      <c r="G48" s="91"/>
      <c r="H48" s="92"/>
      <c r="I48" s="93"/>
      <c r="J48" s="83"/>
      <c r="K48" s="83"/>
      <c r="L48" s="12"/>
      <c r="M48" s="13"/>
      <c r="N48" s="14"/>
      <c r="O48" s="11"/>
      <c r="P48" s="15"/>
      <c r="Q48" s="16"/>
      <c r="R48" s="2"/>
      <c r="S48" s="12"/>
      <c r="T48" s="17"/>
      <c r="U48" s="2"/>
      <c r="V48" s="18"/>
      <c r="W48" s="8"/>
      <c r="Y48" s="149" t="s">
        <v>74</v>
      </c>
      <c r="Z48" s="152">
        <f t="shared" si="1"/>
        <v>0</v>
      </c>
    </row>
    <row r="49" spans="2:26" ht="18" x14ac:dyDescent="0.35">
      <c r="B49" s="95"/>
      <c r="C49" s="96"/>
      <c r="D49" s="97"/>
      <c r="E49" s="98"/>
      <c r="F49" s="90"/>
      <c r="G49" s="91"/>
      <c r="H49" s="92"/>
      <c r="I49" s="93"/>
      <c r="J49" s="83"/>
      <c r="K49" s="83"/>
      <c r="L49" s="12"/>
      <c r="M49" s="13"/>
      <c r="N49" s="14"/>
      <c r="O49" s="11"/>
      <c r="P49" s="15"/>
      <c r="Q49" s="16"/>
      <c r="R49" s="2"/>
      <c r="S49" s="12"/>
      <c r="T49" s="17"/>
      <c r="U49" s="2"/>
      <c r="V49" s="18"/>
      <c r="W49" s="8"/>
      <c r="Y49" s="149" t="s">
        <v>70</v>
      </c>
      <c r="Z49" s="152">
        <f t="shared" si="1"/>
        <v>0</v>
      </c>
    </row>
    <row r="50" spans="2:26" ht="18" x14ac:dyDescent="0.35">
      <c r="B50" s="95"/>
      <c r="C50" s="96"/>
      <c r="D50" s="97"/>
      <c r="E50" s="98"/>
      <c r="F50" s="90"/>
      <c r="G50" s="91"/>
      <c r="H50" s="92"/>
      <c r="I50" s="93"/>
      <c r="J50" s="83"/>
      <c r="K50" s="83"/>
      <c r="L50" s="12"/>
      <c r="M50" s="13"/>
      <c r="N50" s="14"/>
      <c r="O50" s="11"/>
      <c r="P50" s="15"/>
      <c r="Q50" s="16"/>
      <c r="R50" s="2"/>
      <c r="S50" s="12"/>
      <c r="T50" s="17"/>
      <c r="U50" s="2"/>
      <c r="V50" s="18"/>
      <c r="W50" s="8"/>
      <c r="Y50" s="149" t="s">
        <v>64</v>
      </c>
      <c r="Z50" s="152">
        <f t="shared" si="1"/>
        <v>0</v>
      </c>
    </row>
    <row r="51" spans="2:26" ht="18" x14ac:dyDescent="0.35">
      <c r="B51" s="95"/>
      <c r="C51" s="96"/>
      <c r="D51" s="97"/>
      <c r="E51" s="98"/>
      <c r="F51" s="90"/>
      <c r="G51" s="91"/>
      <c r="H51" s="92"/>
      <c r="I51" s="93"/>
      <c r="J51" s="83"/>
      <c r="K51" s="83"/>
      <c r="L51" s="12"/>
      <c r="M51" s="13"/>
      <c r="N51" s="14"/>
      <c r="O51" s="11"/>
      <c r="P51" s="15"/>
      <c r="Q51" s="16"/>
      <c r="R51" s="2"/>
      <c r="S51" s="12"/>
      <c r="T51" s="17"/>
      <c r="U51" s="2"/>
      <c r="V51" s="18"/>
      <c r="W51" s="8"/>
      <c r="Y51" s="149" t="s">
        <v>65</v>
      </c>
      <c r="Z51" s="152">
        <f t="shared" si="1"/>
        <v>0</v>
      </c>
    </row>
    <row r="52" spans="2:26" ht="18" x14ac:dyDescent="0.35">
      <c r="B52" s="95"/>
      <c r="C52" s="96"/>
      <c r="D52" s="97"/>
      <c r="E52" s="98"/>
      <c r="F52" s="90"/>
      <c r="G52" s="91"/>
      <c r="H52" s="92"/>
      <c r="I52" s="93"/>
      <c r="J52" s="83"/>
      <c r="K52" s="83"/>
      <c r="L52" s="12"/>
      <c r="M52" s="13"/>
      <c r="N52" s="14"/>
      <c r="O52" s="11"/>
      <c r="P52" s="15"/>
      <c r="Q52" s="16"/>
      <c r="R52" s="2"/>
      <c r="S52" s="12"/>
      <c r="T52" s="17"/>
      <c r="U52" s="2"/>
      <c r="V52" s="18"/>
      <c r="W52" s="8"/>
      <c r="Y52" s="149" t="s">
        <v>66</v>
      </c>
      <c r="Z52" s="152">
        <f t="shared" si="1"/>
        <v>0</v>
      </c>
    </row>
    <row r="53" spans="2:26" ht="18" x14ac:dyDescent="0.35">
      <c r="B53" s="95"/>
      <c r="C53" s="96"/>
      <c r="D53" s="97"/>
      <c r="E53" s="98"/>
      <c r="F53" s="90"/>
      <c r="G53" s="91"/>
      <c r="H53" s="92"/>
      <c r="I53" s="93"/>
      <c r="J53" s="83"/>
      <c r="K53" s="83"/>
      <c r="L53" s="12"/>
      <c r="M53" s="13"/>
      <c r="N53" s="14"/>
      <c r="O53" s="11"/>
      <c r="P53" s="15"/>
      <c r="Q53" s="16"/>
      <c r="R53" s="2"/>
      <c r="S53" s="12"/>
      <c r="T53" s="17"/>
      <c r="U53" s="2"/>
      <c r="V53" s="18"/>
      <c r="W53" s="8"/>
      <c r="Y53" s="149" t="s">
        <v>100</v>
      </c>
      <c r="Z53" s="152">
        <f t="shared" si="1"/>
        <v>0</v>
      </c>
    </row>
    <row r="54" spans="2:26" ht="18" x14ac:dyDescent="0.35">
      <c r="B54" s="95"/>
      <c r="C54" s="96"/>
      <c r="D54" s="97"/>
      <c r="E54" s="98"/>
      <c r="F54" s="90"/>
      <c r="G54" s="91"/>
      <c r="H54" s="92"/>
      <c r="I54" s="93"/>
      <c r="J54" s="83"/>
      <c r="K54" s="83"/>
      <c r="L54" s="12"/>
      <c r="M54" s="13"/>
      <c r="N54" s="14"/>
      <c r="O54" s="11"/>
      <c r="P54" s="15"/>
      <c r="Q54" s="16"/>
      <c r="R54" s="2"/>
      <c r="S54" s="12"/>
      <c r="T54" s="17"/>
      <c r="U54" s="2"/>
      <c r="V54" s="18"/>
      <c r="W54" s="8"/>
      <c r="Y54" s="149" t="s">
        <v>101</v>
      </c>
      <c r="Z54" s="152">
        <f t="shared" si="1"/>
        <v>0</v>
      </c>
    </row>
    <row r="55" spans="2:26" ht="18" x14ac:dyDescent="0.35">
      <c r="B55" s="95"/>
      <c r="C55" s="96"/>
      <c r="D55" s="97"/>
      <c r="E55" s="98"/>
      <c r="F55" s="90"/>
      <c r="G55" s="91"/>
      <c r="H55" s="92"/>
      <c r="I55" s="93"/>
      <c r="J55" s="83"/>
      <c r="K55" s="83"/>
      <c r="L55" s="12"/>
      <c r="M55" s="13"/>
      <c r="N55" s="14"/>
      <c r="O55" s="11"/>
      <c r="P55" s="15"/>
      <c r="Q55" s="16"/>
      <c r="R55" s="2"/>
      <c r="S55" s="12"/>
      <c r="T55" s="17"/>
      <c r="U55" s="2"/>
      <c r="V55" s="18"/>
      <c r="W55" s="8"/>
      <c r="Y55" s="149" t="s">
        <v>102</v>
      </c>
      <c r="Z55" s="152">
        <f t="shared" si="1"/>
        <v>0</v>
      </c>
    </row>
    <row r="56" spans="2:26" ht="18" x14ac:dyDescent="0.35">
      <c r="B56" s="95"/>
      <c r="C56" s="96"/>
      <c r="D56" s="97"/>
      <c r="E56" s="98"/>
      <c r="F56" s="90"/>
      <c r="G56" s="91"/>
      <c r="H56" s="92"/>
      <c r="I56" s="93"/>
      <c r="J56" s="83"/>
      <c r="K56" s="83"/>
      <c r="L56" s="12"/>
      <c r="M56" s="13"/>
      <c r="N56" s="14"/>
      <c r="O56" s="11"/>
      <c r="P56" s="15"/>
      <c r="Q56" s="16"/>
      <c r="R56" s="2"/>
      <c r="S56" s="12"/>
      <c r="T56" s="17"/>
      <c r="U56" s="2"/>
      <c r="V56" s="18"/>
      <c r="W56" s="8"/>
      <c r="Y56" s="149" t="s">
        <v>26</v>
      </c>
      <c r="Z56" s="152">
        <f t="shared" si="1"/>
        <v>0</v>
      </c>
    </row>
    <row r="57" spans="2:26" ht="18" x14ac:dyDescent="0.35">
      <c r="B57" s="95"/>
      <c r="C57" s="96"/>
      <c r="D57" s="97"/>
      <c r="E57" s="98"/>
      <c r="F57" s="90"/>
      <c r="G57" s="91"/>
      <c r="H57" s="92"/>
      <c r="I57" s="93"/>
      <c r="J57" s="83"/>
      <c r="K57" s="83"/>
      <c r="L57" s="12"/>
      <c r="M57" s="13"/>
      <c r="N57" s="14"/>
      <c r="O57" s="11"/>
      <c r="P57" s="15"/>
      <c r="Q57" s="16"/>
      <c r="R57" s="2"/>
      <c r="S57" s="12"/>
      <c r="T57" s="17"/>
      <c r="U57" s="2"/>
      <c r="V57" s="18"/>
      <c r="W57" s="8"/>
      <c r="Y57" s="149" t="s">
        <v>27</v>
      </c>
      <c r="Z57" s="152">
        <f t="shared" si="1"/>
        <v>0</v>
      </c>
    </row>
    <row r="58" spans="2:26" ht="18" x14ac:dyDescent="0.35">
      <c r="B58" s="95"/>
      <c r="C58" s="96"/>
      <c r="D58" s="97"/>
      <c r="E58" s="98"/>
      <c r="F58" s="90"/>
      <c r="G58" s="91"/>
      <c r="H58" s="92"/>
      <c r="I58" s="93"/>
      <c r="J58" s="83"/>
      <c r="K58" s="83"/>
      <c r="L58" s="12"/>
      <c r="M58" s="13"/>
      <c r="N58" s="14"/>
      <c r="O58" s="11"/>
      <c r="P58" s="15"/>
      <c r="Q58" s="16"/>
      <c r="R58" s="2"/>
      <c r="S58" s="12"/>
      <c r="T58" s="17"/>
      <c r="U58" s="2"/>
      <c r="V58" s="18"/>
      <c r="W58" s="8"/>
      <c r="Y58" s="149" t="s">
        <v>28</v>
      </c>
      <c r="Z58" s="152">
        <f t="shared" si="1"/>
        <v>0</v>
      </c>
    </row>
    <row r="59" spans="2:26" ht="18" x14ac:dyDescent="0.35">
      <c r="B59" s="95"/>
      <c r="C59" s="96"/>
      <c r="D59" s="97"/>
      <c r="E59" s="98"/>
      <c r="F59" s="90"/>
      <c r="G59" s="91"/>
      <c r="H59" s="92"/>
      <c r="I59" s="93"/>
      <c r="J59" s="83"/>
      <c r="K59" s="83"/>
      <c r="L59" s="12"/>
      <c r="M59" s="13"/>
      <c r="N59" s="14"/>
      <c r="O59" s="11"/>
      <c r="P59" s="15"/>
      <c r="Q59" s="16"/>
      <c r="R59" s="2"/>
      <c r="S59" s="12"/>
      <c r="T59" s="17"/>
      <c r="U59" s="2"/>
      <c r="V59" s="18"/>
      <c r="W59" s="8"/>
      <c r="Y59" s="149" t="s">
        <v>29</v>
      </c>
      <c r="Z59" s="152">
        <f t="shared" si="1"/>
        <v>0</v>
      </c>
    </row>
    <row r="60" spans="2:26" ht="18" x14ac:dyDescent="0.35">
      <c r="B60" s="95"/>
      <c r="C60" s="96"/>
      <c r="D60" s="97"/>
      <c r="E60" s="98"/>
      <c r="F60" s="90"/>
      <c r="G60" s="91"/>
      <c r="H60" s="92"/>
      <c r="I60" s="93"/>
      <c r="J60" s="83"/>
      <c r="K60" s="83"/>
      <c r="L60" s="12"/>
      <c r="M60" s="13"/>
      <c r="N60" s="14"/>
      <c r="O60" s="11"/>
      <c r="P60" s="15"/>
      <c r="Q60" s="16"/>
      <c r="R60" s="2"/>
      <c r="S60" s="12"/>
      <c r="T60" s="17"/>
      <c r="U60" s="2"/>
      <c r="V60" s="18"/>
      <c r="W60" s="8"/>
      <c r="Y60" s="149" t="s">
        <v>34</v>
      </c>
      <c r="Z60" s="152">
        <f t="shared" si="1"/>
        <v>0</v>
      </c>
    </row>
    <row r="61" spans="2:26" ht="18" x14ac:dyDescent="0.35">
      <c r="B61" s="95"/>
      <c r="C61" s="96"/>
      <c r="D61" s="97"/>
      <c r="E61" s="98"/>
      <c r="F61" s="90"/>
      <c r="G61" s="91"/>
      <c r="H61" s="92"/>
      <c r="I61" s="93"/>
      <c r="J61" s="83"/>
      <c r="K61" s="83"/>
      <c r="L61" s="12"/>
      <c r="M61" s="13"/>
      <c r="N61" s="14"/>
      <c r="O61" s="11"/>
      <c r="P61" s="15"/>
      <c r="Q61" s="16"/>
      <c r="R61" s="2"/>
      <c r="S61" s="12"/>
      <c r="T61" s="17"/>
      <c r="U61" s="2"/>
      <c r="V61" s="18"/>
      <c r="W61" s="8"/>
      <c r="Y61" s="149" t="s">
        <v>35</v>
      </c>
      <c r="Z61" s="152">
        <f t="shared" si="1"/>
        <v>0</v>
      </c>
    </row>
    <row r="62" spans="2:26" ht="18" x14ac:dyDescent="0.35">
      <c r="B62" s="95"/>
      <c r="C62" s="96"/>
      <c r="D62" s="97"/>
      <c r="E62" s="98"/>
      <c r="F62" s="90"/>
      <c r="G62" s="91"/>
      <c r="H62" s="92"/>
      <c r="I62" s="93"/>
      <c r="J62" s="83"/>
      <c r="K62" s="83"/>
      <c r="L62" s="12"/>
      <c r="M62" s="13"/>
      <c r="N62" s="14"/>
      <c r="O62" s="11"/>
      <c r="P62" s="15"/>
      <c r="Q62" s="16"/>
      <c r="R62" s="2"/>
      <c r="S62" s="12"/>
      <c r="T62" s="17"/>
      <c r="U62" s="2"/>
      <c r="V62" s="18"/>
      <c r="W62" s="8"/>
      <c r="Y62" s="149" t="s">
        <v>36</v>
      </c>
      <c r="Z62" s="152">
        <f t="shared" si="1"/>
        <v>0</v>
      </c>
    </row>
    <row r="63" spans="2:26" ht="18" x14ac:dyDescent="0.35">
      <c r="B63" s="95"/>
      <c r="C63" s="96"/>
      <c r="D63" s="97"/>
      <c r="E63" s="98"/>
      <c r="F63" s="90"/>
      <c r="G63" s="91"/>
      <c r="H63" s="92"/>
      <c r="I63" s="93"/>
      <c r="J63" s="83"/>
      <c r="K63" s="83"/>
      <c r="L63" s="12"/>
      <c r="M63" s="13"/>
      <c r="N63" s="14"/>
      <c r="O63" s="11"/>
      <c r="P63" s="15"/>
      <c r="Q63" s="16"/>
      <c r="R63" s="2"/>
      <c r="S63" s="12"/>
      <c r="T63" s="17"/>
      <c r="U63" s="2"/>
      <c r="V63" s="18"/>
      <c r="W63" s="8"/>
      <c r="Y63" s="149" t="s">
        <v>37</v>
      </c>
      <c r="Z63" s="152">
        <f t="shared" si="1"/>
        <v>0</v>
      </c>
    </row>
    <row r="64" spans="2:26" ht="18" x14ac:dyDescent="0.35">
      <c r="B64" s="95"/>
      <c r="C64" s="96"/>
      <c r="D64" s="97"/>
      <c r="E64" s="98"/>
      <c r="F64" s="90"/>
      <c r="G64" s="91"/>
      <c r="H64" s="92"/>
      <c r="I64" s="93"/>
      <c r="J64" s="83"/>
      <c r="K64" s="83"/>
      <c r="L64" s="12"/>
      <c r="M64" s="13"/>
      <c r="N64" s="14"/>
      <c r="O64" s="11"/>
      <c r="P64" s="15"/>
      <c r="Q64" s="16"/>
      <c r="R64" s="2"/>
      <c r="S64" s="12"/>
      <c r="T64" s="17"/>
      <c r="U64" s="2"/>
      <c r="V64" s="18"/>
      <c r="W64" s="8"/>
      <c r="Y64" s="149" t="s">
        <v>38</v>
      </c>
      <c r="Z64" s="152">
        <f t="shared" si="1"/>
        <v>0</v>
      </c>
    </row>
    <row r="65" spans="2:26" ht="18" x14ac:dyDescent="0.35">
      <c r="B65" s="95"/>
      <c r="C65" s="96"/>
      <c r="D65" s="97"/>
      <c r="E65" s="98"/>
      <c r="F65" s="99"/>
      <c r="G65" s="100"/>
      <c r="H65" s="101"/>
      <c r="I65" s="102"/>
      <c r="J65" s="83"/>
      <c r="K65" s="83"/>
      <c r="L65" s="12"/>
      <c r="M65" s="13"/>
      <c r="N65" s="14"/>
      <c r="O65" s="11"/>
      <c r="P65" s="15"/>
      <c r="Q65" s="16"/>
      <c r="R65" s="2"/>
      <c r="S65" s="12"/>
      <c r="T65" s="17"/>
      <c r="U65" s="2"/>
      <c r="V65" s="18"/>
      <c r="W65" s="8"/>
      <c r="Y65" s="149" t="s">
        <v>40</v>
      </c>
      <c r="Z65" s="152">
        <f t="shared" si="1"/>
        <v>0</v>
      </c>
    </row>
    <row r="66" spans="2:26" ht="18" x14ac:dyDescent="0.35">
      <c r="B66" s="95"/>
      <c r="C66" s="96"/>
      <c r="D66" s="97"/>
      <c r="E66" s="98"/>
      <c r="F66" s="90"/>
      <c r="G66" s="91"/>
      <c r="H66" s="92"/>
      <c r="I66" s="93"/>
      <c r="J66" s="83"/>
      <c r="K66" s="83"/>
      <c r="L66" s="12"/>
      <c r="M66" s="13"/>
      <c r="N66" s="14"/>
      <c r="O66" s="11"/>
      <c r="P66" s="15"/>
      <c r="Q66" s="16"/>
      <c r="R66" s="2"/>
      <c r="S66" s="12"/>
      <c r="T66" s="17"/>
      <c r="U66" s="2"/>
      <c r="V66" s="18"/>
      <c r="W66" s="8"/>
      <c r="Y66" s="149" t="s">
        <v>41</v>
      </c>
      <c r="Z66" s="152">
        <f t="shared" si="1"/>
        <v>0</v>
      </c>
    </row>
    <row r="67" spans="2:26" ht="18" x14ac:dyDescent="0.35">
      <c r="B67" s="95"/>
      <c r="C67" s="96"/>
      <c r="D67" s="97"/>
      <c r="E67" s="98"/>
      <c r="F67" s="103"/>
      <c r="G67" s="94"/>
      <c r="H67" s="104"/>
      <c r="I67" s="105"/>
      <c r="J67" s="83"/>
      <c r="K67" s="83"/>
      <c r="L67" s="12"/>
      <c r="M67" s="13"/>
      <c r="N67" s="14"/>
      <c r="O67" s="11"/>
      <c r="P67" s="15"/>
      <c r="Q67" s="16"/>
      <c r="R67" s="2"/>
      <c r="S67" s="12"/>
      <c r="T67" s="17"/>
      <c r="U67" s="2"/>
      <c r="V67" s="18"/>
      <c r="W67" s="8"/>
      <c r="Y67" s="149" t="s">
        <v>69</v>
      </c>
      <c r="Z67" s="152">
        <f t="shared" si="1"/>
        <v>0</v>
      </c>
    </row>
    <row r="68" spans="2:26" ht="18" x14ac:dyDescent="0.35">
      <c r="B68" s="95"/>
      <c r="C68" s="96"/>
      <c r="D68" s="97"/>
      <c r="E68" s="98"/>
      <c r="F68" s="90"/>
      <c r="G68" s="91"/>
      <c r="H68" s="92"/>
      <c r="I68" s="105"/>
      <c r="J68" s="83"/>
      <c r="K68" s="83"/>
      <c r="L68" s="12"/>
      <c r="M68" s="13"/>
      <c r="N68" s="14"/>
      <c r="O68" s="11"/>
      <c r="P68" s="15"/>
      <c r="Q68" s="16"/>
      <c r="R68" s="2"/>
      <c r="S68" s="12"/>
      <c r="T68" s="17"/>
      <c r="U68" s="2"/>
      <c r="V68" s="18"/>
      <c r="W68" s="8"/>
      <c r="Y68" s="149" t="s">
        <v>108</v>
      </c>
      <c r="Z68" s="152">
        <f t="shared" si="1"/>
        <v>0</v>
      </c>
    </row>
    <row r="69" spans="2:26" ht="18" x14ac:dyDescent="0.35">
      <c r="B69" s="95"/>
      <c r="C69" s="96"/>
      <c r="D69" s="97"/>
      <c r="E69" s="98"/>
      <c r="F69" s="90"/>
      <c r="G69" s="91"/>
      <c r="H69" s="92"/>
      <c r="I69" s="105"/>
      <c r="J69" s="83"/>
      <c r="K69" s="83"/>
      <c r="L69" s="12"/>
      <c r="M69" s="13"/>
      <c r="N69" s="14"/>
      <c r="O69" s="11"/>
      <c r="P69" s="15"/>
      <c r="Q69" s="16"/>
      <c r="R69" s="2"/>
      <c r="S69" s="12"/>
      <c r="T69" s="17"/>
      <c r="U69" s="2"/>
      <c r="V69" s="18"/>
      <c r="W69" s="8"/>
      <c r="Y69" s="149" t="s">
        <v>44</v>
      </c>
      <c r="Z69" s="152">
        <f t="shared" si="1"/>
        <v>0</v>
      </c>
    </row>
    <row r="70" spans="2:26" ht="18" x14ac:dyDescent="0.35">
      <c r="B70" s="95"/>
      <c r="C70" s="96"/>
      <c r="D70" s="97"/>
      <c r="E70" s="98"/>
      <c r="F70" s="90"/>
      <c r="G70" s="91"/>
      <c r="H70" s="92"/>
      <c r="I70" s="105"/>
      <c r="J70" s="83"/>
      <c r="K70" s="83"/>
      <c r="L70" s="12"/>
      <c r="M70" s="13"/>
      <c r="N70" s="14"/>
      <c r="O70" s="11"/>
      <c r="P70" s="15"/>
      <c r="Q70" s="16"/>
      <c r="R70" s="2"/>
      <c r="S70" s="12"/>
      <c r="T70" s="17"/>
      <c r="U70" s="2"/>
      <c r="V70" s="18"/>
      <c r="W70" s="8"/>
      <c r="Y70" s="149" t="s">
        <v>45</v>
      </c>
      <c r="Z70" s="152">
        <f t="shared" si="1"/>
        <v>0</v>
      </c>
    </row>
    <row r="71" spans="2:26" ht="18" x14ac:dyDescent="0.35">
      <c r="B71" s="95"/>
      <c r="C71" s="96"/>
      <c r="D71" s="97"/>
      <c r="E71" s="98"/>
      <c r="F71" s="90"/>
      <c r="G71" s="91"/>
      <c r="H71" s="92"/>
      <c r="I71" s="105"/>
      <c r="J71" s="83"/>
      <c r="K71" s="83"/>
      <c r="L71" s="12"/>
      <c r="M71" s="13"/>
      <c r="N71" s="14"/>
      <c r="O71" s="11"/>
      <c r="P71" s="15"/>
      <c r="Q71" s="16"/>
      <c r="R71" s="2"/>
      <c r="S71" s="12"/>
      <c r="T71" s="17"/>
      <c r="U71" s="2"/>
      <c r="V71" s="18"/>
      <c r="W71" s="8"/>
      <c r="Y71" s="149" t="s">
        <v>49</v>
      </c>
      <c r="Z71" s="152">
        <f t="shared" si="1"/>
        <v>0</v>
      </c>
    </row>
    <row r="72" spans="2:26" ht="18" x14ac:dyDescent="0.35">
      <c r="B72" s="106"/>
      <c r="C72" s="107"/>
      <c r="D72" s="108"/>
      <c r="E72" s="109"/>
      <c r="F72" s="90"/>
      <c r="G72" s="91"/>
      <c r="H72" s="92"/>
      <c r="I72" s="105"/>
      <c r="J72" s="83"/>
      <c r="K72" s="83"/>
      <c r="L72" s="12"/>
      <c r="M72" s="13"/>
      <c r="N72" s="14"/>
      <c r="O72" s="11"/>
      <c r="P72" s="15"/>
      <c r="Q72" s="16"/>
      <c r="R72" s="2"/>
      <c r="S72" s="12"/>
      <c r="T72" s="17"/>
      <c r="U72" s="2"/>
      <c r="V72" s="18"/>
      <c r="W72" s="8"/>
      <c r="Y72" s="149" t="s">
        <v>50</v>
      </c>
      <c r="Z72" s="152">
        <f t="shared" si="1"/>
        <v>0</v>
      </c>
    </row>
    <row r="73" spans="2:26" ht="18" x14ac:dyDescent="0.35">
      <c r="B73" s="95"/>
      <c r="C73" s="96"/>
      <c r="D73" s="97"/>
      <c r="E73" s="98"/>
      <c r="F73" s="90"/>
      <c r="G73" s="91"/>
      <c r="H73" s="92"/>
      <c r="I73" s="105"/>
      <c r="J73" s="83"/>
      <c r="K73" s="83"/>
      <c r="L73" s="20"/>
      <c r="M73" s="21"/>
      <c r="N73" s="22"/>
      <c r="O73" s="19"/>
      <c r="P73" s="23"/>
      <c r="Q73" s="24"/>
      <c r="R73" s="2"/>
      <c r="S73" s="20"/>
      <c r="T73" s="25"/>
      <c r="U73" s="2"/>
      <c r="V73" s="26"/>
      <c r="W73" s="27"/>
      <c r="Y73" s="149" t="s">
        <v>51</v>
      </c>
      <c r="Z73" s="152">
        <f t="shared" si="1"/>
        <v>0</v>
      </c>
    </row>
    <row r="74" spans="2:26" ht="18" x14ac:dyDescent="0.35">
      <c r="B74" s="110"/>
      <c r="C74" s="111"/>
      <c r="D74" s="112"/>
      <c r="E74" s="113"/>
      <c r="F74" s="90"/>
      <c r="G74" s="91"/>
      <c r="H74" s="92"/>
      <c r="I74" s="105"/>
      <c r="J74" s="83"/>
      <c r="K74" s="83"/>
      <c r="L74" s="12"/>
      <c r="M74" s="28"/>
      <c r="N74" s="14"/>
      <c r="O74" s="11"/>
      <c r="P74" s="11"/>
      <c r="Q74" s="16"/>
      <c r="R74" s="2"/>
      <c r="S74" s="12"/>
      <c r="T74" s="17"/>
      <c r="U74" s="2"/>
      <c r="V74" s="18"/>
      <c r="W74" s="16"/>
      <c r="Y74" s="149" t="s">
        <v>52</v>
      </c>
      <c r="Z74" s="152">
        <f t="shared" si="1"/>
        <v>0</v>
      </c>
    </row>
    <row r="75" spans="2:26" ht="18" x14ac:dyDescent="0.35">
      <c r="B75" s="95"/>
      <c r="C75" s="96"/>
      <c r="D75" s="97"/>
      <c r="E75" s="113"/>
      <c r="F75" s="90"/>
      <c r="G75" s="91"/>
      <c r="H75" s="92"/>
      <c r="I75" s="105"/>
      <c r="J75" s="83"/>
      <c r="K75" s="83"/>
      <c r="L75" s="12"/>
      <c r="M75" s="28"/>
      <c r="N75" s="14"/>
      <c r="O75" s="11"/>
      <c r="P75" s="11"/>
      <c r="Q75" s="16"/>
      <c r="R75" s="2"/>
      <c r="S75" s="12"/>
      <c r="T75" s="17"/>
      <c r="U75" s="2"/>
      <c r="V75" s="18"/>
      <c r="W75" s="16"/>
      <c r="Y75" s="149" t="s">
        <v>72</v>
      </c>
      <c r="Z75" s="152">
        <f t="shared" si="1"/>
        <v>0</v>
      </c>
    </row>
    <row r="76" spans="2:26" ht="18" x14ac:dyDescent="0.35">
      <c r="B76" s="95"/>
      <c r="C76" s="96"/>
      <c r="D76" s="97"/>
      <c r="E76" s="113"/>
      <c r="F76" s="90"/>
      <c r="G76" s="91"/>
      <c r="H76" s="92"/>
      <c r="I76" s="105"/>
      <c r="J76" s="83"/>
      <c r="K76" s="83"/>
      <c r="L76" s="12"/>
      <c r="M76" s="28"/>
      <c r="N76" s="14"/>
      <c r="O76" s="11"/>
      <c r="P76" s="11"/>
      <c r="Q76" s="16"/>
      <c r="R76" s="2"/>
      <c r="S76" s="12"/>
      <c r="T76" s="17"/>
      <c r="U76" s="2"/>
      <c r="V76" s="18"/>
      <c r="W76" s="16"/>
      <c r="Y76" s="149" t="s">
        <v>71</v>
      </c>
      <c r="Z76" s="152">
        <f t="shared" si="1"/>
        <v>0</v>
      </c>
    </row>
    <row r="77" spans="2:26" ht="18" x14ac:dyDescent="0.35">
      <c r="B77" s="95"/>
      <c r="C77" s="96"/>
      <c r="D77" s="97"/>
      <c r="E77" s="113"/>
      <c r="F77" s="90"/>
      <c r="G77" s="91"/>
      <c r="H77" s="92"/>
      <c r="I77" s="105"/>
      <c r="J77" s="83"/>
      <c r="K77" s="83"/>
      <c r="L77" s="12"/>
      <c r="M77" s="28"/>
      <c r="N77" s="14"/>
      <c r="O77" s="11"/>
      <c r="P77" s="11"/>
      <c r="Q77" s="16"/>
      <c r="R77" s="2"/>
      <c r="S77" s="12"/>
      <c r="T77" s="17"/>
      <c r="U77" s="2"/>
      <c r="V77" s="18"/>
      <c r="W77" s="16"/>
      <c r="Y77" s="149" t="s">
        <v>53</v>
      </c>
      <c r="Z77" s="152">
        <f t="shared" ref="Z77:Z79" si="2">SUMIF($G$9:$G$129, Y77, $F$9:$F$129)</f>
        <v>0</v>
      </c>
    </row>
    <row r="78" spans="2:26" ht="18" x14ac:dyDescent="0.35">
      <c r="B78" s="95"/>
      <c r="C78" s="96"/>
      <c r="D78" s="97"/>
      <c r="E78" s="113"/>
      <c r="F78" s="90"/>
      <c r="G78" s="91"/>
      <c r="H78" s="92"/>
      <c r="I78" s="105"/>
      <c r="J78" s="83"/>
      <c r="K78" s="83"/>
      <c r="L78" s="12"/>
      <c r="M78" s="28"/>
      <c r="N78" s="14"/>
      <c r="O78" s="11"/>
      <c r="P78" s="11"/>
      <c r="Q78" s="16"/>
      <c r="R78" s="2"/>
      <c r="S78" s="12"/>
      <c r="T78" s="17"/>
      <c r="U78" s="2"/>
      <c r="V78" s="18"/>
      <c r="W78" s="16"/>
      <c r="Y78" s="149" t="s">
        <v>54</v>
      </c>
      <c r="Z78" s="152">
        <f t="shared" si="2"/>
        <v>0</v>
      </c>
    </row>
    <row r="79" spans="2:26" ht="18.600000000000001" thickBot="1" x14ac:dyDescent="0.4">
      <c r="B79" s="95"/>
      <c r="C79" s="96"/>
      <c r="D79" s="97"/>
      <c r="E79" s="113"/>
      <c r="F79" s="90"/>
      <c r="G79" s="91"/>
      <c r="H79" s="92"/>
      <c r="I79" s="105"/>
      <c r="J79" s="83"/>
      <c r="K79" s="83"/>
      <c r="L79" s="12"/>
      <c r="M79" s="28"/>
      <c r="N79" s="14"/>
      <c r="O79" s="11"/>
      <c r="P79" s="11"/>
      <c r="Q79" s="16"/>
      <c r="R79" s="2"/>
      <c r="S79" s="12"/>
      <c r="T79" s="17"/>
      <c r="U79" s="2"/>
      <c r="V79" s="18"/>
      <c r="W79" s="16"/>
      <c r="Y79" s="150" t="s">
        <v>55</v>
      </c>
      <c r="Z79" s="153">
        <f t="shared" si="2"/>
        <v>0</v>
      </c>
    </row>
    <row r="80" spans="2:26" ht="18" x14ac:dyDescent="0.35">
      <c r="B80" s="95"/>
      <c r="C80" s="96"/>
      <c r="D80" s="97"/>
      <c r="E80" s="113"/>
      <c r="F80" s="90"/>
      <c r="G80" s="91"/>
      <c r="H80" s="92"/>
      <c r="I80" s="105"/>
      <c r="J80" s="83"/>
      <c r="K80" s="83"/>
      <c r="L80" s="12"/>
      <c r="M80" s="28"/>
      <c r="N80" s="14"/>
      <c r="O80" s="11"/>
      <c r="P80" s="11"/>
      <c r="Q80" s="16"/>
      <c r="R80" s="2"/>
      <c r="S80" s="12"/>
      <c r="T80" s="17"/>
      <c r="U80" s="2"/>
      <c r="V80" s="18"/>
      <c r="W80" s="16"/>
    </row>
    <row r="81" spans="2:23" ht="18" x14ac:dyDescent="0.35">
      <c r="B81" s="95"/>
      <c r="C81" s="96"/>
      <c r="D81" s="97"/>
      <c r="E81" s="113"/>
      <c r="F81" s="90"/>
      <c r="G81" s="91"/>
      <c r="H81" s="92"/>
      <c r="I81" s="105"/>
      <c r="J81" s="83"/>
      <c r="K81" s="83"/>
      <c r="L81" s="12"/>
      <c r="M81" s="28"/>
      <c r="N81" s="14"/>
      <c r="O81" s="11"/>
      <c r="P81" s="11"/>
      <c r="Q81" s="16"/>
      <c r="R81" s="2"/>
      <c r="S81" s="12"/>
      <c r="T81" s="17"/>
      <c r="U81" s="2"/>
      <c r="V81" s="18"/>
      <c r="W81" s="16"/>
    </row>
    <row r="82" spans="2:23" ht="18" x14ac:dyDescent="0.35">
      <c r="B82" s="95"/>
      <c r="C82" s="96"/>
      <c r="D82" s="97"/>
      <c r="E82" s="113"/>
      <c r="F82" s="90"/>
      <c r="G82" s="91"/>
      <c r="H82" s="92"/>
      <c r="I82" s="105"/>
      <c r="J82" s="83"/>
      <c r="K82" s="83"/>
      <c r="L82" s="12"/>
      <c r="M82" s="28"/>
      <c r="N82" s="14"/>
      <c r="O82" s="11"/>
      <c r="P82" s="11"/>
      <c r="Q82" s="16"/>
      <c r="R82" s="2"/>
      <c r="S82" s="12"/>
      <c r="T82" s="17"/>
      <c r="U82" s="2"/>
      <c r="V82" s="18"/>
      <c r="W82" s="16"/>
    </row>
    <row r="83" spans="2:23" ht="18" x14ac:dyDescent="0.35">
      <c r="B83" s="95"/>
      <c r="C83" s="96"/>
      <c r="D83" s="97"/>
      <c r="E83" s="113"/>
      <c r="F83" s="90"/>
      <c r="G83" s="91"/>
      <c r="H83" s="92"/>
      <c r="I83" s="105"/>
      <c r="J83" s="83"/>
      <c r="K83" s="83"/>
      <c r="L83" s="12"/>
      <c r="M83" s="28"/>
      <c r="N83" s="14"/>
      <c r="O83" s="11"/>
      <c r="P83" s="11"/>
      <c r="Q83" s="16"/>
      <c r="R83" s="2"/>
      <c r="S83" s="12"/>
      <c r="T83" s="17"/>
      <c r="U83" s="2"/>
      <c r="V83" s="18"/>
      <c r="W83" s="16"/>
    </row>
    <row r="84" spans="2:23" ht="18" x14ac:dyDescent="0.35">
      <c r="B84" s="95"/>
      <c r="C84" s="96"/>
      <c r="D84" s="97"/>
      <c r="E84" s="113"/>
      <c r="F84" s="90"/>
      <c r="G84" s="91"/>
      <c r="H84" s="92"/>
      <c r="I84" s="105"/>
      <c r="J84" s="83"/>
      <c r="K84" s="83"/>
      <c r="L84" s="12"/>
      <c r="M84" s="28"/>
      <c r="N84" s="14"/>
      <c r="O84" s="11"/>
      <c r="P84" s="11"/>
      <c r="Q84" s="16"/>
      <c r="R84" s="2"/>
      <c r="S84" s="12"/>
      <c r="T84" s="17"/>
      <c r="U84" s="2"/>
      <c r="V84" s="18"/>
      <c r="W84" s="16"/>
    </row>
    <row r="85" spans="2:23" ht="18" x14ac:dyDescent="0.35">
      <c r="B85" s="95"/>
      <c r="C85" s="96"/>
      <c r="D85" s="97"/>
      <c r="E85" s="113"/>
      <c r="F85" s="90"/>
      <c r="G85" s="91"/>
      <c r="H85" s="92"/>
      <c r="I85" s="105"/>
      <c r="J85" s="83"/>
      <c r="K85" s="83"/>
      <c r="L85" s="12"/>
      <c r="M85" s="28"/>
      <c r="N85" s="14"/>
      <c r="O85" s="11"/>
      <c r="P85" s="11"/>
      <c r="Q85" s="16"/>
      <c r="R85" s="2"/>
      <c r="S85" s="12"/>
      <c r="T85" s="17"/>
      <c r="U85" s="2"/>
      <c r="V85" s="18"/>
      <c r="W85" s="16"/>
    </row>
    <row r="86" spans="2:23" ht="18" x14ac:dyDescent="0.35">
      <c r="B86" s="95"/>
      <c r="C86" s="96"/>
      <c r="D86" s="97"/>
      <c r="E86" s="113"/>
      <c r="F86" s="90"/>
      <c r="G86" s="91"/>
      <c r="H86" s="92"/>
      <c r="I86" s="105"/>
      <c r="J86" s="83"/>
      <c r="K86" s="83"/>
      <c r="L86" s="12"/>
      <c r="M86" s="28"/>
      <c r="N86" s="14"/>
      <c r="O86" s="11"/>
      <c r="P86" s="11"/>
      <c r="Q86" s="16"/>
      <c r="R86" s="2"/>
      <c r="S86" s="12"/>
      <c r="T86" s="17"/>
      <c r="U86" s="2"/>
      <c r="V86" s="18"/>
      <c r="W86" s="16"/>
    </row>
    <row r="87" spans="2:23" ht="18" x14ac:dyDescent="0.35">
      <c r="B87" s="95"/>
      <c r="C87" s="96"/>
      <c r="D87" s="97"/>
      <c r="E87" s="113"/>
      <c r="F87" s="90"/>
      <c r="G87" s="91"/>
      <c r="H87" s="92"/>
      <c r="I87" s="105"/>
      <c r="J87" s="83"/>
      <c r="K87" s="83"/>
      <c r="L87" s="12"/>
      <c r="M87" s="28"/>
      <c r="N87" s="14"/>
      <c r="O87" s="11"/>
      <c r="P87" s="11"/>
      <c r="Q87" s="16"/>
      <c r="R87" s="2"/>
      <c r="S87" s="12"/>
      <c r="T87" s="17"/>
      <c r="U87" s="2"/>
      <c r="V87" s="18"/>
      <c r="W87" s="16"/>
    </row>
    <row r="88" spans="2:23" ht="18" x14ac:dyDescent="0.35">
      <c r="B88" s="95"/>
      <c r="C88" s="96"/>
      <c r="D88" s="97"/>
      <c r="E88" s="113"/>
      <c r="F88" s="90"/>
      <c r="G88" s="91"/>
      <c r="H88" s="92"/>
      <c r="I88" s="105"/>
      <c r="J88" s="83"/>
      <c r="K88" s="83"/>
      <c r="L88" s="12"/>
      <c r="M88" s="28"/>
      <c r="N88" s="14"/>
      <c r="O88" s="11"/>
      <c r="P88" s="11"/>
      <c r="Q88" s="16"/>
      <c r="R88" s="2"/>
      <c r="S88" s="12"/>
      <c r="T88" s="17"/>
      <c r="U88" s="2"/>
      <c r="V88" s="18"/>
      <c r="W88" s="16"/>
    </row>
    <row r="89" spans="2:23" ht="18" x14ac:dyDescent="0.35">
      <c r="B89" s="95"/>
      <c r="C89" s="96"/>
      <c r="D89" s="97"/>
      <c r="E89" s="113"/>
      <c r="F89" s="90"/>
      <c r="G89" s="91"/>
      <c r="H89" s="92"/>
      <c r="I89" s="105"/>
      <c r="J89" s="83"/>
      <c r="K89" s="83"/>
      <c r="L89" s="12"/>
      <c r="M89" s="28"/>
      <c r="N89" s="14"/>
      <c r="O89" s="11"/>
      <c r="P89" s="11"/>
      <c r="Q89" s="16"/>
      <c r="R89" s="2"/>
      <c r="S89" s="12"/>
      <c r="T89" s="17"/>
      <c r="U89" s="2"/>
      <c r="V89" s="18"/>
      <c r="W89" s="16"/>
    </row>
    <row r="90" spans="2:23" ht="18" x14ac:dyDescent="0.35">
      <c r="B90" s="95"/>
      <c r="C90" s="96"/>
      <c r="D90" s="97"/>
      <c r="E90" s="113"/>
      <c r="F90" s="90"/>
      <c r="G90" s="91"/>
      <c r="H90" s="92"/>
      <c r="I90" s="105"/>
      <c r="J90" s="83"/>
      <c r="K90" s="83"/>
      <c r="L90" s="12"/>
      <c r="M90" s="28"/>
      <c r="N90" s="14"/>
      <c r="O90" s="11"/>
      <c r="P90" s="11"/>
      <c r="Q90" s="16"/>
      <c r="R90" s="2"/>
      <c r="S90" s="12"/>
      <c r="T90" s="17"/>
      <c r="U90" s="2"/>
      <c r="V90" s="18"/>
      <c r="W90" s="16"/>
    </row>
    <row r="91" spans="2:23" ht="18" x14ac:dyDescent="0.35">
      <c r="B91" s="95"/>
      <c r="C91" s="96"/>
      <c r="D91" s="97"/>
      <c r="E91" s="113"/>
      <c r="F91" s="90"/>
      <c r="G91" s="91"/>
      <c r="H91" s="92"/>
      <c r="I91" s="105"/>
      <c r="J91" s="83"/>
      <c r="K91" s="83"/>
      <c r="L91" s="12"/>
      <c r="M91" s="28"/>
      <c r="N91" s="14"/>
      <c r="O91" s="11"/>
      <c r="P91" s="11"/>
      <c r="Q91" s="16"/>
      <c r="R91" s="2"/>
      <c r="S91" s="12"/>
      <c r="T91" s="17"/>
      <c r="U91" s="2"/>
      <c r="V91" s="18"/>
      <c r="W91" s="16"/>
    </row>
    <row r="92" spans="2:23" ht="18" x14ac:dyDescent="0.35">
      <c r="B92" s="95"/>
      <c r="C92" s="96"/>
      <c r="D92" s="97"/>
      <c r="E92" s="113"/>
      <c r="F92" s="90"/>
      <c r="G92" s="91"/>
      <c r="H92" s="92"/>
      <c r="I92" s="105"/>
      <c r="J92" s="83"/>
      <c r="K92" s="83"/>
      <c r="L92" s="12"/>
      <c r="M92" s="28"/>
      <c r="N92" s="14"/>
      <c r="O92" s="11"/>
      <c r="P92" s="11"/>
      <c r="Q92" s="16"/>
      <c r="R92" s="2"/>
      <c r="S92" s="12"/>
      <c r="T92" s="17"/>
      <c r="U92" s="2"/>
      <c r="V92" s="18"/>
      <c r="W92" s="16"/>
    </row>
    <row r="93" spans="2:23" ht="18" x14ac:dyDescent="0.35">
      <c r="B93" s="95"/>
      <c r="C93" s="96"/>
      <c r="D93" s="97"/>
      <c r="E93" s="113"/>
      <c r="F93" s="90"/>
      <c r="G93" s="91"/>
      <c r="H93" s="92"/>
      <c r="I93" s="105"/>
      <c r="J93" s="83"/>
      <c r="K93" s="83"/>
      <c r="L93" s="12"/>
      <c r="M93" s="28"/>
      <c r="N93" s="14"/>
      <c r="O93" s="11"/>
      <c r="P93" s="11"/>
      <c r="Q93" s="16"/>
      <c r="R93" s="2"/>
      <c r="S93" s="12"/>
      <c r="T93" s="17"/>
      <c r="U93" s="2"/>
      <c r="V93" s="18"/>
      <c r="W93" s="16"/>
    </row>
    <row r="94" spans="2:23" ht="18" x14ac:dyDescent="0.35">
      <c r="B94" s="95"/>
      <c r="C94" s="96"/>
      <c r="D94" s="97"/>
      <c r="E94" s="113"/>
      <c r="F94" s="90"/>
      <c r="G94" s="91"/>
      <c r="H94" s="92"/>
      <c r="I94" s="105"/>
      <c r="J94" s="83"/>
      <c r="K94" s="83"/>
      <c r="L94" s="12"/>
      <c r="M94" s="28"/>
      <c r="N94" s="14"/>
      <c r="O94" s="11"/>
      <c r="P94" s="11"/>
      <c r="Q94" s="16"/>
      <c r="R94" s="2"/>
      <c r="S94" s="12"/>
      <c r="T94" s="17"/>
      <c r="U94" s="2"/>
      <c r="V94" s="18"/>
      <c r="W94" s="16"/>
    </row>
    <row r="95" spans="2:23" ht="18" x14ac:dyDescent="0.35">
      <c r="B95" s="95"/>
      <c r="C95" s="96"/>
      <c r="D95" s="97"/>
      <c r="E95" s="113"/>
      <c r="F95" s="90"/>
      <c r="G95" s="91"/>
      <c r="H95" s="92"/>
      <c r="I95" s="105"/>
      <c r="J95" s="83"/>
      <c r="K95" s="83"/>
      <c r="L95" s="12"/>
      <c r="M95" s="28"/>
      <c r="N95" s="14"/>
      <c r="O95" s="11"/>
      <c r="P95" s="11"/>
      <c r="Q95" s="16"/>
      <c r="R95" s="2"/>
      <c r="S95" s="12"/>
      <c r="T95" s="17"/>
      <c r="U95" s="2"/>
      <c r="V95" s="18"/>
      <c r="W95" s="16"/>
    </row>
    <row r="96" spans="2:23" ht="18" x14ac:dyDescent="0.35">
      <c r="B96" s="95"/>
      <c r="C96" s="96"/>
      <c r="D96" s="97"/>
      <c r="E96" s="113"/>
      <c r="F96" s="90"/>
      <c r="G96" s="91"/>
      <c r="H96" s="92"/>
      <c r="I96" s="105"/>
      <c r="J96" s="83"/>
      <c r="K96" s="83"/>
      <c r="L96" s="12"/>
      <c r="M96" s="28"/>
      <c r="N96" s="14"/>
      <c r="O96" s="11"/>
      <c r="P96" s="11"/>
      <c r="Q96" s="16"/>
      <c r="R96" s="2"/>
      <c r="S96" s="12"/>
      <c r="T96" s="17"/>
      <c r="U96" s="2"/>
      <c r="V96" s="18"/>
      <c r="W96" s="16"/>
    </row>
    <row r="97" spans="2:23" ht="18" x14ac:dyDescent="0.35">
      <c r="B97" s="95"/>
      <c r="C97" s="96"/>
      <c r="D97" s="97"/>
      <c r="E97" s="113"/>
      <c r="F97" s="90"/>
      <c r="G97" s="91"/>
      <c r="H97" s="92"/>
      <c r="I97" s="105"/>
      <c r="J97" s="83"/>
      <c r="K97" s="83"/>
      <c r="L97" s="12"/>
      <c r="M97" s="28"/>
      <c r="N97" s="14"/>
      <c r="O97" s="11"/>
      <c r="P97" s="11"/>
      <c r="Q97" s="16"/>
      <c r="R97" s="2"/>
      <c r="S97" s="12"/>
      <c r="T97" s="17"/>
      <c r="U97" s="2"/>
      <c r="V97" s="18"/>
      <c r="W97" s="16"/>
    </row>
    <row r="98" spans="2:23" ht="18" x14ac:dyDescent="0.35">
      <c r="B98" s="95"/>
      <c r="C98" s="96"/>
      <c r="D98" s="97"/>
      <c r="E98" s="113"/>
      <c r="F98" s="90"/>
      <c r="G98" s="91"/>
      <c r="H98" s="92"/>
      <c r="I98" s="105"/>
      <c r="J98" s="83"/>
      <c r="K98" s="83"/>
      <c r="L98" s="12"/>
      <c r="M98" s="28"/>
      <c r="N98" s="14"/>
      <c r="O98" s="11"/>
      <c r="P98" s="11"/>
      <c r="Q98" s="16"/>
      <c r="R98" s="2"/>
      <c r="S98" s="12"/>
      <c r="T98" s="17"/>
      <c r="U98" s="2"/>
      <c r="V98" s="18"/>
      <c r="W98" s="16"/>
    </row>
    <row r="99" spans="2:23" ht="18" x14ac:dyDescent="0.35">
      <c r="B99" s="95"/>
      <c r="C99" s="96"/>
      <c r="D99" s="97"/>
      <c r="E99" s="113"/>
      <c r="F99" s="90"/>
      <c r="G99" s="91"/>
      <c r="H99" s="92"/>
      <c r="I99" s="105"/>
      <c r="J99" s="83"/>
      <c r="K99" s="83"/>
      <c r="L99" s="12"/>
      <c r="M99" s="28"/>
      <c r="N99" s="14"/>
      <c r="O99" s="11"/>
      <c r="P99" s="11"/>
      <c r="Q99" s="16"/>
      <c r="R99" s="2"/>
      <c r="S99" s="12"/>
      <c r="T99" s="17"/>
      <c r="U99" s="2"/>
      <c r="V99" s="18"/>
      <c r="W99" s="16"/>
    </row>
    <row r="100" spans="2:23" ht="18" x14ac:dyDescent="0.35">
      <c r="B100" s="95"/>
      <c r="C100" s="96"/>
      <c r="D100" s="97"/>
      <c r="E100" s="113"/>
      <c r="F100" s="90"/>
      <c r="G100" s="91"/>
      <c r="H100" s="92"/>
      <c r="I100" s="105"/>
      <c r="J100" s="83"/>
      <c r="K100" s="83"/>
      <c r="L100" s="12"/>
      <c r="M100" s="28"/>
      <c r="N100" s="14"/>
      <c r="O100" s="11"/>
      <c r="P100" s="11"/>
      <c r="Q100" s="16"/>
      <c r="R100" s="2"/>
      <c r="S100" s="12"/>
      <c r="T100" s="17"/>
      <c r="U100" s="2"/>
      <c r="V100" s="18"/>
      <c r="W100" s="16"/>
    </row>
    <row r="101" spans="2:23" ht="18" x14ac:dyDescent="0.35">
      <c r="B101" s="95"/>
      <c r="C101" s="96"/>
      <c r="D101" s="97"/>
      <c r="E101" s="113"/>
      <c r="F101" s="90"/>
      <c r="G101" s="91"/>
      <c r="H101" s="92"/>
      <c r="I101" s="105"/>
      <c r="J101" s="83"/>
      <c r="K101" s="83"/>
      <c r="L101" s="12"/>
      <c r="M101" s="28"/>
      <c r="N101" s="14"/>
      <c r="O101" s="11"/>
      <c r="P101" s="11"/>
      <c r="Q101" s="16"/>
      <c r="R101" s="2"/>
      <c r="S101" s="12"/>
      <c r="T101" s="17"/>
      <c r="U101" s="2"/>
      <c r="V101" s="18"/>
      <c r="W101" s="16"/>
    </row>
    <row r="102" spans="2:23" ht="18" x14ac:dyDescent="0.35">
      <c r="B102" s="95"/>
      <c r="C102" s="96"/>
      <c r="D102" s="97"/>
      <c r="E102" s="113"/>
      <c r="F102" s="90"/>
      <c r="G102" s="91"/>
      <c r="H102" s="92"/>
      <c r="I102" s="105"/>
      <c r="J102" s="83"/>
      <c r="K102" s="83"/>
      <c r="L102" s="12"/>
      <c r="M102" s="28"/>
      <c r="N102" s="14"/>
      <c r="O102" s="11"/>
      <c r="P102" s="11"/>
      <c r="Q102" s="16"/>
      <c r="R102" s="2"/>
      <c r="S102" s="12"/>
      <c r="T102" s="17"/>
      <c r="U102" s="2"/>
      <c r="V102" s="18"/>
      <c r="W102" s="16"/>
    </row>
    <row r="103" spans="2:23" ht="18" x14ac:dyDescent="0.35">
      <c r="B103" s="95"/>
      <c r="C103" s="96"/>
      <c r="D103" s="97"/>
      <c r="E103" s="113"/>
      <c r="F103" s="90"/>
      <c r="G103" s="91"/>
      <c r="H103" s="92"/>
      <c r="I103" s="105"/>
      <c r="J103" s="83"/>
      <c r="K103" s="83"/>
      <c r="L103" s="12"/>
      <c r="M103" s="28"/>
      <c r="N103" s="14"/>
      <c r="O103" s="11"/>
      <c r="P103" s="11"/>
      <c r="Q103" s="16"/>
      <c r="R103" s="2"/>
      <c r="S103" s="12"/>
      <c r="T103" s="17"/>
      <c r="U103" s="2"/>
      <c r="V103" s="18"/>
      <c r="W103" s="16"/>
    </row>
    <row r="104" spans="2:23" ht="18" x14ac:dyDescent="0.35">
      <c r="B104" s="95"/>
      <c r="C104" s="96"/>
      <c r="D104" s="97"/>
      <c r="E104" s="113"/>
      <c r="F104" s="90"/>
      <c r="G104" s="91"/>
      <c r="H104" s="92"/>
      <c r="I104" s="105"/>
      <c r="J104" s="83"/>
      <c r="K104" s="83"/>
      <c r="L104" s="12"/>
      <c r="M104" s="28"/>
      <c r="N104" s="14"/>
      <c r="O104" s="11"/>
      <c r="P104" s="11"/>
      <c r="Q104" s="16"/>
      <c r="R104" s="2"/>
      <c r="S104" s="12"/>
      <c r="T104" s="17"/>
      <c r="U104" s="2"/>
      <c r="V104" s="18"/>
      <c r="W104" s="16"/>
    </row>
    <row r="105" spans="2:23" ht="18" x14ac:dyDescent="0.35">
      <c r="B105" s="95"/>
      <c r="C105" s="96"/>
      <c r="D105" s="97"/>
      <c r="E105" s="113"/>
      <c r="F105" s="90"/>
      <c r="G105" s="91"/>
      <c r="H105" s="92"/>
      <c r="I105" s="105"/>
      <c r="J105" s="83"/>
      <c r="K105" s="83"/>
      <c r="L105" s="12"/>
      <c r="M105" s="28"/>
      <c r="N105" s="14"/>
      <c r="O105" s="11"/>
      <c r="P105" s="11"/>
      <c r="Q105" s="16"/>
      <c r="R105" s="2"/>
      <c r="S105" s="12"/>
      <c r="T105" s="17"/>
      <c r="U105" s="2"/>
      <c r="V105" s="18"/>
      <c r="W105" s="16"/>
    </row>
    <row r="106" spans="2:23" ht="18" x14ac:dyDescent="0.35">
      <c r="B106" s="95"/>
      <c r="C106" s="96"/>
      <c r="D106" s="97"/>
      <c r="E106" s="113"/>
      <c r="F106" s="90"/>
      <c r="G106" s="91"/>
      <c r="H106" s="92"/>
      <c r="I106" s="105"/>
      <c r="J106" s="83"/>
      <c r="K106" s="83"/>
      <c r="L106" s="12"/>
      <c r="M106" s="28"/>
      <c r="N106" s="14"/>
      <c r="O106" s="11"/>
      <c r="P106" s="11"/>
      <c r="Q106" s="16"/>
      <c r="R106" s="2"/>
      <c r="S106" s="12"/>
      <c r="T106" s="17"/>
      <c r="U106" s="2"/>
      <c r="V106" s="18"/>
      <c r="W106" s="16"/>
    </row>
    <row r="107" spans="2:23" ht="18" x14ac:dyDescent="0.35">
      <c r="B107" s="95"/>
      <c r="C107" s="96"/>
      <c r="D107" s="97"/>
      <c r="E107" s="113"/>
      <c r="F107" s="90"/>
      <c r="G107" s="91"/>
      <c r="H107" s="92"/>
      <c r="I107" s="105"/>
      <c r="J107" s="83"/>
      <c r="K107" s="83"/>
      <c r="L107" s="12"/>
      <c r="M107" s="28"/>
      <c r="N107" s="14"/>
      <c r="O107" s="11"/>
      <c r="P107" s="11"/>
      <c r="Q107" s="16"/>
      <c r="R107" s="2"/>
      <c r="S107" s="12"/>
      <c r="T107" s="17"/>
      <c r="U107" s="2"/>
      <c r="V107" s="18"/>
      <c r="W107" s="16"/>
    </row>
    <row r="108" spans="2:23" ht="18" x14ac:dyDescent="0.35">
      <c r="B108" s="95"/>
      <c r="C108" s="96"/>
      <c r="D108" s="97"/>
      <c r="E108" s="113"/>
      <c r="F108" s="90"/>
      <c r="G108" s="91"/>
      <c r="H108" s="92"/>
      <c r="I108" s="105"/>
      <c r="J108" s="83"/>
      <c r="K108" s="83"/>
      <c r="L108" s="12"/>
      <c r="M108" s="28"/>
      <c r="N108" s="14"/>
      <c r="O108" s="11"/>
      <c r="P108" s="11"/>
      <c r="Q108" s="16"/>
      <c r="R108" s="2"/>
      <c r="S108" s="12"/>
      <c r="T108" s="17"/>
      <c r="U108" s="2"/>
      <c r="V108" s="18"/>
      <c r="W108" s="16"/>
    </row>
    <row r="109" spans="2:23" ht="18" x14ac:dyDescent="0.35">
      <c r="B109" s="95"/>
      <c r="C109" s="96"/>
      <c r="D109" s="97"/>
      <c r="E109" s="113"/>
      <c r="F109" s="90"/>
      <c r="G109" s="91"/>
      <c r="H109" s="92"/>
      <c r="I109" s="105"/>
      <c r="J109" s="83"/>
      <c r="K109" s="83"/>
      <c r="L109" s="12"/>
      <c r="M109" s="28"/>
      <c r="N109" s="14"/>
      <c r="O109" s="11"/>
      <c r="P109" s="11"/>
      <c r="Q109" s="16"/>
      <c r="R109" s="2"/>
      <c r="S109" s="12"/>
      <c r="T109" s="17"/>
      <c r="U109" s="2"/>
      <c r="V109" s="18"/>
      <c r="W109" s="16"/>
    </row>
    <row r="110" spans="2:23" ht="18" x14ac:dyDescent="0.35">
      <c r="B110" s="95"/>
      <c r="C110" s="96"/>
      <c r="D110" s="97"/>
      <c r="E110" s="113"/>
      <c r="F110" s="90"/>
      <c r="G110" s="91"/>
      <c r="H110" s="92"/>
      <c r="I110" s="105"/>
      <c r="J110" s="83"/>
      <c r="K110" s="83"/>
      <c r="L110" s="12"/>
      <c r="M110" s="28"/>
      <c r="N110" s="14"/>
      <c r="O110" s="11"/>
      <c r="P110" s="11"/>
      <c r="Q110" s="16"/>
      <c r="R110" s="2"/>
      <c r="S110" s="12"/>
      <c r="T110" s="17"/>
      <c r="U110" s="2"/>
      <c r="V110" s="18"/>
      <c r="W110" s="16"/>
    </row>
    <row r="111" spans="2:23" ht="18" x14ac:dyDescent="0.35">
      <c r="B111" s="95"/>
      <c r="C111" s="96"/>
      <c r="D111" s="97"/>
      <c r="E111" s="113"/>
      <c r="F111" s="90"/>
      <c r="G111" s="91"/>
      <c r="H111" s="92"/>
      <c r="I111" s="105"/>
      <c r="J111" s="83"/>
      <c r="K111" s="83"/>
      <c r="L111" s="12"/>
      <c r="M111" s="28"/>
      <c r="N111" s="14"/>
      <c r="O111" s="11"/>
      <c r="P111" s="11"/>
      <c r="Q111" s="16"/>
      <c r="R111" s="2"/>
      <c r="S111" s="12"/>
      <c r="T111" s="17"/>
      <c r="U111" s="2"/>
      <c r="V111" s="18"/>
      <c r="W111" s="16"/>
    </row>
    <row r="112" spans="2:23" ht="18" x14ac:dyDescent="0.35">
      <c r="B112" s="95"/>
      <c r="C112" s="96"/>
      <c r="D112" s="97"/>
      <c r="E112" s="113"/>
      <c r="F112" s="90"/>
      <c r="G112" s="91"/>
      <c r="H112" s="92"/>
      <c r="I112" s="105"/>
      <c r="J112" s="83"/>
      <c r="K112" s="83"/>
      <c r="L112" s="12"/>
      <c r="M112" s="28"/>
      <c r="N112" s="14"/>
      <c r="O112" s="11"/>
      <c r="P112" s="11"/>
      <c r="Q112" s="16"/>
      <c r="R112" s="2"/>
      <c r="S112" s="12"/>
      <c r="T112" s="17"/>
      <c r="U112" s="2"/>
      <c r="V112" s="18"/>
      <c r="W112" s="16"/>
    </row>
    <row r="113" spans="2:23" ht="18" x14ac:dyDescent="0.35">
      <c r="B113" s="95"/>
      <c r="C113" s="96"/>
      <c r="D113" s="97"/>
      <c r="E113" s="113"/>
      <c r="F113" s="90"/>
      <c r="G113" s="91"/>
      <c r="H113" s="92"/>
      <c r="I113" s="105"/>
      <c r="J113" s="83"/>
      <c r="K113" s="83"/>
      <c r="L113" s="12"/>
      <c r="M113" s="28"/>
      <c r="N113" s="14"/>
      <c r="O113" s="11"/>
      <c r="P113" s="11"/>
      <c r="Q113" s="16"/>
      <c r="R113" s="2"/>
      <c r="S113" s="12"/>
      <c r="T113" s="17"/>
      <c r="U113" s="2"/>
      <c r="V113" s="18"/>
      <c r="W113" s="16"/>
    </row>
    <row r="114" spans="2:23" ht="18" x14ac:dyDescent="0.35">
      <c r="B114" s="95"/>
      <c r="C114" s="96"/>
      <c r="D114" s="97"/>
      <c r="E114" s="113"/>
      <c r="F114" s="90"/>
      <c r="G114" s="91"/>
      <c r="H114" s="92"/>
      <c r="I114" s="105"/>
      <c r="J114" s="83"/>
      <c r="K114" s="83"/>
      <c r="L114" s="12"/>
      <c r="M114" s="28"/>
      <c r="N114" s="14"/>
      <c r="O114" s="11"/>
      <c r="P114" s="11"/>
      <c r="Q114" s="16"/>
      <c r="R114" s="2"/>
      <c r="S114" s="12"/>
      <c r="T114" s="17"/>
      <c r="U114" s="2"/>
      <c r="V114" s="18"/>
      <c r="W114" s="16"/>
    </row>
    <row r="115" spans="2:23" ht="18" x14ac:dyDescent="0.35">
      <c r="B115" s="95"/>
      <c r="C115" s="96"/>
      <c r="D115" s="97"/>
      <c r="E115" s="113"/>
      <c r="F115" s="90"/>
      <c r="G115" s="91"/>
      <c r="H115" s="92"/>
      <c r="I115" s="105"/>
      <c r="J115" s="83"/>
      <c r="K115" s="83"/>
      <c r="L115" s="12"/>
      <c r="M115" s="28"/>
      <c r="N115" s="14"/>
      <c r="O115" s="11"/>
      <c r="P115" s="11"/>
      <c r="Q115" s="16"/>
      <c r="R115" s="2"/>
      <c r="S115" s="12"/>
      <c r="T115" s="17"/>
      <c r="U115" s="2"/>
      <c r="V115" s="18"/>
      <c r="W115" s="16"/>
    </row>
    <row r="116" spans="2:23" ht="18" x14ac:dyDescent="0.35">
      <c r="B116" s="95"/>
      <c r="C116" s="96"/>
      <c r="D116" s="97"/>
      <c r="E116" s="113"/>
      <c r="F116" s="90"/>
      <c r="G116" s="91"/>
      <c r="H116" s="92"/>
      <c r="I116" s="105"/>
      <c r="J116" s="83"/>
      <c r="K116" s="83"/>
      <c r="L116" s="12"/>
      <c r="M116" s="28"/>
      <c r="N116" s="14"/>
      <c r="O116" s="11"/>
      <c r="P116" s="11"/>
      <c r="Q116" s="16"/>
      <c r="R116" s="2"/>
      <c r="S116" s="12"/>
      <c r="T116" s="17"/>
      <c r="U116" s="2"/>
      <c r="V116" s="18"/>
      <c r="W116" s="16"/>
    </row>
    <row r="117" spans="2:23" ht="18" x14ac:dyDescent="0.35">
      <c r="B117" s="95"/>
      <c r="C117" s="96"/>
      <c r="D117" s="97"/>
      <c r="E117" s="113"/>
      <c r="F117" s="90"/>
      <c r="G117" s="91"/>
      <c r="H117" s="92"/>
      <c r="I117" s="105"/>
      <c r="J117" s="83"/>
      <c r="K117" s="83"/>
      <c r="L117" s="12"/>
      <c r="M117" s="28"/>
      <c r="N117" s="14"/>
      <c r="O117" s="11"/>
      <c r="P117" s="11"/>
      <c r="Q117" s="16"/>
      <c r="R117" s="2"/>
      <c r="S117" s="12"/>
      <c r="T117" s="17"/>
      <c r="U117" s="2"/>
      <c r="V117" s="18"/>
      <c r="W117" s="16"/>
    </row>
    <row r="118" spans="2:23" ht="18" x14ac:dyDescent="0.35">
      <c r="B118" s="95"/>
      <c r="C118" s="96"/>
      <c r="D118" s="97"/>
      <c r="E118" s="113"/>
      <c r="F118" s="90"/>
      <c r="G118" s="91"/>
      <c r="H118" s="92"/>
      <c r="I118" s="105"/>
      <c r="J118" s="83"/>
      <c r="K118" s="83"/>
      <c r="L118" s="12"/>
      <c r="M118" s="28"/>
      <c r="N118" s="14"/>
      <c r="O118" s="11"/>
      <c r="P118" s="11"/>
      <c r="Q118" s="16"/>
      <c r="R118" s="2"/>
      <c r="S118" s="12"/>
      <c r="T118" s="17"/>
      <c r="U118" s="2"/>
      <c r="V118" s="18"/>
      <c r="W118" s="16"/>
    </row>
    <row r="119" spans="2:23" ht="18" x14ac:dyDescent="0.35">
      <c r="B119" s="95"/>
      <c r="C119" s="96"/>
      <c r="D119" s="97"/>
      <c r="E119" s="113"/>
      <c r="F119" s="90"/>
      <c r="G119" s="91"/>
      <c r="H119" s="92"/>
      <c r="I119" s="105"/>
      <c r="J119" s="83"/>
      <c r="K119" s="83"/>
      <c r="L119" s="12"/>
      <c r="M119" s="28"/>
      <c r="N119" s="14"/>
      <c r="O119" s="11"/>
      <c r="P119" s="11"/>
      <c r="Q119" s="16"/>
      <c r="R119" s="2"/>
      <c r="S119" s="12"/>
      <c r="T119" s="17"/>
      <c r="U119" s="2"/>
      <c r="V119" s="18"/>
      <c r="W119" s="16"/>
    </row>
    <row r="120" spans="2:23" ht="18" x14ac:dyDescent="0.35">
      <c r="B120" s="95"/>
      <c r="C120" s="96"/>
      <c r="D120" s="97"/>
      <c r="E120" s="113"/>
      <c r="F120" s="90"/>
      <c r="G120" s="91"/>
      <c r="H120" s="92"/>
      <c r="I120" s="105"/>
      <c r="J120" s="83"/>
      <c r="K120" s="83"/>
      <c r="L120" s="12"/>
      <c r="M120" s="28"/>
      <c r="N120" s="14"/>
      <c r="O120" s="11"/>
      <c r="P120" s="11"/>
      <c r="Q120" s="16"/>
      <c r="R120" s="2"/>
      <c r="S120" s="12"/>
      <c r="T120" s="17"/>
      <c r="U120" s="2"/>
      <c r="V120" s="18"/>
      <c r="W120" s="16"/>
    </row>
    <row r="121" spans="2:23" ht="18" x14ac:dyDescent="0.35">
      <c r="B121" s="95"/>
      <c r="C121" s="96"/>
      <c r="D121" s="97"/>
      <c r="E121" s="113"/>
      <c r="F121" s="90"/>
      <c r="G121" s="91"/>
      <c r="H121" s="92"/>
      <c r="I121" s="105"/>
      <c r="J121" s="83"/>
      <c r="K121" s="83"/>
      <c r="L121" s="12"/>
      <c r="M121" s="28"/>
      <c r="N121" s="14"/>
      <c r="O121" s="11"/>
      <c r="P121" s="11"/>
      <c r="Q121" s="16"/>
      <c r="R121" s="2"/>
      <c r="S121" s="12"/>
      <c r="T121" s="17"/>
      <c r="U121" s="2"/>
      <c r="V121" s="18"/>
      <c r="W121" s="16"/>
    </row>
    <row r="122" spans="2:23" ht="18" x14ac:dyDescent="0.35">
      <c r="B122" s="95"/>
      <c r="C122" s="96"/>
      <c r="D122" s="97"/>
      <c r="E122" s="113"/>
      <c r="F122" s="99"/>
      <c r="G122" s="100"/>
      <c r="H122" s="101"/>
      <c r="I122" s="105"/>
      <c r="J122" s="83"/>
      <c r="K122" s="83"/>
      <c r="L122" s="12"/>
      <c r="M122" s="28"/>
      <c r="N122" s="14"/>
      <c r="O122" s="11"/>
      <c r="P122" s="11"/>
      <c r="Q122" s="16"/>
      <c r="R122" s="2"/>
      <c r="S122" s="12"/>
      <c r="T122" s="17"/>
      <c r="U122" s="2"/>
      <c r="V122" s="18"/>
      <c r="W122" s="16"/>
    </row>
    <row r="123" spans="2:23" ht="18" x14ac:dyDescent="0.35">
      <c r="B123" s="95"/>
      <c r="C123" s="96"/>
      <c r="D123" s="97"/>
      <c r="E123" s="113"/>
      <c r="F123" s="99"/>
      <c r="G123" s="100"/>
      <c r="H123" s="101"/>
      <c r="I123" s="105"/>
      <c r="J123" s="83"/>
      <c r="K123" s="83"/>
      <c r="L123" s="12"/>
      <c r="M123" s="28"/>
      <c r="N123" s="14"/>
      <c r="O123" s="11"/>
      <c r="P123" s="11"/>
      <c r="Q123" s="16"/>
      <c r="R123" s="2"/>
      <c r="S123" s="12"/>
      <c r="T123" s="17"/>
      <c r="U123" s="2"/>
      <c r="V123" s="18"/>
      <c r="W123" s="16"/>
    </row>
    <row r="124" spans="2:23" ht="18" x14ac:dyDescent="0.35">
      <c r="B124" s="95"/>
      <c r="C124" s="96"/>
      <c r="D124" s="97"/>
      <c r="E124" s="113"/>
      <c r="F124" s="99"/>
      <c r="G124" s="100"/>
      <c r="H124" s="101"/>
      <c r="I124" s="105"/>
      <c r="J124" s="83"/>
      <c r="K124" s="83"/>
      <c r="L124" s="12"/>
      <c r="M124" s="28"/>
      <c r="N124" s="14"/>
      <c r="O124" s="11"/>
      <c r="P124" s="11"/>
      <c r="Q124" s="16"/>
      <c r="R124" s="2"/>
      <c r="S124" s="12"/>
      <c r="T124" s="17"/>
      <c r="U124" s="2"/>
      <c r="V124" s="18"/>
      <c r="W124" s="16"/>
    </row>
    <row r="125" spans="2:23" ht="18" x14ac:dyDescent="0.35">
      <c r="B125" s="95"/>
      <c r="C125" s="96"/>
      <c r="D125" s="97"/>
      <c r="E125" s="113"/>
      <c r="F125" s="99"/>
      <c r="G125" s="100"/>
      <c r="H125" s="101"/>
      <c r="I125" s="105"/>
      <c r="J125" s="83"/>
      <c r="K125" s="83"/>
      <c r="L125" s="12"/>
      <c r="M125" s="28"/>
      <c r="N125" s="14"/>
      <c r="O125" s="11"/>
      <c r="P125" s="11"/>
      <c r="Q125" s="16"/>
      <c r="R125" s="2"/>
      <c r="S125" s="12"/>
      <c r="T125" s="17"/>
      <c r="U125" s="2"/>
      <c r="V125" s="18"/>
      <c r="W125" s="16"/>
    </row>
    <row r="126" spans="2:23" ht="18" x14ac:dyDescent="0.35">
      <c r="B126" s="95"/>
      <c r="C126" s="96"/>
      <c r="D126" s="97"/>
      <c r="E126" s="113"/>
      <c r="F126" s="99"/>
      <c r="G126" s="100"/>
      <c r="H126" s="101"/>
      <c r="I126" s="105"/>
      <c r="J126" s="83"/>
      <c r="K126" s="83"/>
      <c r="L126" s="12"/>
      <c r="M126" s="28"/>
      <c r="N126" s="14"/>
      <c r="O126" s="11"/>
      <c r="P126" s="11"/>
      <c r="Q126" s="16"/>
      <c r="R126" s="2"/>
      <c r="S126" s="12"/>
      <c r="T126" s="17"/>
      <c r="U126" s="2"/>
      <c r="V126" s="18"/>
      <c r="W126" s="16"/>
    </row>
    <row r="127" spans="2:23" ht="18" x14ac:dyDescent="0.35">
      <c r="B127" s="95"/>
      <c r="C127" s="96"/>
      <c r="D127" s="97"/>
      <c r="E127" s="113"/>
      <c r="F127" s="99"/>
      <c r="G127" s="100"/>
      <c r="H127" s="101"/>
      <c r="I127" s="105"/>
      <c r="J127" s="83"/>
      <c r="K127" s="83"/>
      <c r="L127" s="12"/>
      <c r="M127" s="28"/>
      <c r="N127" s="14"/>
      <c r="O127" s="11"/>
      <c r="P127" s="11"/>
      <c r="Q127" s="16"/>
      <c r="R127" s="2"/>
      <c r="S127" s="12"/>
      <c r="T127" s="17"/>
      <c r="U127" s="2"/>
      <c r="V127" s="18"/>
      <c r="W127" s="16"/>
    </row>
    <row r="128" spans="2:23" ht="18" x14ac:dyDescent="0.35">
      <c r="B128" s="95"/>
      <c r="C128" s="96"/>
      <c r="D128" s="97"/>
      <c r="E128" s="113"/>
      <c r="F128" s="99"/>
      <c r="G128" s="100"/>
      <c r="H128" s="101"/>
      <c r="I128" s="105"/>
      <c r="J128" s="83"/>
      <c r="K128" s="83"/>
      <c r="L128" s="12"/>
      <c r="M128" s="28"/>
      <c r="N128" s="14"/>
      <c r="O128" s="11"/>
      <c r="P128" s="11"/>
      <c r="Q128" s="16"/>
      <c r="R128" s="2"/>
      <c r="S128" s="12"/>
      <c r="T128" s="17"/>
      <c r="U128" s="2"/>
      <c r="V128" s="18"/>
      <c r="W128" s="16"/>
    </row>
    <row r="129" spans="1:23" ht="18.600000000000001" thickBot="1" x14ac:dyDescent="0.4">
      <c r="B129" s="114"/>
      <c r="C129" s="115"/>
      <c r="D129" s="116"/>
      <c r="E129" s="113"/>
      <c r="F129" s="117"/>
      <c r="G129" s="118"/>
      <c r="H129" s="119"/>
      <c r="I129" s="105"/>
      <c r="J129" s="83"/>
      <c r="K129" s="83"/>
      <c r="L129" s="30"/>
      <c r="M129" s="31"/>
      <c r="N129" s="32"/>
      <c r="O129" s="29"/>
      <c r="P129" s="29"/>
      <c r="Q129" s="33"/>
      <c r="R129" s="2"/>
      <c r="S129" s="30"/>
      <c r="T129" s="34"/>
      <c r="U129" s="2"/>
      <c r="V129" s="35"/>
      <c r="W129" s="33"/>
    </row>
    <row r="130" spans="1:23" ht="18.600000000000001" thickBot="1" x14ac:dyDescent="0.4">
      <c r="A130" s="120" t="s">
        <v>15</v>
      </c>
      <c r="B130" s="121">
        <f>SUM(B9:B129)</f>
        <v>0</v>
      </c>
      <c r="C130" s="122"/>
      <c r="D130" s="121"/>
      <c r="E130" s="123">
        <f>SUM(E9:E129)</f>
        <v>0</v>
      </c>
      <c r="F130" s="124">
        <f>SUM(F9:F129)</f>
        <v>0</v>
      </c>
      <c r="G130" s="82"/>
      <c r="H130" s="125"/>
      <c r="I130" s="125">
        <f>SUM(I9:I129)</f>
        <v>0</v>
      </c>
      <c r="J130" s="83"/>
      <c r="K130" s="83"/>
      <c r="L130" s="126"/>
      <c r="M130" s="126">
        <f>SUM(M9:M129)</f>
        <v>0</v>
      </c>
      <c r="N130" s="127">
        <f>SUM(N9:N129)</f>
        <v>0</v>
      </c>
      <c r="O130" s="82"/>
      <c r="P130" s="82">
        <f>SUM(P9:P129)</f>
        <v>0</v>
      </c>
      <c r="Q130" s="128">
        <f>SUM(Q9:Q129)</f>
        <v>0</v>
      </c>
      <c r="R130" s="83"/>
      <c r="S130" s="84"/>
      <c r="T130" s="129">
        <f>SUM(T9:T129)</f>
        <v>0</v>
      </c>
      <c r="U130" s="83"/>
      <c r="V130" s="82"/>
      <c r="W130" s="130">
        <f>SUM(W9:W129)</f>
        <v>0</v>
      </c>
    </row>
  </sheetData>
  <mergeCells count="8">
    <mergeCell ref="V5:W5"/>
    <mergeCell ref="Y5:Z5"/>
    <mergeCell ref="E1:G1"/>
    <mergeCell ref="B2:C2"/>
    <mergeCell ref="B3:C3"/>
    <mergeCell ref="B5:I5"/>
    <mergeCell ref="L5:Q5"/>
    <mergeCell ref="S5:T5"/>
  </mergeCell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77BEDE-DEB0-4388-9CB4-7C043E1C68C8}">
  <sheetPr codeName="Sheet36"/>
  <dimension ref="A1:Z130"/>
  <sheetViews>
    <sheetView zoomScale="80" zoomScaleNormal="80" workbookViewId="0">
      <selection activeCell="E17" sqref="E17"/>
    </sheetView>
  </sheetViews>
  <sheetFormatPr defaultColWidth="9.109375" defaultRowHeight="14.4" x14ac:dyDescent="0.3"/>
  <cols>
    <col min="1" max="1" width="15.5546875" style="36" customWidth="1"/>
    <col min="2" max="2" width="15.88671875" style="36" customWidth="1"/>
    <col min="3" max="3" width="20" style="76" customWidth="1"/>
    <col min="4" max="4" width="20.33203125" style="36" customWidth="1"/>
    <col min="5" max="5" width="22.33203125" style="36" customWidth="1"/>
    <col min="6" max="6" width="14.6640625" style="36" customWidth="1"/>
    <col min="7" max="7" width="22" style="76" customWidth="1"/>
    <col min="8" max="8" width="18.88671875" style="36" customWidth="1"/>
    <col min="9" max="9" width="23" style="36" customWidth="1"/>
    <col min="10" max="11" width="9.109375" style="36"/>
    <col min="12" max="12" width="20.6640625" style="76" customWidth="1"/>
    <col min="13" max="13" width="15.44140625" style="76" customWidth="1"/>
    <col min="14" max="14" width="22.6640625" style="36" customWidth="1"/>
    <col min="15" max="15" width="20.5546875" style="76" customWidth="1"/>
    <col min="16" max="16" width="13.33203125" style="76" customWidth="1"/>
    <col min="17" max="17" width="21.5546875" style="76" customWidth="1"/>
    <col min="18" max="18" width="9.109375" style="36"/>
    <col min="19" max="19" width="22" style="76" customWidth="1"/>
    <col min="20" max="20" width="22.33203125" style="76" customWidth="1"/>
    <col min="21" max="21" width="9.109375" style="36"/>
    <col min="22" max="22" width="21.88671875" style="76" customWidth="1"/>
    <col min="23" max="23" width="23.109375" style="76" customWidth="1"/>
    <col min="24" max="24" width="9.109375" style="36"/>
    <col min="25" max="25" width="21.33203125" style="36" customWidth="1"/>
    <col min="26" max="26" width="21.88671875" style="36" customWidth="1"/>
    <col min="27" max="16384" width="9.109375" style="36"/>
  </cols>
  <sheetData>
    <row r="1" spans="2:26" ht="21" x14ac:dyDescent="0.4">
      <c r="E1" s="189">
        <v>44191</v>
      </c>
      <c r="F1" s="189"/>
      <c r="G1" s="189"/>
    </row>
    <row r="2" spans="2:26" ht="18" x14ac:dyDescent="0.35">
      <c r="B2" s="190" t="s">
        <v>0</v>
      </c>
      <c r="C2" s="190"/>
      <c r="D2" s="1"/>
    </row>
    <row r="3" spans="2:26" ht="18" x14ac:dyDescent="0.35">
      <c r="B3" s="190" t="s">
        <v>1</v>
      </c>
      <c r="C3" s="190"/>
      <c r="D3" s="77">
        <f>(D2-E130-I130)</f>
        <v>0</v>
      </c>
    </row>
    <row r="5" spans="2:26" ht="36.6" x14ac:dyDescent="0.7">
      <c r="B5" s="187" t="s">
        <v>2</v>
      </c>
      <c r="C5" s="187"/>
      <c r="D5" s="187"/>
      <c r="E5" s="187"/>
      <c r="F5" s="187"/>
      <c r="G5" s="187"/>
      <c r="H5" s="187"/>
      <c r="I5" s="187"/>
      <c r="L5" s="187" t="s">
        <v>3</v>
      </c>
      <c r="M5" s="187"/>
      <c r="N5" s="187"/>
      <c r="O5" s="187"/>
      <c r="P5" s="187"/>
      <c r="Q5" s="187"/>
      <c r="S5" s="191" t="s">
        <v>4</v>
      </c>
      <c r="T5" s="191"/>
      <c r="V5" s="187" t="s">
        <v>5</v>
      </c>
      <c r="W5" s="187"/>
      <c r="Y5" s="188" t="s">
        <v>105</v>
      </c>
      <c r="Z5" s="187"/>
    </row>
    <row r="7" spans="2:26" ht="15" thickBot="1" x14ac:dyDescent="0.35"/>
    <row r="8" spans="2:26" ht="18.600000000000001" thickBot="1" x14ac:dyDescent="0.4">
      <c r="B8" s="78" t="s">
        <v>6</v>
      </c>
      <c r="C8" s="79" t="s">
        <v>7</v>
      </c>
      <c r="D8" s="78" t="s">
        <v>8</v>
      </c>
      <c r="E8" s="80" t="s">
        <v>9</v>
      </c>
      <c r="F8" s="81" t="s">
        <v>6</v>
      </c>
      <c r="G8" s="81" t="s">
        <v>10</v>
      </c>
      <c r="H8" s="81" t="s">
        <v>8</v>
      </c>
      <c r="I8" s="82" t="s">
        <v>9</v>
      </c>
      <c r="J8" s="83"/>
      <c r="K8" s="83"/>
      <c r="L8" s="84" t="s">
        <v>11</v>
      </c>
      <c r="M8" s="84" t="s">
        <v>6</v>
      </c>
      <c r="N8" s="84" t="s">
        <v>9</v>
      </c>
      <c r="O8" s="82" t="s">
        <v>12</v>
      </c>
      <c r="P8" s="82" t="s">
        <v>6</v>
      </c>
      <c r="Q8" s="82" t="s">
        <v>9</v>
      </c>
      <c r="R8" s="83"/>
      <c r="S8" s="84" t="s">
        <v>13</v>
      </c>
      <c r="T8" s="85" t="s">
        <v>9</v>
      </c>
      <c r="U8" s="83"/>
      <c r="V8" s="82" t="s">
        <v>14</v>
      </c>
      <c r="W8" s="82" t="s">
        <v>9</v>
      </c>
      <c r="Y8" s="146" t="s">
        <v>106</v>
      </c>
      <c r="Z8" s="147" t="s">
        <v>107</v>
      </c>
    </row>
    <row r="9" spans="2:26" ht="18" x14ac:dyDescent="0.35">
      <c r="B9" s="86"/>
      <c r="C9" s="87"/>
      <c r="D9" s="88"/>
      <c r="E9" s="89"/>
      <c r="F9" s="90"/>
      <c r="G9" s="91"/>
      <c r="H9" s="92"/>
      <c r="I9" s="93"/>
      <c r="J9" s="83"/>
      <c r="K9" s="83"/>
      <c r="L9" s="3"/>
      <c r="M9" s="4"/>
      <c r="N9" s="5"/>
      <c r="O9" s="6"/>
      <c r="P9" s="7"/>
      <c r="Q9" s="8"/>
      <c r="R9" s="2"/>
      <c r="S9" s="3"/>
      <c r="T9" s="9"/>
      <c r="U9" s="2"/>
      <c r="V9" s="10"/>
      <c r="W9" s="8"/>
      <c r="Y9" s="148" t="s">
        <v>88</v>
      </c>
      <c r="Z9" s="151">
        <f>SUMIF($C$9:$C$129, Y9, $B$9:$B$129)</f>
        <v>0</v>
      </c>
    </row>
    <row r="10" spans="2:26" ht="18" x14ac:dyDescent="0.35">
      <c r="B10" s="95"/>
      <c r="C10" s="96"/>
      <c r="D10" s="97"/>
      <c r="E10" s="98"/>
      <c r="F10" s="90"/>
      <c r="G10" s="91"/>
      <c r="H10" s="92"/>
      <c r="I10" s="93"/>
      <c r="J10" s="83"/>
      <c r="K10" s="83"/>
      <c r="L10" s="12"/>
      <c r="M10" s="13"/>
      <c r="N10" s="14"/>
      <c r="O10" s="11"/>
      <c r="P10" s="15"/>
      <c r="Q10" s="16"/>
      <c r="R10" s="2"/>
      <c r="S10" s="12"/>
      <c r="T10" s="17"/>
      <c r="U10" s="2"/>
      <c r="V10" s="18"/>
      <c r="W10" s="8"/>
      <c r="Y10" s="149" t="s">
        <v>76</v>
      </c>
      <c r="Z10" s="151">
        <f t="shared" ref="Z10:Z11" si="0">SUMIF($C$9:$C$129, Y10, $B$9:$B$129)</f>
        <v>0</v>
      </c>
    </row>
    <row r="11" spans="2:26" ht="18" x14ac:dyDescent="0.35">
      <c r="B11" s="95"/>
      <c r="C11" s="96"/>
      <c r="D11" s="97"/>
      <c r="E11" s="98"/>
      <c r="F11" s="90"/>
      <c r="G11" s="91"/>
      <c r="H11" s="92"/>
      <c r="I11" s="93"/>
      <c r="J11" s="83"/>
      <c r="K11" s="83"/>
      <c r="L11" s="12"/>
      <c r="M11" s="13"/>
      <c r="N11" s="14"/>
      <c r="O11" s="11"/>
      <c r="P11" s="15"/>
      <c r="Q11" s="16"/>
      <c r="R11" s="2"/>
      <c r="S11" s="12"/>
      <c r="T11" s="17"/>
      <c r="U11" s="2"/>
      <c r="V11" s="18"/>
      <c r="W11" s="8"/>
      <c r="Y11" s="149" t="s">
        <v>77</v>
      </c>
      <c r="Z11" s="151">
        <f t="shared" si="0"/>
        <v>0</v>
      </c>
    </row>
    <row r="12" spans="2:26" ht="18" x14ac:dyDescent="0.35">
      <c r="B12" s="95"/>
      <c r="C12" s="96"/>
      <c r="D12" s="97"/>
      <c r="E12" s="98"/>
      <c r="F12" s="90"/>
      <c r="G12" s="91"/>
      <c r="H12" s="92"/>
      <c r="I12" s="93"/>
      <c r="J12" s="83"/>
      <c r="K12" s="83"/>
      <c r="L12" s="12"/>
      <c r="M12" s="13"/>
      <c r="N12" s="14"/>
      <c r="O12" s="11"/>
      <c r="P12" s="15"/>
      <c r="Q12" s="16"/>
      <c r="R12" s="2"/>
      <c r="S12" s="12"/>
      <c r="T12" s="17"/>
      <c r="U12" s="2"/>
      <c r="V12" s="18"/>
      <c r="W12" s="8"/>
      <c r="Y12" s="149" t="s">
        <v>89</v>
      </c>
      <c r="Z12" s="152">
        <f>SUMIF($G$9:$G$129, Y12, $F$9:$F$129)</f>
        <v>0</v>
      </c>
    </row>
    <row r="13" spans="2:26" ht="18" x14ac:dyDescent="0.35">
      <c r="B13" s="95"/>
      <c r="C13" s="96"/>
      <c r="D13" s="97"/>
      <c r="E13" s="98"/>
      <c r="F13" s="90"/>
      <c r="G13" s="91"/>
      <c r="H13" s="92"/>
      <c r="I13" s="93"/>
      <c r="J13" s="83"/>
      <c r="K13" s="83"/>
      <c r="L13" s="12"/>
      <c r="M13" s="13"/>
      <c r="N13" s="14"/>
      <c r="O13" s="11"/>
      <c r="P13" s="15"/>
      <c r="Q13" s="16"/>
      <c r="R13" s="2"/>
      <c r="S13" s="12"/>
      <c r="T13" s="17"/>
      <c r="U13" s="2"/>
      <c r="V13" s="18"/>
      <c r="W13" s="8"/>
      <c r="Y13" s="149" t="s">
        <v>20</v>
      </c>
      <c r="Z13" s="152">
        <f t="shared" ref="Z13:Z76" si="1">SUMIF($G$9:$G$129, Y13, $F$9:$F$129)</f>
        <v>0</v>
      </c>
    </row>
    <row r="14" spans="2:26" ht="18" x14ac:dyDescent="0.35">
      <c r="B14" s="95"/>
      <c r="C14" s="96"/>
      <c r="D14" s="97"/>
      <c r="E14" s="98"/>
      <c r="F14" s="90"/>
      <c r="G14" s="91"/>
      <c r="H14" s="92"/>
      <c r="I14" s="93"/>
      <c r="J14" s="83"/>
      <c r="K14" s="83"/>
      <c r="L14" s="12"/>
      <c r="M14" s="13"/>
      <c r="N14" s="14"/>
      <c r="O14" s="11"/>
      <c r="P14" s="15"/>
      <c r="Q14" s="16"/>
      <c r="R14" s="2"/>
      <c r="S14" s="12"/>
      <c r="T14" s="17"/>
      <c r="U14" s="2"/>
      <c r="V14" s="18"/>
      <c r="W14" s="8"/>
      <c r="Y14" s="149" t="s">
        <v>19</v>
      </c>
      <c r="Z14" s="152">
        <f t="shared" si="1"/>
        <v>0</v>
      </c>
    </row>
    <row r="15" spans="2:26" ht="18" x14ac:dyDescent="0.35">
      <c r="B15" s="95"/>
      <c r="C15" s="96"/>
      <c r="D15" s="97"/>
      <c r="E15" s="98"/>
      <c r="F15" s="90"/>
      <c r="G15" s="91"/>
      <c r="H15" s="92"/>
      <c r="I15" s="93"/>
      <c r="J15" s="83"/>
      <c r="K15" s="83"/>
      <c r="L15" s="12"/>
      <c r="M15" s="13"/>
      <c r="N15" s="14"/>
      <c r="O15" s="11"/>
      <c r="P15" s="15"/>
      <c r="Q15" s="16"/>
      <c r="R15" s="2"/>
      <c r="S15" s="12"/>
      <c r="T15" s="17"/>
      <c r="U15" s="2"/>
      <c r="V15" s="18"/>
      <c r="W15" s="8"/>
      <c r="Y15" s="149" t="s">
        <v>18</v>
      </c>
      <c r="Z15" s="152">
        <f t="shared" si="1"/>
        <v>0</v>
      </c>
    </row>
    <row r="16" spans="2:26" ht="18" x14ac:dyDescent="0.35">
      <c r="B16" s="95"/>
      <c r="C16" s="96"/>
      <c r="D16" s="97"/>
      <c r="E16" s="98"/>
      <c r="F16" s="90"/>
      <c r="G16" s="91"/>
      <c r="H16" s="92"/>
      <c r="I16" s="93"/>
      <c r="J16" s="83"/>
      <c r="K16" s="83"/>
      <c r="L16" s="12"/>
      <c r="M16" s="13"/>
      <c r="N16" s="14"/>
      <c r="O16" s="11"/>
      <c r="P16" s="15"/>
      <c r="Q16" s="16"/>
      <c r="R16" s="2"/>
      <c r="S16" s="12"/>
      <c r="T16" s="17"/>
      <c r="U16" s="2"/>
      <c r="V16" s="18"/>
      <c r="W16" s="8"/>
      <c r="Y16" s="149" t="s">
        <v>22</v>
      </c>
      <c r="Z16" s="152">
        <f t="shared" si="1"/>
        <v>0</v>
      </c>
    </row>
    <row r="17" spans="2:26" ht="18" x14ac:dyDescent="0.35">
      <c r="B17" s="95"/>
      <c r="C17" s="96"/>
      <c r="D17" s="97"/>
      <c r="E17" s="98"/>
      <c r="F17" s="90"/>
      <c r="G17" s="91"/>
      <c r="H17" s="92"/>
      <c r="I17" s="93"/>
      <c r="J17" s="83"/>
      <c r="K17" s="83"/>
      <c r="L17" s="12"/>
      <c r="M17" s="13"/>
      <c r="N17" s="14"/>
      <c r="O17" s="11"/>
      <c r="P17" s="15"/>
      <c r="Q17" s="16"/>
      <c r="R17" s="2"/>
      <c r="S17" s="12"/>
      <c r="T17" s="17"/>
      <c r="U17" s="2"/>
      <c r="V17" s="18"/>
      <c r="W17" s="8"/>
      <c r="Y17" s="149" t="s">
        <v>67</v>
      </c>
      <c r="Z17" s="152">
        <f t="shared" si="1"/>
        <v>0</v>
      </c>
    </row>
    <row r="18" spans="2:26" ht="18" x14ac:dyDescent="0.35">
      <c r="B18" s="95"/>
      <c r="C18" s="96"/>
      <c r="D18" s="97"/>
      <c r="E18" s="98"/>
      <c r="F18" s="90"/>
      <c r="G18" s="91"/>
      <c r="H18" s="92"/>
      <c r="I18" s="93"/>
      <c r="J18" s="83"/>
      <c r="K18" s="83"/>
      <c r="L18" s="12"/>
      <c r="M18" s="13"/>
      <c r="N18" s="14"/>
      <c r="O18" s="11"/>
      <c r="P18" s="15"/>
      <c r="Q18" s="16"/>
      <c r="R18" s="2"/>
      <c r="S18" s="12"/>
      <c r="T18" s="17"/>
      <c r="U18" s="2"/>
      <c r="V18" s="18"/>
      <c r="W18" s="8"/>
      <c r="Y18" s="149" t="s">
        <v>90</v>
      </c>
      <c r="Z18" s="152">
        <f t="shared" si="1"/>
        <v>0</v>
      </c>
    </row>
    <row r="19" spans="2:26" ht="18" x14ac:dyDescent="0.35">
      <c r="B19" s="95"/>
      <c r="C19" s="96"/>
      <c r="D19" s="97"/>
      <c r="E19" s="98"/>
      <c r="F19" s="90"/>
      <c r="G19" s="91"/>
      <c r="H19" s="92"/>
      <c r="I19" s="93"/>
      <c r="J19" s="83"/>
      <c r="K19" s="83"/>
      <c r="L19" s="12"/>
      <c r="M19" s="13"/>
      <c r="N19" s="14"/>
      <c r="O19" s="11"/>
      <c r="P19" s="15"/>
      <c r="Q19" s="16"/>
      <c r="R19" s="2"/>
      <c r="S19" s="12"/>
      <c r="T19" s="17"/>
      <c r="U19" s="2"/>
      <c r="V19" s="18"/>
      <c r="W19" s="8"/>
      <c r="Y19" s="149" t="s">
        <v>91</v>
      </c>
      <c r="Z19" s="152">
        <f t="shared" si="1"/>
        <v>0</v>
      </c>
    </row>
    <row r="20" spans="2:26" ht="18" x14ac:dyDescent="0.35">
      <c r="B20" s="95"/>
      <c r="C20" s="96"/>
      <c r="D20" s="97"/>
      <c r="E20" s="98"/>
      <c r="F20" s="90"/>
      <c r="G20" s="91"/>
      <c r="H20" s="92"/>
      <c r="I20" s="93"/>
      <c r="J20" s="83"/>
      <c r="K20" s="83"/>
      <c r="L20" s="12"/>
      <c r="M20" s="13"/>
      <c r="N20" s="14"/>
      <c r="O20" s="11"/>
      <c r="P20" s="15"/>
      <c r="Q20" s="16"/>
      <c r="R20" s="2"/>
      <c r="S20" s="12"/>
      <c r="T20" s="17"/>
      <c r="U20" s="2"/>
      <c r="V20" s="18"/>
      <c r="W20" s="8"/>
      <c r="Y20" s="149" t="s">
        <v>92</v>
      </c>
      <c r="Z20" s="152">
        <f t="shared" si="1"/>
        <v>0</v>
      </c>
    </row>
    <row r="21" spans="2:26" ht="18" x14ac:dyDescent="0.35">
      <c r="B21" s="95"/>
      <c r="C21" s="96"/>
      <c r="D21" s="97"/>
      <c r="E21" s="98"/>
      <c r="F21" s="90"/>
      <c r="G21" s="91"/>
      <c r="H21" s="92"/>
      <c r="I21" s="93"/>
      <c r="J21" s="83"/>
      <c r="K21" s="83"/>
      <c r="L21" s="12"/>
      <c r="M21" s="13"/>
      <c r="N21" s="14"/>
      <c r="O21" s="11"/>
      <c r="P21" s="15"/>
      <c r="Q21" s="16"/>
      <c r="R21" s="2"/>
      <c r="S21" s="12"/>
      <c r="T21" s="17"/>
      <c r="U21" s="2"/>
      <c r="V21" s="18"/>
      <c r="W21" s="8"/>
      <c r="Y21" s="149" t="s">
        <v>68</v>
      </c>
      <c r="Z21" s="152">
        <f t="shared" si="1"/>
        <v>0</v>
      </c>
    </row>
    <row r="22" spans="2:26" ht="18" x14ac:dyDescent="0.35">
      <c r="B22" s="95"/>
      <c r="C22" s="96"/>
      <c r="D22" s="97"/>
      <c r="E22" s="98"/>
      <c r="F22" s="90"/>
      <c r="G22" s="91"/>
      <c r="H22" s="92"/>
      <c r="I22" s="93"/>
      <c r="J22" s="83"/>
      <c r="K22" s="83"/>
      <c r="L22" s="12"/>
      <c r="M22" s="13"/>
      <c r="N22" s="14"/>
      <c r="O22" s="11"/>
      <c r="P22" s="15"/>
      <c r="Q22" s="16"/>
      <c r="R22" s="2"/>
      <c r="S22" s="12"/>
      <c r="T22" s="17"/>
      <c r="U22" s="2"/>
      <c r="V22" s="18"/>
      <c r="W22" s="8"/>
      <c r="Y22" s="149" t="s">
        <v>93</v>
      </c>
      <c r="Z22" s="152">
        <f t="shared" si="1"/>
        <v>0</v>
      </c>
    </row>
    <row r="23" spans="2:26" ht="18" x14ac:dyDescent="0.35">
      <c r="B23" s="95"/>
      <c r="C23" s="96"/>
      <c r="D23" s="97"/>
      <c r="E23" s="98"/>
      <c r="F23" s="90"/>
      <c r="G23" s="91"/>
      <c r="H23" s="92"/>
      <c r="I23" s="93"/>
      <c r="J23" s="83"/>
      <c r="K23" s="83"/>
      <c r="L23" s="12"/>
      <c r="M23" s="13"/>
      <c r="N23" s="14"/>
      <c r="O23" s="11"/>
      <c r="P23" s="15"/>
      <c r="Q23" s="16"/>
      <c r="R23" s="2"/>
      <c r="S23" s="12"/>
      <c r="T23" s="17"/>
      <c r="U23" s="2"/>
      <c r="V23" s="18"/>
      <c r="W23" s="8"/>
      <c r="Y23" s="149" t="s">
        <v>23</v>
      </c>
      <c r="Z23" s="152">
        <f t="shared" si="1"/>
        <v>0</v>
      </c>
    </row>
    <row r="24" spans="2:26" ht="18" x14ac:dyDescent="0.35">
      <c r="B24" s="95"/>
      <c r="C24" s="96"/>
      <c r="D24" s="97"/>
      <c r="E24" s="98"/>
      <c r="F24" s="90"/>
      <c r="G24" s="91"/>
      <c r="H24" s="92"/>
      <c r="I24" s="93"/>
      <c r="J24" s="83"/>
      <c r="K24" s="83"/>
      <c r="L24" s="12"/>
      <c r="M24" s="13"/>
      <c r="N24" s="14"/>
      <c r="O24" s="11"/>
      <c r="P24" s="15"/>
      <c r="Q24" s="16"/>
      <c r="R24" s="2"/>
      <c r="S24" s="12"/>
      <c r="T24" s="17"/>
      <c r="U24" s="2"/>
      <c r="V24" s="18"/>
      <c r="W24" s="8"/>
      <c r="Y24" s="149" t="s">
        <v>24</v>
      </c>
      <c r="Z24" s="152">
        <f t="shared" si="1"/>
        <v>0</v>
      </c>
    </row>
    <row r="25" spans="2:26" ht="18" x14ac:dyDescent="0.35">
      <c r="B25" s="95"/>
      <c r="C25" s="96"/>
      <c r="D25" s="97"/>
      <c r="E25" s="98"/>
      <c r="F25" s="90"/>
      <c r="G25" s="91"/>
      <c r="H25" s="92"/>
      <c r="I25" s="93"/>
      <c r="J25" s="83"/>
      <c r="K25" s="83"/>
      <c r="L25" s="12"/>
      <c r="M25" s="13"/>
      <c r="N25" s="14"/>
      <c r="O25" s="11"/>
      <c r="P25" s="15"/>
      <c r="Q25" s="16"/>
      <c r="R25" s="2"/>
      <c r="S25" s="12"/>
      <c r="T25" s="17"/>
      <c r="U25" s="2"/>
      <c r="V25" s="18"/>
      <c r="W25" s="8"/>
      <c r="Y25" s="149" t="s">
        <v>25</v>
      </c>
      <c r="Z25" s="152">
        <f t="shared" si="1"/>
        <v>0</v>
      </c>
    </row>
    <row r="26" spans="2:26" ht="18" x14ac:dyDescent="0.35">
      <c r="B26" s="95"/>
      <c r="C26" s="96"/>
      <c r="D26" s="97"/>
      <c r="E26" s="98"/>
      <c r="F26" s="90"/>
      <c r="G26" s="91"/>
      <c r="H26" s="92"/>
      <c r="I26" s="93"/>
      <c r="J26" s="83"/>
      <c r="K26" s="83"/>
      <c r="L26" s="12"/>
      <c r="M26" s="13"/>
      <c r="N26" s="14"/>
      <c r="O26" s="11"/>
      <c r="P26" s="15"/>
      <c r="Q26" s="16"/>
      <c r="R26" s="2"/>
      <c r="S26" s="12"/>
      <c r="T26" s="17"/>
      <c r="U26" s="2"/>
      <c r="V26" s="18"/>
      <c r="W26" s="8"/>
      <c r="Y26" s="149" t="s">
        <v>98</v>
      </c>
      <c r="Z26" s="152">
        <f t="shared" si="1"/>
        <v>0</v>
      </c>
    </row>
    <row r="27" spans="2:26" ht="18" x14ac:dyDescent="0.35">
      <c r="B27" s="95"/>
      <c r="C27" s="96"/>
      <c r="D27" s="97"/>
      <c r="E27" s="98"/>
      <c r="F27" s="90"/>
      <c r="G27" s="91"/>
      <c r="H27" s="92"/>
      <c r="I27" s="93"/>
      <c r="J27" s="83"/>
      <c r="K27" s="83"/>
      <c r="L27" s="12"/>
      <c r="M27" s="13"/>
      <c r="N27" s="14"/>
      <c r="O27" s="11"/>
      <c r="P27" s="15"/>
      <c r="Q27" s="16"/>
      <c r="R27" s="2"/>
      <c r="S27" s="12"/>
      <c r="T27" s="17"/>
      <c r="U27" s="2"/>
      <c r="V27" s="18"/>
      <c r="W27" s="8"/>
      <c r="Y27" s="149" t="s">
        <v>94</v>
      </c>
      <c r="Z27" s="152">
        <f t="shared" si="1"/>
        <v>0</v>
      </c>
    </row>
    <row r="28" spans="2:26" ht="18" x14ac:dyDescent="0.35">
      <c r="B28" s="95"/>
      <c r="C28" s="96"/>
      <c r="D28" s="97"/>
      <c r="E28" s="98"/>
      <c r="F28" s="90"/>
      <c r="G28" s="91"/>
      <c r="H28" s="92"/>
      <c r="I28" s="93"/>
      <c r="J28" s="83"/>
      <c r="K28" s="83"/>
      <c r="L28" s="12"/>
      <c r="M28" s="13"/>
      <c r="N28" s="14"/>
      <c r="O28" s="11"/>
      <c r="P28" s="15"/>
      <c r="Q28" s="16"/>
      <c r="R28" s="2"/>
      <c r="S28" s="12"/>
      <c r="T28" s="17"/>
      <c r="U28" s="2"/>
      <c r="V28" s="18"/>
      <c r="W28" s="8"/>
      <c r="Y28" s="149" t="s">
        <v>42</v>
      </c>
      <c r="Z28" s="152">
        <f t="shared" si="1"/>
        <v>0</v>
      </c>
    </row>
    <row r="29" spans="2:26" ht="18" x14ac:dyDescent="0.35">
      <c r="B29" s="95"/>
      <c r="C29" s="96"/>
      <c r="D29" s="97"/>
      <c r="E29" s="98"/>
      <c r="F29" s="90"/>
      <c r="G29" s="91"/>
      <c r="H29" s="92"/>
      <c r="I29" s="93"/>
      <c r="J29" s="83"/>
      <c r="K29" s="83"/>
      <c r="L29" s="12"/>
      <c r="M29" s="13"/>
      <c r="N29" s="14"/>
      <c r="O29" s="11"/>
      <c r="P29" s="15"/>
      <c r="Q29" s="16"/>
      <c r="R29" s="2"/>
      <c r="S29" s="12"/>
      <c r="T29" s="17"/>
      <c r="U29" s="2"/>
      <c r="V29" s="18"/>
      <c r="W29" s="8"/>
      <c r="Y29" s="149" t="s">
        <v>39</v>
      </c>
      <c r="Z29" s="152">
        <f t="shared" si="1"/>
        <v>0</v>
      </c>
    </row>
    <row r="30" spans="2:26" ht="18" x14ac:dyDescent="0.35">
      <c r="B30" s="95"/>
      <c r="C30" s="96"/>
      <c r="D30" s="97"/>
      <c r="E30" s="98"/>
      <c r="F30" s="90"/>
      <c r="G30" s="91"/>
      <c r="H30" s="92"/>
      <c r="I30" s="93"/>
      <c r="J30" s="83"/>
      <c r="K30" s="83"/>
      <c r="L30" s="12"/>
      <c r="M30" s="13"/>
      <c r="N30" s="14"/>
      <c r="O30" s="11"/>
      <c r="P30" s="15"/>
      <c r="Q30" s="16"/>
      <c r="R30" s="2"/>
      <c r="S30" s="12"/>
      <c r="T30" s="17"/>
      <c r="U30" s="2"/>
      <c r="V30" s="18"/>
      <c r="W30" s="8"/>
      <c r="Y30" s="149" t="s">
        <v>99</v>
      </c>
      <c r="Z30" s="152">
        <f t="shared" si="1"/>
        <v>0</v>
      </c>
    </row>
    <row r="31" spans="2:26" ht="18" x14ac:dyDescent="0.35">
      <c r="B31" s="95"/>
      <c r="C31" s="96"/>
      <c r="D31" s="97"/>
      <c r="E31" s="98"/>
      <c r="F31" s="90"/>
      <c r="G31" s="91"/>
      <c r="H31" s="92"/>
      <c r="I31" s="93"/>
      <c r="J31" s="83"/>
      <c r="K31" s="83"/>
      <c r="L31" s="12"/>
      <c r="M31" s="13"/>
      <c r="N31" s="14"/>
      <c r="O31" s="11"/>
      <c r="P31" s="15"/>
      <c r="Q31" s="16"/>
      <c r="R31" s="2"/>
      <c r="S31" s="12"/>
      <c r="T31" s="17"/>
      <c r="U31" s="2"/>
      <c r="V31" s="18"/>
      <c r="W31" s="8"/>
      <c r="Y31" s="149" t="s">
        <v>95</v>
      </c>
      <c r="Z31" s="152">
        <f t="shared" si="1"/>
        <v>0</v>
      </c>
    </row>
    <row r="32" spans="2:26" ht="18" x14ac:dyDescent="0.35">
      <c r="B32" s="95"/>
      <c r="C32" s="96"/>
      <c r="D32" s="97"/>
      <c r="E32" s="98"/>
      <c r="F32" s="90"/>
      <c r="G32" s="91"/>
      <c r="H32" s="92"/>
      <c r="I32" s="93"/>
      <c r="J32" s="83"/>
      <c r="K32" s="83"/>
      <c r="L32" s="12"/>
      <c r="M32" s="13"/>
      <c r="N32" s="14"/>
      <c r="O32" s="11"/>
      <c r="P32" s="15"/>
      <c r="Q32" s="16"/>
      <c r="R32" s="2"/>
      <c r="S32" s="12"/>
      <c r="T32" s="17"/>
      <c r="U32" s="2"/>
      <c r="V32" s="18"/>
      <c r="W32" s="8"/>
      <c r="Y32" s="149" t="s">
        <v>97</v>
      </c>
      <c r="Z32" s="152">
        <f t="shared" si="1"/>
        <v>0</v>
      </c>
    </row>
    <row r="33" spans="2:26" ht="18" x14ac:dyDescent="0.35">
      <c r="B33" s="95"/>
      <c r="C33" s="96"/>
      <c r="D33" s="97"/>
      <c r="E33" s="98"/>
      <c r="F33" s="90"/>
      <c r="G33" s="91"/>
      <c r="H33" s="92"/>
      <c r="I33" s="93"/>
      <c r="J33" s="83"/>
      <c r="K33" s="83"/>
      <c r="L33" s="12"/>
      <c r="M33" s="13"/>
      <c r="N33" s="14"/>
      <c r="O33" s="11"/>
      <c r="P33" s="15"/>
      <c r="Q33" s="16"/>
      <c r="R33" s="2"/>
      <c r="S33" s="12"/>
      <c r="T33" s="17"/>
      <c r="U33" s="2"/>
      <c r="V33" s="18"/>
      <c r="W33" s="8"/>
      <c r="Y33" s="149" t="s">
        <v>43</v>
      </c>
      <c r="Z33" s="152">
        <f t="shared" si="1"/>
        <v>0</v>
      </c>
    </row>
    <row r="34" spans="2:26" ht="18" x14ac:dyDescent="0.35">
      <c r="B34" s="95"/>
      <c r="C34" s="96"/>
      <c r="D34" s="97"/>
      <c r="E34" s="98"/>
      <c r="F34" s="90"/>
      <c r="G34" s="91"/>
      <c r="H34" s="92"/>
      <c r="I34" s="93"/>
      <c r="J34" s="83"/>
      <c r="K34" s="83"/>
      <c r="L34" s="12"/>
      <c r="M34" s="13"/>
      <c r="N34" s="14"/>
      <c r="O34" s="11"/>
      <c r="P34" s="15"/>
      <c r="Q34" s="16"/>
      <c r="R34" s="2"/>
      <c r="S34" s="12"/>
      <c r="T34" s="17"/>
      <c r="U34" s="2"/>
      <c r="V34" s="18"/>
      <c r="W34" s="8"/>
      <c r="Y34" s="149" t="s">
        <v>32</v>
      </c>
      <c r="Z34" s="152">
        <f t="shared" si="1"/>
        <v>0</v>
      </c>
    </row>
    <row r="35" spans="2:26" ht="18" x14ac:dyDescent="0.35">
      <c r="B35" s="95"/>
      <c r="C35" s="96"/>
      <c r="D35" s="97"/>
      <c r="E35" s="98"/>
      <c r="F35" s="90"/>
      <c r="G35" s="91"/>
      <c r="H35" s="92"/>
      <c r="I35" s="93"/>
      <c r="J35" s="83"/>
      <c r="K35" s="83"/>
      <c r="L35" s="12"/>
      <c r="M35" s="13"/>
      <c r="N35" s="14"/>
      <c r="O35" s="11"/>
      <c r="P35" s="15"/>
      <c r="Q35" s="16"/>
      <c r="R35" s="2"/>
      <c r="S35" s="12"/>
      <c r="T35" s="17"/>
      <c r="U35" s="2"/>
      <c r="V35" s="18"/>
      <c r="W35" s="8"/>
      <c r="Y35" s="149" t="s">
        <v>33</v>
      </c>
      <c r="Z35" s="152">
        <f t="shared" si="1"/>
        <v>0</v>
      </c>
    </row>
    <row r="36" spans="2:26" ht="18" x14ac:dyDescent="0.35">
      <c r="B36" s="95"/>
      <c r="C36" s="96"/>
      <c r="D36" s="97"/>
      <c r="E36" s="98"/>
      <c r="F36" s="90"/>
      <c r="G36" s="91"/>
      <c r="H36" s="92"/>
      <c r="I36" s="93"/>
      <c r="J36" s="83"/>
      <c r="K36" s="83"/>
      <c r="L36" s="12"/>
      <c r="M36" s="13"/>
      <c r="N36" s="14"/>
      <c r="O36" s="11"/>
      <c r="P36" s="15"/>
      <c r="Q36" s="16"/>
      <c r="R36" s="2"/>
      <c r="S36" s="12"/>
      <c r="T36" s="17"/>
      <c r="U36" s="2"/>
      <c r="V36" s="18"/>
      <c r="W36" s="8"/>
      <c r="Y36" s="149" t="s">
        <v>30</v>
      </c>
      <c r="Z36" s="152">
        <f t="shared" si="1"/>
        <v>0</v>
      </c>
    </row>
    <row r="37" spans="2:26" ht="18" x14ac:dyDescent="0.35">
      <c r="B37" s="95"/>
      <c r="C37" s="96"/>
      <c r="D37" s="97"/>
      <c r="E37" s="98"/>
      <c r="F37" s="90"/>
      <c r="G37" s="91"/>
      <c r="H37" s="92"/>
      <c r="I37" s="93"/>
      <c r="J37" s="83"/>
      <c r="K37" s="83"/>
      <c r="L37" s="12"/>
      <c r="M37" s="13"/>
      <c r="N37" s="14"/>
      <c r="O37" s="11"/>
      <c r="P37" s="15"/>
      <c r="Q37" s="16"/>
      <c r="R37" s="2"/>
      <c r="S37" s="12"/>
      <c r="T37" s="17"/>
      <c r="U37" s="2"/>
      <c r="V37" s="18"/>
      <c r="W37" s="8"/>
      <c r="Y37" s="149" t="s">
        <v>31</v>
      </c>
      <c r="Z37" s="152">
        <f t="shared" si="1"/>
        <v>0</v>
      </c>
    </row>
    <row r="38" spans="2:26" ht="18" x14ac:dyDescent="0.35">
      <c r="B38" s="95"/>
      <c r="C38" s="96"/>
      <c r="D38" s="97"/>
      <c r="E38" s="98"/>
      <c r="F38" s="90"/>
      <c r="G38" s="91"/>
      <c r="H38" s="92"/>
      <c r="I38" s="93"/>
      <c r="J38" s="83"/>
      <c r="K38" s="83"/>
      <c r="L38" s="12"/>
      <c r="M38" s="13"/>
      <c r="N38" s="14"/>
      <c r="O38" s="11"/>
      <c r="P38" s="15"/>
      <c r="Q38" s="16"/>
      <c r="R38" s="2"/>
      <c r="S38" s="12"/>
      <c r="T38" s="17"/>
      <c r="U38" s="2"/>
      <c r="V38" s="18"/>
      <c r="W38" s="8"/>
      <c r="Y38" s="149" t="s">
        <v>84</v>
      </c>
      <c r="Z38" s="152">
        <f t="shared" si="1"/>
        <v>0</v>
      </c>
    </row>
    <row r="39" spans="2:26" ht="18" x14ac:dyDescent="0.35">
      <c r="B39" s="95"/>
      <c r="C39" s="96"/>
      <c r="D39" s="97"/>
      <c r="E39" s="98"/>
      <c r="F39" s="90"/>
      <c r="G39" s="91"/>
      <c r="H39" s="92"/>
      <c r="I39" s="93"/>
      <c r="J39" s="83"/>
      <c r="K39" s="83"/>
      <c r="L39" s="12"/>
      <c r="M39" s="13"/>
      <c r="N39" s="14"/>
      <c r="O39" s="11"/>
      <c r="P39" s="15"/>
      <c r="Q39" s="16"/>
      <c r="R39" s="2"/>
      <c r="S39" s="12"/>
      <c r="T39" s="17"/>
      <c r="U39" s="2"/>
      <c r="V39" s="18"/>
      <c r="W39" s="8"/>
      <c r="Y39" s="149" t="s">
        <v>85</v>
      </c>
      <c r="Z39" s="152">
        <f t="shared" si="1"/>
        <v>0</v>
      </c>
    </row>
    <row r="40" spans="2:26" ht="18" x14ac:dyDescent="0.35">
      <c r="B40" s="95"/>
      <c r="C40" s="96"/>
      <c r="D40" s="97"/>
      <c r="E40" s="98"/>
      <c r="F40" s="90"/>
      <c r="G40" s="91"/>
      <c r="H40" s="92"/>
      <c r="I40" s="93"/>
      <c r="J40" s="83"/>
      <c r="K40" s="83"/>
      <c r="L40" s="12"/>
      <c r="M40" s="13"/>
      <c r="N40" s="14"/>
      <c r="O40" s="11"/>
      <c r="P40" s="15"/>
      <c r="Q40" s="16"/>
      <c r="R40" s="2"/>
      <c r="S40" s="12"/>
      <c r="T40" s="17"/>
      <c r="U40" s="2"/>
      <c r="V40" s="18"/>
      <c r="W40" s="8"/>
      <c r="Y40" s="149" t="s">
        <v>86</v>
      </c>
      <c r="Z40" s="152">
        <f t="shared" si="1"/>
        <v>0</v>
      </c>
    </row>
    <row r="41" spans="2:26" ht="18" x14ac:dyDescent="0.35">
      <c r="B41" s="95"/>
      <c r="C41" s="96"/>
      <c r="D41" s="97"/>
      <c r="E41" s="98"/>
      <c r="F41" s="90"/>
      <c r="G41" s="91"/>
      <c r="H41" s="92"/>
      <c r="I41" s="93"/>
      <c r="J41" s="83"/>
      <c r="K41" s="83"/>
      <c r="L41" s="12"/>
      <c r="M41" s="13"/>
      <c r="N41" s="14"/>
      <c r="O41" s="11"/>
      <c r="P41" s="15"/>
      <c r="Q41" s="16"/>
      <c r="R41" s="2"/>
      <c r="S41" s="12"/>
      <c r="T41" s="17"/>
      <c r="U41" s="2"/>
      <c r="V41" s="18"/>
      <c r="W41" s="8"/>
      <c r="Y41" s="149" t="s">
        <v>87</v>
      </c>
      <c r="Z41" s="152">
        <f t="shared" si="1"/>
        <v>0</v>
      </c>
    </row>
    <row r="42" spans="2:26" ht="18" x14ac:dyDescent="0.35">
      <c r="B42" s="95"/>
      <c r="C42" s="96"/>
      <c r="D42" s="97"/>
      <c r="E42" s="98"/>
      <c r="F42" s="90"/>
      <c r="G42" s="91"/>
      <c r="H42" s="92"/>
      <c r="I42" s="93"/>
      <c r="J42" s="83"/>
      <c r="K42" s="83"/>
      <c r="L42" s="12"/>
      <c r="M42" s="13"/>
      <c r="N42" s="14"/>
      <c r="O42" s="11"/>
      <c r="P42" s="15"/>
      <c r="Q42" s="16"/>
      <c r="R42" s="2"/>
      <c r="S42" s="12"/>
      <c r="T42" s="17"/>
      <c r="U42" s="2"/>
      <c r="V42" s="18"/>
      <c r="W42" s="8"/>
      <c r="Y42" s="149" t="s">
        <v>46</v>
      </c>
      <c r="Z42" s="152">
        <f t="shared" si="1"/>
        <v>0</v>
      </c>
    </row>
    <row r="43" spans="2:26" ht="18" x14ac:dyDescent="0.35">
      <c r="B43" s="95"/>
      <c r="C43" s="96"/>
      <c r="D43" s="97"/>
      <c r="E43" s="98"/>
      <c r="F43" s="90"/>
      <c r="G43" s="91"/>
      <c r="H43" s="92"/>
      <c r="I43" s="93"/>
      <c r="J43" s="83"/>
      <c r="K43" s="83"/>
      <c r="L43" s="12"/>
      <c r="M43" s="13"/>
      <c r="N43" s="14"/>
      <c r="O43" s="11"/>
      <c r="P43" s="15"/>
      <c r="Q43" s="16"/>
      <c r="R43" s="2"/>
      <c r="S43" s="12"/>
      <c r="T43" s="17"/>
      <c r="U43" s="2"/>
      <c r="V43" s="18"/>
      <c r="W43" s="8"/>
      <c r="Y43" s="149" t="s">
        <v>47</v>
      </c>
      <c r="Z43" s="152">
        <f t="shared" si="1"/>
        <v>0</v>
      </c>
    </row>
    <row r="44" spans="2:26" ht="18" x14ac:dyDescent="0.35">
      <c r="B44" s="95"/>
      <c r="C44" s="96"/>
      <c r="D44" s="97"/>
      <c r="E44" s="98"/>
      <c r="F44" s="90"/>
      <c r="G44" s="91"/>
      <c r="H44" s="92"/>
      <c r="I44" s="93"/>
      <c r="J44" s="83"/>
      <c r="K44" s="83"/>
      <c r="L44" s="12"/>
      <c r="M44" s="13"/>
      <c r="N44" s="14"/>
      <c r="O44" s="11"/>
      <c r="P44" s="15"/>
      <c r="Q44" s="16"/>
      <c r="R44" s="2"/>
      <c r="S44" s="12"/>
      <c r="T44" s="17"/>
      <c r="U44" s="2"/>
      <c r="V44" s="18"/>
      <c r="W44" s="8"/>
      <c r="Y44" s="149" t="s">
        <v>48</v>
      </c>
      <c r="Z44" s="152">
        <f t="shared" si="1"/>
        <v>0</v>
      </c>
    </row>
    <row r="45" spans="2:26" ht="18" x14ac:dyDescent="0.35">
      <c r="B45" s="95"/>
      <c r="C45" s="96"/>
      <c r="D45" s="97"/>
      <c r="E45" s="98"/>
      <c r="F45" s="90"/>
      <c r="G45" s="91"/>
      <c r="H45" s="92"/>
      <c r="I45" s="93"/>
      <c r="J45" s="83"/>
      <c r="K45" s="83"/>
      <c r="L45" s="12"/>
      <c r="M45" s="13"/>
      <c r="N45" s="14"/>
      <c r="O45" s="11"/>
      <c r="P45" s="15"/>
      <c r="Q45" s="16"/>
      <c r="R45" s="2"/>
      <c r="S45" s="12"/>
      <c r="T45" s="17"/>
      <c r="U45" s="2"/>
      <c r="V45" s="18"/>
      <c r="W45" s="8"/>
      <c r="Y45" s="149" t="s">
        <v>83</v>
      </c>
      <c r="Z45" s="152">
        <f t="shared" si="1"/>
        <v>0</v>
      </c>
    </row>
    <row r="46" spans="2:26" ht="18" x14ac:dyDescent="0.35">
      <c r="B46" s="95"/>
      <c r="C46" s="96"/>
      <c r="D46" s="97"/>
      <c r="E46" s="98"/>
      <c r="F46" s="90"/>
      <c r="G46" s="91"/>
      <c r="H46" s="92"/>
      <c r="I46" s="93"/>
      <c r="J46" s="83"/>
      <c r="K46" s="83"/>
      <c r="L46" s="12"/>
      <c r="M46" s="13"/>
      <c r="N46" s="14"/>
      <c r="O46" s="11"/>
      <c r="P46" s="15"/>
      <c r="Q46" s="16"/>
      <c r="R46" s="2"/>
      <c r="S46" s="12"/>
      <c r="T46" s="17"/>
      <c r="U46" s="2"/>
      <c r="V46" s="18"/>
      <c r="W46" s="8"/>
      <c r="Y46" s="149" t="s">
        <v>96</v>
      </c>
      <c r="Z46" s="152">
        <f t="shared" si="1"/>
        <v>0</v>
      </c>
    </row>
    <row r="47" spans="2:26" ht="18" x14ac:dyDescent="0.35">
      <c r="B47" s="95"/>
      <c r="C47" s="96"/>
      <c r="D47" s="97"/>
      <c r="E47" s="98"/>
      <c r="F47" s="90"/>
      <c r="G47" s="91"/>
      <c r="H47" s="92"/>
      <c r="I47" s="93"/>
      <c r="J47" s="83"/>
      <c r="K47" s="83"/>
      <c r="L47" s="12"/>
      <c r="M47" s="13"/>
      <c r="N47" s="14"/>
      <c r="O47" s="11"/>
      <c r="P47" s="15"/>
      <c r="Q47" s="16"/>
      <c r="R47" s="2"/>
      <c r="S47" s="12"/>
      <c r="T47" s="17"/>
      <c r="U47" s="2"/>
      <c r="V47" s="18"/>
      <c r="W47" s="8"/>
      <c r="Y47" s="149" t="s">
        <v>73</v>
      </c>
      <c r="Z47" s="152">
        <f t="shared" si="1"/>
        <v>0</v>
      </c>
    </row>
    <row r="48" spans="2:26" ht="18" x14ac:dyDescent="0.35">
      <c r="B48" s="95"/>
      <c r="C48" s="96"/>
      <c r="D48" s="97"/>
      <c r="E48" s="98"/>
      <c r="F48" s="90"/>
      <c r="G48" s="91"/>
      <c r="H48" s="92"/>
      <c r="I48" s="93"/>
      <c r="J48" s="83"/>
      <c r="K48" s="83"/>
      <c r="L48" s="12"/>
      <c r="M48" s="13"/>
      <c r="N48" s="14"/>
      <c r="O48" s="11"/>
      <c r="P48" s="15"/>
      <c r="Q48" s="16"/>
      <c r="R48" s="2"/>
      <c r="S48" s="12"/>
      <c r="T48" s="17"/>
      <c r="U48" s="2"/>
      <c r="V48" s="18"/>
      <c r="W48" s="8"/>
      <c r="Y48" s="149" t="s">
        <v>74</v>
      </c>
      <c r="Z48" s="152">
        <f t="shared" si="1"/>
        <v>0</v>
      </c>
    </row>
    <row r="49" spans="2:26" ht="18" x14ac:dyDescent="0.35">
      <c r="B49" s="95"/>
      <c r="C49" s="96"/>
      <c r="D49" s="97"/>
      <c r="E49" s="98"/>
      <c r="F49" s="90"/>
      <c r="G49" s="91"/>
      <c r="H49" s="92"/>
      <c r="I49" s="93"/>
      <c r="J49" s="83"/>
      <c r="K49" s="83"/>
      <c r="L49" s="12"/>
      <c r="M49" s="13"/>
      <c r="N49" s="14"/>
      <c r="O49" s="11"/>
      <c r="P49" s="15"/>
      <c r="Q49" s="16"/>
      <c r="R49" s="2"/>
      <c r="S49" s="12"/>
      <c r="T49" s="17"/>
      <c r="U49" s="2"/>
      <c r="V49" s="18"/>
      <c r="W49" s="8"/>
      <c r="Y49" s="149" t="s">
        <v>70</v>
      </c>
      <c r="Z49" s="152">
        <f t="shared" si="1"/>
        <v>0</v>
      </c>
    </row>
    <row r="50" spans="2:26" ht="18" x14ac:dyDescent="0.35">
      <c r="B50" s="95"/>
      <c r="C50" s="96"/>
      <c r="D50" s="97"/>
      <c r="E50" s="98"/>
      <c r="F50" s="90"/>
      <c r="G50" s="91"/>
      <c r="H50" s="92"/>
      <c r="I50" s="93"/>
      <c r="J50" s="83"/>
      <c r="K50" s="83"/>
      <c r="L50" s="12"/>
      <c r="M50" s="13"/>
      <c r="N50" s="14"/>
      <c r="O50" s="11"/>
      <c r="P50" s="15"/>
      <c r="Q50" s="16"/>
      <c r="R50" s="2"/>
      <c r="S50" s="12"/>
      <c r="T50" s="17"/>
      <c r="U50" s="2"/>
      <c r="V50" s="18"/>
      <c r="W50" s="8"/>
      <c r="Y50" s="149" t="s">
        <v>64</v>
      </c>
      <c r="Z50" s="152">
        <f t="shared" si="1"/>
        <v>0</v>
      </c>
    </row>
    <row r="51" spans="2:26" ht="18" x14ac:dyDescent="0.35">
      <c r="B51" s="95"/>
      <c r="C51" s="96"/>
      <c r="D51" s="97"/>
      <c r="E51" s="98"/>
      <c r="F51" s="90"/>
      <c r="G51" s="91"/>
      <c r="H51" s="92"/>
      <c r="I51" s="93"/>
      <c r="J51" s="83"/>
      <c r="K51" s="83"/>
      <c r="L51" s="12"/>
      <c r="M51" s="13"/>
      <c r="N51" s="14"/>
      <c r="O51" s="11"/>
      <c r="P51" s="15"/>
      <c r="Q51" s="16"/>
      <c r="R51" s="2"/>
      <c r="S51" s="12"/>
      <c r="T51" s="17"/>
      <c r="U51" s="2"/>
      <c r="V51" s="18"/>
      <c r="W51" s="8"/>
      <c r="Y51" s="149" t="s">
        <v>65</v>
      </c>
      <c r="Z51" s="152">
        <f t="shared" si="1"/>
        <v>0</v>
      </c>
    </row>
    <row r="52" spans="2:26" ht="18" x14ac:dyDescent="0.35">
      <c r="B52" s="95"/>
      <c r="C52" s="96"/>
      <c r="D52" s="97"/>
      <c r="E52" s="98"/>
      <c r="F52" s="90"/>
      <c r="G52" s="91"/>
      <c r="H52" s="92"/>
      <c r="I52" s="93"/>
      <c r="J52" s="83"/>
      <c r="K52" s="83"/>
      <c r="L52" s="12"/>
      <c r="M52" s="13"/>
      <c r="N52" s="14"/>
      <c r="O52" s="11"/>
      <c r="P52" s="15"/>
      <c r="Q52" s="16"/>
      <c r="R52" s="2"/>
      <c r="S52" s="12"/>
      <c r="T52" s="17"/>
      <c r="U52" s="2"/>
      <c r="V52" s="18"/>
      <c r="W52" s="8"/>
      <c r="Y52" s="149" t="s">
        <v>66</v>
      </c>
      <c r="Z52" s="152">
        <f t="shared" si="1"/>
        <v>0</v>
      </c>
    </row>
    <row r="53" spans="2:26" ht="18" x14ac:dyDescent="0.35">
      <c r="B53" s="95"/>
      <c r="C53" s="96"/>
      <c r="D53" s="97"/>
      <c r="E53" s="98"/>
      <c r="F53" s="90"/>
      <c r="G53" s="91"/>
      <c r="H53" s="92"/>
      <c r="I53" s="93"/>
      <c r="J53" s="83"/>
      <c r="K53" s="83"/>
      <c r="L53" s="12"/>
      <c r="M53" s="13"/>
      <c r="N53" s="14"/>
      <c r="O53" s="11"/>
      <c r="P53" s="15"/>
      <c r="Q53" s="16"/>
      <c r="R53" s="2"/>
      <c r="S53" s="12"/>
      <c r="T53" s="17"/>
      <c r="U53" s="2"/>
      <c r="V53" s="18"/>
      <c r="W53" s="8"/>
      <c r="Y53" s="149" t="s">
        <v>100</v>
      </c>
      <c r="Z53" s="152">
        <f t="shared" si="1"/>
        <v>0</v>
      </c>
    </row>
    <row r="54" spans="2:26" ht="18" x14ac:dyDescent="0.35">
      <c r="B54" s="95"/>
      <c r="C54" s="96"/>
      <c r="D54" s="97"/>
      <c r="E54" s="98"/>
      <c r="F54" s="90"/>
      <c r="G54" s="91"/>
      <c r="H54" s="92"/>
      <c r="I54" s="93"/>
      <c r="J54" s="83"/>
      <c r="K54" s="83"/>
      <c r="L54" s="12"/>
      <c r="M54" s="13"/>
      <c r="N54" s="14"/>
      <c r="O54" s="11"/>
      <c r="P54" s="15"/>
      <c r="Q54" s="16"/>
      <c r="R54" s="2"/>
      <c r="S54" s="12"/>
      <c r="T54" s="17"/>
      <c r="U54" s="2"/>
      <c r="V54" s="18"/>
      <c r="W54" s="8"/>
      <c r="Y54" s="149" t="s">
        <v>101</v>
      </c>
      <c r="Z54" s="152">
        <f t="shared" si="1"/>
        <v>0</v>
      </c>
    </row>
    <row r="55" spans="2:26" ht="18" x14ac:dyDescent="0.35">
      <c r="B55" s="95"/>
      <c r="C55" s="96"/>
      <c r="D55" s="97"/>
      <c r="E55" s="98"/>
      <c r="F55" s="90"/>
      <c r="G55" s="91"/>
      <c r="H55" s="92"/>
      <c r="I55" s="93"/>
      <c r="J55" s="83"/>
      <c r="K55" s="83"/>
      <c r="L55" s="12"/>
      <c r="M55" s="13"/>
      <c r="N55" s="14"/>
      <c r="O55" s="11"/>
      <c r="P55" s="15"/>
      <c r="Q55" s="16"/>
      <c r="R55" s="2"/>
      <c r="S55" s="12"/>
      <c r="T55" s="17"/>
      <c r="U55" s="2"/>
      <c r="V55" s="18"/>
      <c r="W55" s="8"/>
      <c r="Y55" s="149" t="s">
        <v>102</v>
      </c>
      <c r="Z55" s="152">
        <f t="shared" si="1"/>
        <v>0</v>
      </c>
    </row>
    <row r="56" spans="2:26" ht="18" x14ac:dyDescent="0.35">
      <c r="B56" s="95"/>
      <c r="C56" s="96"/>
      <c r="D56" s="97"/>
      <c r="E56" s="98"/>
      <c r="F56" s="90"/>
      <c r="G56" s="91"/>
      <c r="H56" s="92"/>
      <c r="I56" s="93"/>
      <c r="J56" s="83"/>
      <c r="K56" s="83"/>
      <c r="L56" s="12"/>
      <c r="M56" s="13"/>
      <c r="N56" s="14"/>
      <c r="O56" s="11"/>
      <c r="P56" s="15"/>
      <c r="Q56" s="16"/>
      <c r="R56" s="2"/>
      <c r="S56" s="12"/>
      <c r="T56" s="17"/>
      <c r="U56" s="2"/>
      <c r="V56" s="18"/>
      <c r="W56" s="8"/>
      <c r="Y56" s="149" t="s">
        <v>26</v>
      </c>
      <c r="Z56" s="152">
        <f t="shared" si="1"/>
        <v>0</v>
      </c>
    </row>
    <row r="57" spans="2:26" ht="18" x14ac:dyDescent="0.35">
      <c r="B57" s="95"/>
      <c r="C57" s="96"/>
      <c r="D57" s="97"/>
      <c r="E57" s="98"/>
      <c r="F57" s="90"/>
      <c r="G57" s="91"/>
      <c r="H57" s="92"/>
      <c r="I57" s="93"/>
      <c r="J57" s="83"/>
      <c r="K57" s="83"/>
      <c r="L57" s="12"/>
      <c r="M57" s="13"/>
      <c r="N57" s="14"/>
      <c r="O57" s="11"/>
      <c r="P57" s="15"/>
      <c r="Q57" s="16"/>
      <c r="R57" s="2"/>
      <c r="S57" s="12"/>
      <c r="T57" s="17"/>
      <c r="U57" s="2"/>
      <c r="V57" s="18"/>
      <c r="W57" s="8"/>
      <c r="Y57" s="149" t="s">
        <v>27</v>
      </c>
      <c r="Z57" s="152">
        <f t="shared" si="1"/>
        <v>0</v>
      </c>
    </row>
    <row r="58" spans="2:26" ht="18" x14ac:dyDescent="0.35">
      <c r="B58" s="95"/>
      <c r="C58" s="96"/>
      <c r="D58" s="97"/>
      <c r="E58" s="98"/>
      <c r="F58" s="90"/>
      <c r="G58" s="91"/>
      <c r="H58" s="92"/>
      <c r="I58" s="93"/>
      <c r="J58" s="83"/>
      <c r="K58" s="83"/>
      <c r="L58" s="12"/>
      <c r="M58" s="13"/>
      <c r="N58" s="14"/>
      <c r="O58" s="11"/>
      <c r="P58" s="15"/>
      <c r="Q58" s="16"/>
      <c r="R58" s="2"/>
      <c r="S58" s="12"/>
      <c r="T58" s="17"/>
      <c r="U58" s="2"/>
      <c r="V58" s="18"/>
      <c r="W58" s="8"/>
      <c r="Y58" s="149" t="s">
        <v>28</v>
      </c>
      <c r="Z58" s="152">
        <f t="shared" si="1"/>
        <v>0</v>
      </c>
    </row>
    <row r="59" spans="2:26" ht="18" x14ac:dyDescent="0.35">
      <c r="B59" s="95"/>
      <c r="C59" s="96"/>
      <c r="D59" s="97"/>
      <c r="E59" s="98"/>
      <c r="F59" s="90"/>
      <c r="G59" s="91"/>
      <c r="H59" s="92"/>
      <c r="I59" s="93"/>
      <c r="J59" s="83"/>
      <c r="K59" s="83"/>
      <c r="L59" s="12"/>
      <c r="M59" s="13"/>
      <c r="N59" s="14"/>
      <c r="O59" s="11"/>
      <c r="P59" s="15"/>
      <c r="Q59" s="16"/>
      <c r="R59" s="2"/>
      <c r="S59" s="12"/>
      <c r="T59" s="17"/>
      <c r="U59" s="2"/>
      <c r="V59" s="18"/>
      <c r="W59" s="8"/>
      <c r="Y59" s="149" t="s">
        <v>29</v>
      </c>
      <c r="Z59" s="152">
        <f t="shared" si="1"/>
        <v>0</v>
      </c>
    </row>
    <row r="60" spans="2:26" ht="18" x14ac:dyDescent="0.35">
      <c r="B60" s="95"/>
      <c r="C60" s="96"/>
      <c r="D60" s="97"/>
      <c r="E60" s="98"/>
      <c r="F60" s="90"/>
      <c r="G60" s="91"/>
      <c r="H60" s="92"/>
      <c r="I60" s="93"/>
      <c r="J60" s="83"/>
      <c r="K60" s="83"/>
      <c r="L60" s="12"/>
      <c r="M60" s="13"/>
      <c r="N60" s="14"/>
      <c r="O60" s="11"/>
      <c r="P60" s="15"/>
      <c r="Q60" s="16"/>
      <c r="R60" s="2"/>
      <c r="S60" s="12"/>
      <c r="T60" s="17"/>
      <c r="U60" s="2"/>
      <c r="V60" s="18"/>
      <c r="W60" s="8"/>
      <c r="Y60" s="149" t="s">
        <v>34</v>
      </c>
      <c r="Z60" s="152">
        <f t="shared" si="1"/>
        <v>0</v>
      </c>
    </row>
    <row r="61" spans="2:26" ht="18" x14ac:dyDescent="0.35">
      <c r="B61" s="95"/>
      <c r="C61" s="96"/>
      <c r="D61" s="97"/>
      <c r="E61" s="98"/>
      <c r="F61" s="90"/>
      <c r="G61" s="91"/>
      <c r="H61" s="92"/>
      <c r="I61" s="93"/>
      <c r="J61" s="83"/>
      <c r="K61" s="83"/>
      <c r="L61" s="12"/>
      <c r="M61" s="13"/>
      <c r="N61" s="14"/>
      <c r="O61" s="11"/>
      <c r="P61" s="15"/>
      <c r="Q61" s="16"/>
      <c r="R61" s="2"/>
      <c r="S61" s="12"/>
      <c r="T61" s="17"/>
      <c r="U61" s="2"/>
      <c r="V61" s="18"/>
      <c r="W61" s="8"/>
      <c r="Y61" s="149" t="s">
        <v>35</v>
      </c>
      <c r="Z61" s="152">
        <f t="shared" si="1"/>
        <v>0</v>
      </c>
    </row>
    <row r="62" spans="2:26" ht="18" x14ac:dyDescent="0.35">
      <c r="B62" s="95"/>
      <c r="C62" s="96"/>
      <c r="D62" s="97"/>
      <c r="E62" s="98"/>
      <c r="F62" s="90"/>
      <c r="G62" s="91"/>
      <c r="H62" s="92"/>
      <c r="I62" s="93"/>
      <c r="J62" s="83"/>
      <c r="K62" s="83"/>
      <c r="L62" s="12"/>
      <c r="M62" s="13"/>
      <c r="N62" s="14"/>
      <c r="O62" s="11"/>
      <c r="P62" s="15"/>
      <c r="Q62" s="16"/>
      <c r="R62" s="2"/>
      <c r="S62" s="12"/>
      <c r="T62" s="17"/>
      <c r="U62" s="2"/>
      <c r="V62" s="18"/>
      <c r="W62" s="8"/>
      <c r="Y62" s="149" t="s">
        <v>36</v>
      </c>
      <c r="Z62" s="152">
        <f t="shared" si="1"/>
        <v>0</v>
      </c>
    </row>
    <row r="63" spans="2:26" ht="18" x14ac:dyDescent="0.35">
      <c r="B63" s="95"/>
      <c r="C63" s="96"/>
      <c r="D63" s="97"/>
      <c r="E63" s="98"/>
      <c r="F63" s="90"/>
      <c r="G63" s="91"/>
      <c r="H63" s="92"/>
      <c r="I63" s="93"/>
      <c r="J63" s="83"/>
      <c r="K63" s="83"/>
      <c r="L63" s="12"/>
      <c r="M63" s="13"/>
      <c r="N63" s="14"/>
      <c r="O63" s="11"/>
      <c r="P63" s="15"/>
      <c r="Q63" s="16"/>
      <c r="R63" s="2"/>
      <c r="S63" s="12"/>
      <c r="T63" s="17"/>
      <c r="U63" s="2"/>
      <c r="V63" s="18"/>
      <c r="W63" s="8"/>
      <c r="Y63" s="149" t="s">
        <v>37</v>
      </c>
      <c r="Z63" s="152">
        <f t="shared" si="1"/>
        <v>0</v>
      </c>
    </row>
    <row r="64" spans="2:26" ht="18" x14ac:dyDescent="0.35">
      <c r="B64" s="95"/>
      <c r="C64" s="96"/>
      <c r="D64" s="97"/>
      <c r="E64" s="98"/>
      <c r="F64" s="90"/>
      <c r="G64" s="91"/>
      <c r="H64" s="92"/>
      <c r="I64" s="93"/>
      <c r="J64" s="83"/>
      <c r="K64" s="83"/>
      <c r="L64" s="12"/>
      <c r="M64" s="13"/>
      <c r="N64" s="14"/>
      <c r="O64" s="11"/>
      <c r="P64" s="15"/>
      <c r="Q64" s="16"/>
      <c r="R64" s="2"/>
      <c r="S64" s="12"/>
      <c r="T64" s="17"/>
      <c r="U64" s="2"/>
      <c r="V64" s="18"/>
      <c r="W64" s="8"/>
      <c r="Y64" s="149" t="s">
        <v>38</v>
      </c>
      <c r="Z64" s="152">
        <f t="shared" si="1"/>
        <v>0</v>
      </c>
    </row>
    <row r="65" spans="2:26" ht="18" x14ac:dyDescent="0.35">
      <c r="B65" s="95"/>
      <c r="C65" s="96"/>
      <c r="D65" s="97"/>
      <c r="E65" s="98"/>
      <c r="F65" s="99"/>
      <c r="G65" s="100"/>
      <c r="H65" s="101"/>
      <c r="I65" s="102"/>
      <c r="J65" s="83"/>
      <c r="K65" s="83"/>
      <c r="L65" s="12"/>
      <c r="M65" s="13"/>
      <c r="N65" s="14"/>
      <c r="O65" s="11"/>
      <c r="P65" s="15"/>
      <c r="Q65" s="16"/>
      <c r="R65" s="2"/>
      <c r="S65" s="12"/>
      <c r="T65" s="17"/>
      <c r="U65" s="2"/>
      <c r="V65" s="18"/>
      <c r="W65" s="8"/>
      <c r="Y65" s="149" t="s">
        <v>40</v>
      </c>
      <c r="Z65" s="152">
        <f t="shared" si="1"/>
        <v>0</v>
      </c>
    </row>
    <row r="66" spans="2:26" ht="18" x14ac:dyDescent="0.35">
      <c r="B66" s="95"/>
      <c r="C66" s="96"/>
      <c r="D66" s="97"/>
      <c r="E66" s="98"/>
      <c r="F66" s="90"/>
      <c r="G66" s="91"/>
      <c r="H66" s="92"/>
      <c r="I66" s="93"/>
      <c r="J66" s="83"/>
      <c r="K66" s="83"/>
      <c r="L66" s="12"/>
      <c r="M66" s="13"/>
      <c r="N66" s="14"/>
      <c r="O66" s="11"/>
      <c r="P66" s="15"/>
      <c r="Q66" s="16"/>
      <c r="R66" s="2"/>
      <c r="S66" s="12"/>
      <c r="T66" s="17"/>
      <c r="U66" s="2"/>
      <c r="V66" s="18"/>
      <c r="W66" s="8"/>
      <c r="Y66" s="149" t="s">
        <v>41</v>
      </c>
      <c r="Z66" s="152">
        <f t="shared" si="1"/>
        <v>0</v>
      </c>
    </row>
    <row r="67" spans="2:26" ht="18" x14ac:dyDescent="0.35">
      <c r="B67" s="95"/>
      <c r="C67" s="96"/>
      <c r="D67" s="97"/>
      <c r="E67" s="98"/>
      <c r="F67" s="103"/>
      <c r="G67" s="94"/>
      <c r="H67" s="104"/>
      <c r="I67" s="105"/>
      <c r="J67" s="83"/>
      <c r="K67" s="83"/>
      <c r="L67" s="12"/>
      <c r="M67" s="13"/>
      <c r="N67" s="14"/>
      <c r="O67" s="11"/>
      <c r="P67" s="15"/>
      <c r="Q67" s="16"/>
      <c r="R67" s="2"/>
      <c r="S67" s="12"/>
      <c r="T67" s="17"/>
      <c r="U67" s="2"/>
      <c r="V67" s="18"/>
      <c r="W67" s="8"/>
      <c r="Y67" s="149" t="s">
        <v>69</v>
      </c>
      <c r="Z67" s="152">
        <f t="shared" si="1"/>
        <v>0</v>
      </c>
    </row>
    <row r="68" spans="2:26" ht="18" x14ac:dyDescent="0.35">
      <c r="B68" s="95"/>
      <c r="C68" s="96"/>
      <c r="D68" s="97"/>
      <c r="E68" s="98"/>
      <c r="F68" s="90"/>
      <c r="G68" s="91"/>
      <c r="H68" s="92"/>
      <c r="I68" s="105"/>
      <c r="J68" s="83"/>
      <c r="K68" s="83"/>
      <c r="L68" s="12"/>
      <c r="M68" s="13"/>
      <c r="N68" s="14"/>
      <c r="O68" s="11"/>
      <c r="P68" s="15"/>
      <c r="Q68" s="16"/>
      <c r="R68" s="2"/>
      <c r="S68" s="12"/>
      <c r="T68" s="17"/>
      <c r="U68" s="2"/>
      <c r="V68" s="18"/>
      <c r="W68" s="8"/>
      <c r="Y68" s="149" t="s">
        <v>108</v>
      </c>
      <c r="Z68" s="152">
        <f t="shared" si="1"/>
        <v>0</v>
      </c>
    </row>
    <row r="69" spans="2:26" ht="18" x14ac:dyDescent="0.35">
      <c r="B69" s="95"/>
      <c r="C69" s="96"/>
      <c r="D69" s="97"/>
      <c r="E69" s="98"/>
      <c r="F69" s="90"/>
      <c r="G69" s="91"/>
      <c r="H69" s="92"/>
      <c r="I69" s="105"/>
      <c r="J69" s="83"/>
      <c r="K69" s="83"/>
      <c r="L69" s="12"/>
      <c r="M69" s="13"/>
      <c r="N69" s="14"/>
      <c r="O69" s="11"/>
      <c r="P69" s="15"/>
      <c r="Q69" s="16"/>
      <c r="R69" s="2"/>
      <c r="S69" s="12"/>
      <c r="T69" s="17"/>
      <c r="U69" s="2"/>
      <c r="V69" s="18"/>
      <c r="W69" s="8"/>
      <c r="Y69" s="149" t="s">
        <v>44</v>
      </c>
      <c r="Z69" s="152">
        <f t="shared" si="1"/>
        <v>0</v>
      </c>
    </row>
    <row r="70" spans="2:26" ht="18" x14ac:dyDescent="0.35">
      <c r="B70" s="95"/>
      <c r="C70" s="96"/>
      <c r="D70" s="97"/>
      <c r="E70" s="98"/>
      <c r="F70" s="90"/>
      <c r="G70" s="91"/>
      <c r="H70" s="92"/>
      <c r="I70" s="105"/>
      <c r="J70" s="83"/>
      <c r="K70" s="83"/>
      <c r="L70" s="12"/>
      <c r="M70" s="13"/>
      <c r="N70" s="14"/>
      <c r="O70" s="11"/>
      <c r="P70" s="15"/>
      <c r="Q70" s="16"/>
      <c r="R70" s="2"/>
      <c r="S70" s="12"/>
      <c r="T70" s="17"/>
      <c r="U70" s="2"/>
      <c r="V70" s="18"/>
      <c r="W70" s="8"/>
      <c r="Y70" s="149" t="s">
        <v>45</v>
      </c>
      <c r="Z70" s="152">
        <f t="shared" si="1"/>
        <v>0</v>
      </c>
    </row>
    <row r="71" spans="2:26" ht="18" x14ac:dyDescent="0.35">
      <c r="B71" s="95"/>
      <c r="C71" s="96"/>
      <c r="D71" s="97"/>
      <c r="E71" s="98"/>
      <c r="F71" s="90"/>
      <c r="G71" s="91"/>
      <c r="H71" s="92"/>
      <c r="I71" s="105"/>
      <c r="J71" s="83"/>
      <c r="K71" s="83"/>
      <c r="L71" s="12"/>
      <c r="M71" s="13"/>
      <c r="N71" s="14"/>
      <c r="O71" s="11"/>
      <c r="P71" s="15"/>
      <c r="Q71" s="16"/>
      <c r="R71" s="2"/>
      <c r="S71" s="12"/>
      <c r="T71" s="17"/>
      <c r="U71" s="2"/>
      <c r="V71" s="18"/>
      <c r="W71" s="8"/>
      <c r="Y71" s="149" t="s">
        <v>49</v>
      </c>
      <c r="Z71" s="152">
        <f t="shared" si="1"/>
        <v>0</v>
      </c>
    </row>
    <row r="72" spans="2:26" ht="18" x14ac:dyDescent="0.35">
      <c r="B72" s="106"/>
      <c r="C72" s="107"/>
      <c r="D72" s="108"/>
      <c r="E72" s="109"/>
      <c r="F72" s="90"/>
      <c r="G72" s="91"/>
      <c r="H72" s="92"/>
      <c r="I72" s="105"/>
      <c r="J72" s="83"/>
      <c r="K72" s="83"/>
      <c r="L72" s="12"/>
      <c r="M72" s="13"/>
      <c r="N72" s="14"/>
      <c r="O72" s="11"/>
      <c r="P72" s="15"/>
      <c r="Q72" s="16"/>
      <c r="R72" s="2"/>
      <c r="S72" s="12"/>
      <c r="T72" s="17"/>
      <c r="U72" s="2"/>
      <c r="V72" s="18"/>
      <c r="W72" s="8"/>
      <c r="Y72" s="149" t="s">
        <v>50</v>
      </c>
      <c r="Z72" s="152">
        <f t="shared" si="1"/>
        <v>0</v>
      </c>
    </row>
    <row r="73" spans="2:26" ht="18" x14ac:dyDescent="0.35">
      <c r="B73" s="95"/>
      <c r="C73" s="96"/>
      <c r="D73" s="97"/>
      <c r="E73" s="98"/>
      <c r="F73" s="90"/>
      <c r="G73" s="91"/>
      <c r="H73" s="92"/>
      <c r="I73" s="105"/>
      <c r="J73" s="83"/>
      <c r="K73" s="83"/>
      <c r="L73" s="20"/>
      <c r="M73" s="21"/>
      <c r="N73" s="22"/>
      <c r="O73" s="19"/>
      <c r="P73" s="23"/>
      <c r="Q73" s="24"/>
      <c r="R73" s="2"/>
      <c r="S73" s="20"/>
      <c r="T73" s="25"/>
      <c r="U73" s="2"/>
      <c r="V73" s="26"/>
      <c r="W73" s="27"/>
      <c r="Y73" s="149" t="s">
        <v>51</v>
      </c>
      <c r="Z73" s="152">
        <f t="shared" si="1"/>
        <v>0</v>
      </c>
    </row>
    <row r="74" spans="2:26" ht="18" x14ac:dyDescent="0.35">
      <c r="B74" s="110"/>
      <c r="C74" s="111"/>
      <c r="D74" s="112"/>
      <c r="E74" s="113"/>
      <c r="F74" s="90"/>
      <c r="G74" s="91"/>
      <c r="H74" s="92"/>
      <c r="I74" s="105"/>
      <c r="J74" s="83"/>
      <c r="K74" s="83"/>
      <c r="L74" s="12"/>
      <c r="M74" s="28"/>
      <c r="N74" s="14"/>
      <c r="O74" s="11"/>
      <c r="P74" s="11"/>
      <c r="Q74" s="16"/>
      <c r="R74" s="2"/>
      <c r="S74" s="12"/>
      <c r="T74" s="17"/>
      <c r="U74" s="2"/>
      <c r="V74" s="18"/>
      <c r="W74" s="16"/>
      <c r="Y74" s="149" t="s">
        <v>52</v>
      </c>
      <c r="Z74" s="152">
        <f t="shared" si="1"/>
        <v>0</v>
      </c>
    </row>
    <row r="75" spans="2:26" ht="18" x14ac:dyDescent="0.35">
      <c r="B75" s="95"/>
      <c r="C75" s="96"/>
      <c r="D75" s="97"/>
      <c r="E75" s="113"/>
      <c r="F75" s="90"/>
      <c r="G75" s="91"/>
      <c r="H75" s="92"/>
      <c r="I75" s="105"/>
      <c r="J75" s="83"/>
      <c r="K75" s="83"/>
      <c r="L75" s="12"/>
      <c r="M75" s="28"/>
      <c r="N75" s="14"/>
      <c r="O75" s="11"/>
      <c r="P75" s="11"/>
      <c r="Q75" s="16"/>
      <c r="R75" s="2"/>
      <c r="S75" s="12"/>
      <c r="T75" s="17"/>
      <c r="U75" s="2"/>
      <c r="V75" s="18"/>
      <c r="W75" s="16"/>
      <c r="Y75" s="149" t="s">
        <v>72</v>
      </c>
      <c r="Z75" s="152">
        <f t="shared" si="1"/>
        <v>0</v>
      </c>
    </row>
    <row r="76" spans="2:26" ht="18" x14ac:dyDescent="0.35">
      <c r="B76" s="95"/>
      <c r="C76" s="96"/>
      <c r="D76" s="97"/>
      <c r="E76" s="113"/>
      <c r="F76" s="90"/>
      <c r="G76" s="91"/>
      <c r="H76" s="92"/>
      <c r="I76" s="105"/>
      <c r="J76" s="83"/>
      <c r="K76" s="83"/>
      <c r="L76" s="12"/>
      <c r="M76" s="28"/>
      <c r="N76" s="14"/>
      <c r="O76" s="11"/>
      <c r="P76" s="11"/>
      <c r="Q76" s="16"/>
      <c r="R76" s="2"/>
      <c r="S76" s="12"/>
      <c r="T76" s="17"/>
      <c r="U76" s="2"/>
      <c r="V76" s="18"/>
      <c r="W76" s="16"/>
      <c r="Y76" s="149" t="s">
        <v>71</v>
      </c>
      <c r="Z76" s="152">
        <f t="shared" si="1"/>
        <v>0</v>
      </c>
    </row>
    <row r="77" spans="2:26" ht="18" x14ac:dyDescent="0.35">
      <c r="B77" s="95"/>
      <c r="C77" s="96"/>
      <c r="D77" s="97"/>
      <c r="E77" s="113"/>
      <c r="F77" s="90"/>
      <c r="G77" s="91"/>
      <c r="H77" s="92"/>
      <c r="I77" s="105"/>
      <c r="J77" s="83"/>
      <c r="K77" s="83"/>
      <c r="L77" s="12"/>
      <c r="M77" s="28"/>
      <c r="N77" s="14"/>
      <c r="O77" s="11"/>
      <c r="P77" s="11"/>
      <c r="Q77" s="16"/>
      <c r="R77" s="2"/>
      <c r="S77" s="12"/>
      <c r="T77" s="17"/>
      <c r="U77" s="2"/>
      <c r="V77" s="18"/>
      <c r="W77" s="16"/>
      <c r="Y77" s="149" t="s">
        <v>53</v>
      </c>
      <c r="Z77" s="152">
        <f t="shared" ref="Z77:Z79" si="2">SUMIF($G$9:$G$129, Y77, $F$9:$F$129)</f>
        <v>0</v>
      </c>
    </row>
    <row r="78" spans="2:26" ht="18" x14ac:dyDescent="0.35">
      <c r="B78" s="95"/>
      <c r="C78" s="96"/>
      <c r="D78" s="97"/>
      <c r="E78" s="113"/>
      <c r="F78" s="90"/>
      <c r="G78" s="91"/>
      <c r="H78" s="92"/>
      <c r="I78" s="105"/>
      <c r="J78" s="83"/>
      <c r="K78" s="83"/>
      <c r="L78" s="12"/>
      <c r="M78" s="28"/>
      <c r="N78" s="14"/>
      <c r="O78" s="11"/>
      <c r="P78" s="11"/>
      <c r="Q78" s="16"/>
      <c r="R78" s="2"/>
      <c r="S78" s="12"/>
      <c r="T78" s="17"/>
      <c r="U78" s="2"/>
      <c r="V78" s="18"/>
      <c r="W78" s="16"/>
      <c r="Y78" s="149" t="s">
        <v>54</v>
      </c>
      <c r="Z78" s="152">
        <f t="shared" si="2"/>
        <v>0</v>
      </c>
    </row>
    <row r="79" spans="2:26" ht="18.600000000000001" thickBot="1" x14ac:dyDescent="0.4">
      <c r="B79" s="95"/>
      <c r="C79" s="96"/>
      <c r="D79" s="97"/>
      <c r="E79" s="113"/>
      <c r="F79" s="90"/>
      <c r="G79" s="91"/>
      <c r="H79" s="92"/>
      <c r="I79" s="105"/>
      <c r="J79" s="83"/>
      <c r="K79" s="83"/>
      <c r="L79" s="12"/>
      <c r="M79" s="28"/>
      <c r="N79" s="14"/>
      <c r="O79" s="11"/>
      <c r="P79" s="11"/>
      <c r="Q79" s="16"/>
      <c r="R79" s="2"/>
      <c r="S79" s="12"/>
      <c r="T79" s="17"/>
      <c r="U79" s="2"/>
      <c r="V79" s="18"/>
      <c r="W79" s="16"/>
      <c r="Y79" s="150" t="s">
        <v>55</v>
      </c>
      <c r="Z79" s="153">
        <f t="shared" si="2"/>
        <v>0</v>
      </c>
    </row>
    <row r="80" spans="2:26" ht="18" x14ac:dyDescent="0.35">
      <c r="B80" s="95"/>
      <c r="C80" s="96"/>
      <c r="D80" s="97"/>
      <c r="E80" s="113"/>
      <c r="F80" s="90"/>
      <c r="G80" s="91"/>
      <c r="H80" s="92"/>
      <c r="I80" s="105"/>
      <c r="J80" s="83"/>
      <c r="K80" s="83"/>
      <c r="L80" s="12"/>
      <c r="M80" s="28"/>
      <c r="N80" s="14"/>
      <c r="O80" s="11"/>
      <c r="P80" s="11"/>
      <c r="Q80" s="16"/>
      <c r="R80" s="2"/>
      <c r="S80" s="12"/>
      <c r="T80" s="17"/>
      <c r="U80" s="2"/>
      <c r="V80" s="18"/>
      <c r="W80" s="16"/>
    </row>
    <row r="81" spans="2:23" ht="18" x14ac:dyDescent="0.35">
      <c r="B81" s="95"/>
      <c r="C81" s="96"/>
      <c r="D81" s="97"/>
      <c r="E81" s="113"/>
      <c r="F81" s="90"/>
      <c r="G81" s="91"/>
      <c r="H81" s="92"/>
      <c r="I81" s="105"/>
      <c r="J81" s="83"/>
      <c r="K81" s="83"/>
      <c r="L81" s="12"/>
      <c r="M81" s="28"/>
      <c r="N81" s="14"/>
      <c r="O81" s="11"/>
      <c r="P81" s="11"/>
      <c r="Q81" s="16"/>
      <c r="R81" s="2"/>
      <c r="S81" s="12"/>
      <c r="T81" s="17"/>
      <c r="U81" s="2"/>
      <c r="V81" s="18"/>
      <c r="W81" s="16"/>
    </row>
    <row r="82" spans="2:23" ht="18" x14ac:dyDescent="0.35">
      <c r="B82" s="95"/>
      <c r="C82" s="96"/>
      <c r="D82" s="97"/>
      <c r="E82" s="113"/>
      <c r="F82" s="90"/>
      <c r="G82" s="91"/>
      <c r="H82" s="92"/>
      <c r="I82" s="105"/>
      <c r="J82" s="83"/>
      <c r="K82" s="83"/>
      <c r="L82" s="12"/>
      <c r="M82" s="28"/>
      <c r="N82" s="14"/>
      <c r="O82" s="11"/>
      <c r="P82" s="11"/>
      <c r="Q82" s="16"/>
      <c r="R82" s="2"/>
      <c r="S82" s="12"/>
      <c r="T82" s="17"/>
      <c r="U82" s="2"/>
      <c r="V82" s="18"/>
      <c r="W82" s="16"/>
    </row>
    <row r="83" spans="2:23" ht="18" x14ac:dyDescent="0.35">
      <c r="B83" s="95"/>
      <c r="C83" s="96"/>
      <c r="D83" s="97"/>
      <c r="E83" s="113"/>
      <c r="F83" s="90"/>
      <c r="G83" s="91"/>
      <c r="H83" s="92"/>
      <c r="I83" s="105"/>
      <c r="J83" s="83"/>
      <c r="K83" s="83"/>
      <c r="L83" s="12"/>
      <c r="M83" s="28"/>
      <c r="N83" s="14"/>
      <c r="O83" s="11"/>
      <c r="P83" s="11"/>
      <c r="Q83" s="16"/>
      <c r="R83" s="2"/>
      <c r="S83" s="12"/>
      <c r="T83" s="17"/>
      <c r="U83" s="2"/>
      <c r="V83" s="18"/>
      <c r="W83" s="16"/>
    </row>
    <row r="84" spans="2:23" ht="18" x14ac:dyDescent="0.35">
      <c r="B84" s="95"/>
      <c r="C84" s="96"/>
      <c r="D84" s="97"/>
      <c r="E84" s="113"/>
      <c r="F84" s="90"/>
      <c r="G84" s="91"/>
      <c r="H84" s="92"/>
      <c r="I84" s="105"/>
      <c r="J84" s="83"/>
      <c r="K84" s="83"/>
      <c r="L84" s="12"/>
      <c r="M84" s="28"/>
      <c r="N84" s="14"/>
      <c r="O84" s="11"/>
      <c r="P84" s="11"/>
      <c r="Q84" s="16"/>
      <c r="R84" s="2"/>
      <c r="S84" s="12"/>
      <c r="T84" s="17"/>
      <c r="U84" s="2"/>
      <c r="V84" s="18"/>
      <c r="W84" s="16"/>
    </row>
    <row r="85" spans="2:23" ht="18" x14ac:dyDescent="0.35">
      <c r="B85" s="95"/>
      <c r="C85" s="96"/>
      <c r="D85" s="97"/>
      <c r="E85" s="113"/>
      <c r="F85" s="90"/>
      <c r="G85" s="91"/>
      <c r="H85" s="92"/>
      <c r="I85" s="105"/>
      <c r="J85" s="83"/>
      <c r="K85" s="83"/>
      <c r="L85" s="12"/>
      <c r="M85" s="28"/>
      <c r="N85" s="14"/>
      <c r="O85" s="11"/>
      <c r="P85" s="11"/>
      <c r="Q85" s="16"/>
      <c r="R85" s="2"/>
      <c r="S85" s="12"/>
      <c r="T85" s="17"/>
      <c r="U85" s="2"/>
      <c r="V85" s="18"/>
      <c r="W85" s="16"/>
    </row>
    <row r="86" spans="2:23" ht="18" x14ac:dyDescent="0.35">
      <c r="B86" s="95"/>
      <c r="C86" s="96"/>
      <c r="D86" s="97"/>
      <c r="E86" s="113"/>
      <c r="F86" s="90"/>
      <c r="G86" s="91"/>
      <c r="H86" s="92"/>
      <c r="I86" s="105"/>
      <c r="J86" s="83"/>
      <c r="K86" s="83"/>
      <c r="L86" s="12"/>
      <c r="M86" s="28"/>
      <c r="N86" s="14"/>
      <c r="O86" s="11"/>
      <c r="P86" s="11"/>
      <c r="Q86" s="16"/>
      <c r="R86" s="2"/>
      <c r="S86" s="12"/>
      <c r="T86" s="17"/>
      <c r="U86" s="2"/>
      <c r="V86" s="18"/>
      <c r="W86" s="16"/>
    </row>
    <row r="87" spans="2:23" ht="18" x14ac:dyDescent="0.35">
      <c r="B87" s="95"/>
      <c r="C87" s="96"/>
      <c r="D87" s="97"/>
      <c r="E87" s="113"/>
      <c r="F87" s="90"/>
      <c r="G87" s="91"/>
      <c r="H87" s="92"/>
      <c r="I87" s="105"/>
      <c r="J87" s="83"/>
      <c r="K87" s="83"/>
      <c r="L87" s="12"/>
      <c r="M87" s="28"/>
      <c r="N87" s="14"/>
      <c r="O87" s="11"/>
      <c r="P87" s="11"/>
      <c r="Q87" s="16"/>
      <c r="R87" s="2"/>
      <c r="S87" s="12"/>
      <c r="T87" s="17"/>
      <c r="U87" s="2"/>
      <c r="V87" s="18"/>
      <c r="W87" s="16"/>
    </row>
    <row r="88" spans="2:23" ht="18" x14ac:dyDescent="0.35">
      <c r="B88" s="95"/>
      <c r="C88" s="96"/>
      <c r="D88" s="97"/>
      <c r="E88" s="113"/>
      <c r="F88" s="90"/>
      <c r="G88" s="91"/>
      <c r="H88" s="92"/>
      <c r="I88" s="105"/>
      <c r="J88" s="83"/>
      <c r="K88" s="83"/>
      <c r="L88" s="12"/>
      <c r="M88" s="28"/>
      <c r="N88" s="14"/>
      <c r="O88" s="11"/>
      <c r="P88" s="11"/>
      <c r="Q88" s="16"/>
      <c r="R88" s="2"/>
      <c r="S88" s="12"/>
      <c r="T88" s="17"/>
      <c r="U88" s="2"/>
      <c r="V88" s="18"/>
      <c r="W88" s="16"/>
    </row>
    <row r="89" spans="2:23" ht="18" x14ac:dyDescent="0.35">
      <c r="B89" s="95"/>
      <c r="C89" s="96"/>
      <c r="D89" s="97"/>
      <c r="E89" s="113"/>
      <c r="F89" s="90"/>
      <c r="G89" s="91"/>
      <c r="H89" s="92"/>
      <c r="I89" s="105"/>
      <c r="J89" s="83"/>
      <c r="K89" s="83"/>
      <c r="L89" s="12"/>
      <c r="M89" s="28"/>
      <c r="N89" s="14"/>
      <c r="O89" s="11"/>
      <c r="P89" s="11"/>
      <c r="Q89" s="16"/>
      <c r="R89" s="2"/>
      <c r="S89" s="12"/>
      <c r="T89" s="17"/>
      <c r="U89" s="2"/>
      <c r="V89" s="18"/>
      <c r="W89" s="16"/>
    </row>
    <row r="90" spans="2:23" ht="18" x14ac:dyDescent="0.35">
      <c r="B90" s="95"/>
      <c r="C90" s="96"/>
      <c r="D90" s="97"/>
      <c r="E90" s="113"/>
      <c r="F90" s="90"/>
      <c r="G90" s="91"/>
      <c r="H90" s="92"/>
      <c r="I90" s="105"/>
      <c r="J90" s="83"/>
      <c r="K90" s="83"/>
      <c r="L90" s="12"/>
      <c r="M90" s="28"/>
      <c r="N90" s="14"/>
      <c r="O90" s="11"/>
      <c r="P90" s="11"/>
      <c r="Q90" s="16"/>
      <c r="R90" s="2"/>
      <c r="S90" s="12"/>
      <c r="T90" s="17"/>
      <c r="U90" s="2"/>
      <c r="V90" s="18"/>
      <c r="W90" s="16"/>
    </row>
    <row r="91" spans="2:23" ht="18" x14ac:dyDescent="0.35">
      <c r="B91" s="95"/>
      <c r="C91" s="96"/>
      <c r="D91" s="97"/>
      <c r="E91" s="113"/>
      <c r="F91" s="90"/>
      <c r="G91" s="91"/>
      <c r="H91" s="92"/>
      <c r="I91" s="105"/>
      <c r="J91" s="83"/>
      <c r="K91" s="83"/>
      <c r="L91" s="12"/>
      <c r="M91" s="28"/>
      <c r="N91" s="14"/>
      <c r="O91" s="11"/>
      <c r="P91" s="11"/>
      <c r="Q91" s="16"/>
      <c r="R91" s="2"/>
      <c r="S91" s="12"/>
      <c r="T91" s="17"/>
      <c r="U91" s="2"/>
      <c r="V91" s="18"/>
      <c r="W91" s="16"/>
    </row>
    <row r="92" spans="2:23" ht="18" x14ac:dyDescent="0.35">
      <c r="B92" s="95"/>
      <c r="C92" s="96"/>
      <c r="D92" s="97"/>
      <c r="E92" s="113"/>
      <c r="F92" s="90"/>
      <c r="G92" s="91"/>
      <c r="H92" s="92"/>
      <c r="I92" s="105"/>
      <c r="J92" s="83"/>
      <c r="K92" s="83"/>
      <c r="L92" s="12"/>
      <c r="M92" s="28"/>
      <c r="N92" s="14"/>
      <c r="O92" s="11"/>
      <c r="P92" s="11"/>
      <c r="Q92" s="16"/>
      <c r="R92" s="2"/>
      <c r="S92" s="12"/>
      <c r="T92" s="17"/>
      <c r="U92" s="2"/>
      <c r="V92" s="18"/>
      <c r="W92" s="16"/>
    </row>
    <row r="93" spans="2:23" ht="18" x14ac:dyDescent="0.35">
      <c r="B93" s="95"/>
      <c r="C93" s="96"/>
      <c r="D93" s="97"/>
      <c r="E93" s="113"/>
      <c r="F93" s="90"/>
      <c r="G93" s="91"/>
      <c r="H93" s="92"/>
      <c r="I93" s="105"/>
      <c r="J93" s="83"/>
      <c r="K93" s="83"/>
      <c r="L93" s="12"/>
      <c r="M93" s="28"/>
      <c r="N93" s="14"/>
      <c r="O93" s="11"/>
      <c r="P93" s="11"/>
      <c r="Q93" s="16"/>
      <c r="R93" s="2"/>
      <c r="S93" s="12"/>
      <c r="T93" s="17"/>
      <c r="U93" s="2"/>
      <c r="V93" s="18"/>
      <c r="W93" s="16"/>
    </row>
    <row r="94" spans="2:23" ht="18" x14ac:dyDescent="0.35">
      <c r="B94" s="95"/>
      <c r="C94" s="96"/>
      <c r="D94" s="97"/>
      <c r="E94" s="113"/>
      <c r="F94" s="90"/>
      <c r="G94" s="91"/>
      <c r="H94" s="92"/>
      <c r="I94" s="105"/>
      <c r="J94" s="83"/>
      <c r="K94" s="83"/>
      <c r="L94" s="12"/>
      <c r="M94" s="28"/>
      <c r="N94" s="14"/>
      <c r="O94" s="11"/>
      <c r="P94" s="11"/>
      <c r="Q94" s="16"/>
      <c r="R94" s="2"/>
      <c r="S94" s="12"/>
      <c r="T94" s="17"/>
      <c r="U94" s="2"/>
      <c r="V94" s="18"/>
      <c r="W94" s="16"/>
    </row>
    <row r="95" spans="2:23" ht="18" x14ac:dyDescent="0.35">
      <c r="B95" s="95"/>
      <c r="C95" s="96"/>
      <c r="D95" s="97"/>
      <c r="E95" s="113"/>
      <c r="F95" s="90"/>
      <c r="G95" s="91"/>
      <c r="H95" s="92"/>
      <c r="I95" s="105"/>
      <c r="J95" s="83"/>
      <c r="K95" s="83"/>
      <c r="L95" s="12"/>
      <c r="M95" s="28"/>
      <c r="N95" s="14"/>
      <c r="O95" s="11"/>
      <c r="P95" s="11"/>
      <c r="Q95" s="16"/>
      <c r="R95" s="2"/>
      <c r="S95" s="12"/>
      <c r="T95" s="17"/>
      <c r="U95" s="2"/>
      <c r="V95" s="18"/>
      <c r="W95" s="16"/>
    </row>
    <row r="96" spans="2:23" ht="18" x14ac:dyDescent="0.35">
      <c r="B96" s="95"/>
      <c r="C96" s="96"/>
      <c r="D96" s="97"/>
      <c r="E96" s="113"/>
      <c r="F96" s="90"/>
      <c r="G96" s="91"/>
      <c r="H96" s="92"/>
      <c r="I96" s="105"/>
      <c r="J96" s="83"/>
      <c r="K96" s="83"/>
      <c r="L96" s="12"/>
      <c r="M96" s="28"/>
      <c r="N96" s="14"/>
      <c r="O96" s="11"/>
      <c r="P96" s="11"/>
      <c r="Q96" s="16"/>
      <c r="R96" s="2"/>
      <c r="S96" s="12"/>
      <c r="T96" s="17"/>
      <c r="U96" s="2"/>
      <c r="V96" s="18"/>
      <c r="W96" s="16"/>
    </row>
    <row r="97" spans="2:23" ht="18" x14ac:dyDescent="0.35">
      <c r="B97" s="95"/>
      <c r="C97" s="96"/>
      <c r="D97" s="97"/>
      <c r="E97" s="113"/>
      <c r="F97" s="90"/>
      <c r="G97" s="91"/>
      <c r="H97" s="92"/>
      <c r="I97" s="105"/>
      <c r="J97" s="83"/>
      <c r="K97" s="83"/>
      <c r="L97" s="12"/>
      <c r="M97" s="28"/>
      <c r="N97" s="14"/>
      <c r="O97" s="11"/>
      <c r="P97" s="11"/>
      <c r="Q97" s="16"/>
      <c r="R97" s="2"/>
      <c r="S97" s="12"/>
      <c r="T97" s="17"/>
      <c r="U97" s="2"/>
      <c r="V97" s="18"/>
      <c r="W97" s="16"/>
    </row>
    <row r="98" spans="2:23" ht="18" x14ac:dyDescent="0.35">
      <c r="B98" s="95"/>
      <c r="C98" s="96"/>
      <c r="D98" s="97"/>
      <c r="E98" s="113"/>
      <c r="F98" s="90"/>
      <c r="G98" s="91"/>
      <c r="H98" s="92"/>
      <c r="I98" s="105"/>
      <c r="J98" s="83"/>
      <c r="K98" s="83"/>
      <c r="L98" s="12"/>
      <c r="M98" s="28"/>
      <c r="N98" s="14"/>
      <c r="O98" s="11"/>
      <c r="P98" s="11"/>
      <c r="Q98" s="16"/>
      <c r="R98" s="2"/>
      <c r="S98" s="12"/>
      <c r="T98" s="17"/>
      <c r="U98" s="2"/>
      <c r="V98" s="18"/>
      <c r="W98" s="16"/>
    </row>
    <row r="99" spans="2:23" ht="18" x14ac:dyDescent="0.35">
      <c r="B99" s="95"/>
      <c r="C99" s="96"/>
      <c r="D99" s="97"/>
      <c r="E99" s="113"/>
      <c r="F99" s="90"/>
      <c r="G99" s="91"/>
      <c r="H99" s="92"/>
      <c r="I99" s="105"/>
      <c r="J99" s="83"/>
      <c r="K99" s="83"/>
      <c r="L99" s="12"/>
      <c r="M99" s="28"/>
      <c r="N99" s="14"/>
      <c r="O99" s="11"/>
      <c r="P99" s="11"/>
      <c r="Q99" s="16"/>
      <c r="R99" s="2"/>
      <c r="S99" s="12"/>
      <c r="T99" s="17"/>
      <c r="U99" s="2"/>
      <c r="V99" s="18"/>
      <c r="W99" s="16"/>
    </row>
    <row r="100" spans="2:23" ht="18" x14ac:dyDescent="0.35">
      <c r="B100" s="95"/>
      <c r="C100" s="96"/>
      <c r="D100" s="97"/>
      <c r="E100" s="113"/>
      <c r="F100" s="90"/>
      <c r="G100" s="91"/>
      <c r="H100" s="92"/>
      <c r="I100" s="105"/>
      <c r="J100" s="83"/>
      <c r="K100" s="83"/>
      <c r="L100" s="12"/>
      <c r="M100" s="28"/>
      <c r="N100" s="14"/>
      <c r="O100" s="11"/>
      <c r="P100" s="11"/>
      <c r="Q100" s="16"/>
      <c r="R100" s="2"/>
      <c r="S100" s="12"/>
      <c r="T100" s="17"/>
      <c r="U100" s="2"/>
      <c r="V100" s="18"/>
      <c r="W100" s="16"/>
    </row>
    <row r="101" spans="2:23" ht="18" x14ac:dyDescent="0.35">
      <c r="B101" s="95"/>
      <c r="C101" s="96"/>
      <c r="D101" s="97"/>
      <c r="E101" s="113"/>
      <c r="F101" s="90"/>
      <c r="G101" s="91"/>
      <c r="H101" s="92"/>
      <c r="I101" s="105"/>
      <c r="J101" s="83"/>
      <c r="K101" s="83"/>
      <c r="L101" s="12"/>
      <c r="M101" s="28"/>
      <c r="N101" s="14"/>
      <c r="O101" s="11"/>
      <c r="P101" s="11"/>
      <c r="Q101" s="16"/>
      <c r="R101" s="2"/>
      <c r="S101" s="12"/>
      <c r="T101" s="17"/>
      <c r="U101" s="2"/>
      <c r="V101" s="18"/>
      <c r="W101" s="16"/>
    </row>
    <row r="102" spans="2:23" ht="18" x14ac:dyDescent="0.35">
      <c r="B102" s="95"/>
      <c r="C102" s="96"/>
      <c r="D102" s="97"/>
      <c r="E102" s="113"/>
      <c r="F102" s="90"/>
      <c r="G102" s="91"/>
      <c r="H102" s="92"/>
      <c r="I102" s="105"/>
      <c r="J102" s="83"/>
      <c r="K102" s="83"/>
      <c r="L102" s="12"/>
      <c r="M102" s="28"/>
      <c r="N102" s="14"/>
      <c r="O102" s="11"/>
      <c r="P102" s="11"/>
      <c r="Q102" s="16"/>
      <c r="R102" s="2"/>
      <c r="S102" s="12"/>
      <c r="T102" s="17"/>
      <c r="U102" s="2"/>
      <c r="V102" s="18"/>
      <c r="W102" s="16"/>
    </row>
    <row r="103" spans="2:23" ht="18" x14ac:dyDescent="0.35">
      <c r="B103" s="95"/>
      <c r="C103" s="96"/>
      <c r="D103" s="97"/>
      <c r="E103" s="113"/>
      <c r="F103" s="90"/>
      <c r="G103" s="91"/>
      <c r="H103" s="92"/>
      <c r="I103" s="105"/>
      <c r="J103" s="83"/>
      <c r="K103" s="83"/>
      <c r="L103" s="12"/>
      <c r="M103" s="28"/>
      <c r="N103" s="14"/>
      <c r="O103" s="11"/>
      <c r="P103" s="11"/>
      <c r="Q103" s="16"/>
      <c r="R103" s="2"/>
      <c r="S103" s="12"/>
      <c r="T103" s="17"/>
      <c r="U103" s="2"/>
      <c r="V103" s="18"/>
      <c r="W103" s="16"/>
    </row>
    <row r="104" spans="2:23" ht="18" x14ac:dyDescent="0.35">
      <c r="B104" s="95"/>
      <c r="C104" s="96"/>
      <c r="D104" s="97"/>
      <c r="E104" s="113"/>
      <c r="F104" s="90"/>
      <c r="G104" s="91"/>
      <c r="H104" s="92"/>
      <c r="I104" s="105"/>
      <c r="J104" s="83"/>
      <c r="K104" s="83"/>
      <c r="L104" s="12"/>
      <c r="M104" s="28"/>
      <c r="N104" s="14"/>
      <c r="O104" s="11"/>
      <c r="P104" s="11"/>
      <c r="Q104" s="16"/>
      <c r="R104" s="2"/>
      <c r="S104" s="12"/>
      <c r="T104" s="17"/>
      <c r="U104" s="2"/>
      <c r="V104" s="18"/>
      <c r="W104" s="16"/>
    </row>
    <row r="105" spans="2:23" ht="18" x14ac:dyDescent="0.35">
      <c r="B105" s="95"/>
      <c r="C105" s="96"/>
      <c r="D105" s="97"/>
      <c r="E105" s="113"/>
      <c r="F105" s="90"/>
      <c r="G105" s="91"/>
      <c r="H105" s="92"/>
      <c r="I105" s="105"/>
      <c r="J105" s="83"/>
      <c r="K105" s="83"/>
      <c r="L105" s="12"/>
      <c r="M105" s="28"/>
      <c r="N105" s="14"/>
      <c r="O105" s="11"/>
      <c r="P105" s="11"/>
      <c r="Q105" s="16"/>
      <c r="R105" s="2"/>
      <c r="S105" s="12"/>
      <c r="T105" s="17"/>
      <c r="U105" s="2"/>
      <c r="V105" s="18"/>
      <c r="W105" s="16"/>
    </row>
    <row r="106" spans="2:23" ht="18" x14ac:dyDescent="0.35">
      <c r="B106" s="95"/>
      <c r="C106" s="96"/>
      <c r="D106" s="97"/>
      <c r="E106" s="113"/>
      <c r="F106" s="90"/>
      <c r="G106" s="91"/>
      <c r="H106" s="92"/>
      <c r="I106" s="105"/>
      <c r="J106" s="83"/>
      <c r="K106" s="83"/>
      <c r="L106" s="12"/>
      <c r="M106" s="28"/>
      <c r="N106" s="14"/>
      <c r="O106" s="11"/>
      <c r="P106" s="11"/>
      <c r="Q106" s="16"/>
      <c r="R106" s="2"/>
      <c r="S106" s="12"/>
      <c r="T106" s="17"/>
      <c r="U106" s="2"/>
      <c r="V106" s="18"/>
      <c r="W106" s="16"/>
    </row>
    <row r="107" spans="2:23" ht="18" x14ac:dyDescent="0.35">
      <c r="B107" s="95"/>
      <c r="C107" s="96"/>
      <c r="D107" s="97"/>
      <c r="E107" s="113"/>
      <c r="F107" s="90"/>
      <c r="G107" s="91"/>
      <c r="H107" s="92"/>
      <c r="I107" s="105"/>
      <c r="J107" s="83"/>
      <c r="K107" s="83"/>
      <c r="L107" s="12"/>
      <c r="M107" s="28"/>
      <c r="N107" s="14"/>
      <c r="O107" s="11"/>
      <c r="P107" s="11"/>
      <c r="Q107" s="16"/>
      <c r="R107" s="2"/>
      <c r="S107" s="12"/>
      <c r="T107" s="17"/>
      <c r="U107" s="2"/>
      <c r="V107" s="18"/>
      <c r="W107" s="16"/>
    </row>
    <row r="108" spans="2:23" ht="18" x14ac:dyDescent="0.35">
      <c r="B108" s="95"/>
      <c r="C108" s="96"/>
      <c r="D108" s="97"/>
      <c r="E108" s="113"/>
      <c r="F108" s="90"/>
      <c r="G108" s="91"/>
      <c r="H108" s="92"/>
      <c r="I108" s="105"/>
      <c r="J108" s="83"/>
      <c r="K108" s="83"/>
      <c r="L108" s="12"/>
      <c r="M108" s="28"/>
      <c r="N108" s="14"/>
      <c r="O108" s="11"/>
      <c r="P108" s="11"/>
      <c r="Q108" s="16"/>
      <c r="R108" s="2"/>
      <c r="S108" s="12"/>
      <c r="T108" s="17"/>
      <c r="U108" s="2"/>
      <c r="V108" s="18"/>
      <c r="W108" s="16"/>
    </row>
    <row r="109" spans="2:23" ht="18" x14ac:dyDescent="0.35">
      <c r="B109" s="95"/>
      <c r="C109" s="96"/>
      <c r="D109" s="97"/>
      <c r="E109" s="113"/>
      <c r="F109" s="90"/>
      <c r="G109" s="91"/>
      <c r="H109" s="92"/>
      <c r="I109" s="105"/>
      <c r="J109" s="83"/>
      <c r="K109" s="83"/>
      <c r="L109" s="12"/>
      <c r="M109" s="28"/>
      <c r="N109" s="14"/>
      <c r="O109" s="11"/>
      <c r="P109" s="11"/>
      <c r="Q109" s="16"/>
      <c r="R109" s="2"/>
      <c r="S109" s="12"/>
      <c r="T109" s="17"/>
      <c r="U109" s="2"/>
      <c r="V109" s="18"/>
      <c r="W109" s="16"/>
    </row>
    <row r="110" spans="2:23" ht="18" x14ac:dyDescent="0.35">
      <c r="B110" s="95"/>
      <c r="C110" s="96"/>
      <c r="D110" s="97"/>
      <c r="E110" s="113"/>
      <c r="F110" s="90"/>
      <c r="G110" s="91"/>
      <c r="H110" s="92"/>
      <c r="I110" s="105"/>
      <c r="J110" s="83"/>
      <c r="K110" s="83"/>
      <c r="L110" s="12"/>
      <c r="M110" s="28"/>
      <c r="N110" s="14"/>
      <c r="O110" s="11"/>
      <c r="P110" s="11"/>
      <c r="Q110" s="16"/>
      <c r="R110" s="2"/>
      <c r="S110" s="12"/>
      <c r="T110" s="17"/>
      <c r="U110" s="2"/>
      <c r="V110" s="18"/>
      <c r="W110" s="16"/>
    </row>
    <row r="111" spans="2:23" ht="18" x14ac:dyDescent="0.35">
      <c r="B111" s="95"/>
      <c r="C111" s="96"/>
      <c r="D111" s="97"/>
      <c r="E111" s="113"/>
      <c r="F111" s="90"/>
      <c r="G111" s="91"/>
      <c r="H111" s="92"/>
      <c r="I111" s="105"/>
      <c r="J111" s="83"/>
      <c r="K111" s="83"/>
      <c r="L111" s="12"/>
      <c r="M111" s="28"/>
      <c r="N111" s="14"/>
      <c r="O111" s="11"/>
      <c r="P111" s="11"/>
      <c r="Q111" s="16"/>
      <c r="R111" s="2"/>
      <c r="S111" s="12"/>
      <c r="T111" s="17"/>
      <c r="U111" s="2"/>
      <c r="V111" s="18"/>
      <c r="W111" s="16"/>
    </row>
    <row r="112" spans="2:23" ht="18" x14ac:dyDescent="0.35">
      <c r="B112" s="95"/>
      <c r="C112" s="96"/>
      <c r="D112" s="97"/>
      <c r="E112" s="113"/>
      <c r="F112" s="90"/>
      <c r="G112" s="91"/>
      <c r="H112" s="92"/>
      <c r="I112" s="105"/>
      <c r="J112" s="83"/>
      <c r="K112" s="83"/>
      <c r="L112" s="12"/>
      <c r="M112" s="28"/>
      <c r="N112" s="14"/>
      <c r="O112" s="11"/>
      <c r="P112" s="11"/>
      <c r="Q112" s="16"/>
      <c r="R112" s="2"/>
      <c r="S112" s="12"/>
      <c r="T112" s="17"/>
      <c r="U112" s="2"/>
      <c r="V112" s="18"/>
      <c r="W112" s="16"/>
    </row>
    <row r="113" spans="2:23" ht="18" x14ac:dyDescent="0.35">
      <c r="B113" s="95"/>
      <c r="C113" s="96"/>
      <c r="D113" s="97"/>
      <c r="E113" s="113"/>
      <c r="F113" s="90"/>
      <c r="G113" s="91"/>
      <c r="H113" s="92"/>
      <c r="I113" s="105"/>
      <c r="J113" s="83"/>
      <c r="K113" s="83"/>
      <c r="L113" s="12"/>
      <c r="M113" s="28"/>
      <c r="N113" s="14"/>
      <c r="O113" s="11"/>
      <c r="P113" s="11"/>
      <c r="Q113" s="16"/>
      <c r="R113" s="2"/>
      <c r="S113" s="12"/>
      <c r="T113" s="17"/>
      <c r="U113" s="2"/>
      <c r="V113" s="18"/>
      <c r="W113" s="16"/>
    </row>
    <row r="114" spans="2:23" ht="18" x14ac:dyDescent="0.35">
      <c r="B114" s="95"/>
      <c r="C114" s="96"/>
      <c r="D114" s="97"/>
      <c r="E114" s="113"/>
      <c r="F114" s="90"/>
      <c r="G114" s="91"/>
      <c r="H114" s="92"/>
      <c r="I114" s="105"/>
      <c r="J114" s="83"/>
      <c r="K114" s="83"/>
      <c r="L114" s="12"/>
      <c r="M114" s="28"/>
      <c r="N114" s="14"/>
      <c r="O114" s="11"/>
      <c r="P114" s="11"/>
      <c r="Q114" s="16"/>
      <c r="R114" s="2"/>
      <c r="S114" s="12"/>
      <c r="T114" s="17"/>
      <c r="U114" s="2"/>
      <c r="V114" s="18"/>
      <c r="W114" s="16"/>
    </row>
    <row r="115" spans="2:23" ht="18" x14ac:dyDescent="0.35">
      <c r="B115" s="95"/>
      <c r="C115" s="96"/>
      <c r="D115" s="97"/>
      <c r="E115" s="113"/>
      <c r="F115" s="90"/>
      <c r="G115" s="91"/>
      <c r="H115" s="92"/>
      <c r="I115" s="105"/>
      <c r="J115" s="83"/>
      <c r="K115" s="83"/>
      <c r="L115" s="12"/>
      <c r="M115" s="28"/>
      <c r="N115" s="14"/>
      <c r="O115" s="11"/>
      <c r="P115" s="11"/>
      <c r="Q115" s="16"/>
      <c r="R115" s="2"/>
      <c r="S115" s="12"/>
      <c r="T115" s="17"/>
      <c r="U115" s="2"/>
      <c r="V115" s="18"/>
      <c r="W115" s="16"/>
    </row>
    <row r="116" spans="2:23" ht="18" x14ac:dyDescent="0.35">
      <c r="B116" s="95"/>
      <c r="C116" s="96"/>
      <c r="D116" s="97"/>
      <c r="E116" s="113"/>
      <c r="F116" s="90"/>
      <c r="G116" s="91"/>
      <c r="H116" s="92"/>
      <c r="I116" s="105"/>
      <c r="J116" s="83"/>
      <c r="K116" s="83"/>
      <c r="L116" s="12"/>
      <c r="M116" s="28"/>
      <c r="N116" s="14"/>
      <c r="O116" s="11"/>
      <c r="P116" s="11"/>
      <c r="Q116" s="16"/>
      <c r="R116" s="2"/>
      <c r="S116" s="12"/>
      <c r="T116" s="17"/>
      <c r="U116" s="2"/>
      <c r="V116" s="18"/>
      <c r="W116" s="16"/>
    </row>
    <row r="117" spans="2:23" ht="18" x14ac:dyDescent="0.35">
      <c r="B117" s="95"/>
      <c r="C117" s="96"/>
      <c r="D117" s="97"/>
      <c r="E117" s="113"/>
      <c r="F117" s="90"/>
      <c r="G117" s="91"/>
      <c r="H117" s="92"/>
      <c r="I117" s="105"/>
      <c r="J117" s="83"/>
      <c r="K117" s="83"/>
      <c r="L117" s="12"/>
      <c r="M117" s="28"/>
      <c r="N117" s="14"/>
      <c r="O117" s="11"/>
      <c r="P117" s="11"/>
      <c r="Q117" s="16"/>
      <c r="R117" s="2"/>
      <c r="S117" s="12"/>
      <c r="T117" s="17"/>
      <c r="U117" s="2"/>
      <c r="V117" s="18"/>
      <c r="W117" s="16"/>
    </row>
    <row r="118" spans="2:23" ht="18" x14ac:dyDescent="0.35">
      <c r="B118" s="95"/>
      <c r="C118" s="96"/>
      <c r="D118" s="97"/>
      <c r="E118" s="113"/>
      <c r="F118" s="90"/>
      <c r="G118" s="91"/>
      <c r="H118" s="92"/>
      <c r="I118" s="105"/>
      <c r="J118" s="83"/>
      <c r="K118" s="83"/>
      <c r="L118" s="12"/>
      <c r="M118" s="28"/>
      <c r="N118" s="14"/>
      <c r="O118" s="11"/>
      <c r="P118" s="11"/>
      <c r="Q118" s="16"/>
      <c r="R118" s="2"/>
      <c r="S118" s="12"/>
      <c r="T118" s="17"/>
      <c r="U118" s="2"/>
      <c r="V118" s="18"/>
      <c r="W118" s="16"/>
    </row>
    <row r="119" spans="2:23" ht="18" x14ac:dyDescent="0.35">
      <c r="B119" s="95"/>
      <c r="C119" s="96"/>
      <c r="D119" s="97"/>
      <c r="E119" s="113"/>
      <c r="F119" s="90"/>
      <c r="G119" s="91"/>
      <c r="H119" s="92"/>
      <c r="I119" s="105"/>
      <c r="J119" s="83"/>
      <c r="K119" s="83"/>
      <c r="L119" s="12"/>
      <c r="M119" s="28"/>
      <c r="N119" s="14"/>
      <c r="O119" s="11"/>
      <c r="P119" s="11"/>
      <c r="Q119" s="16"/>
      <c r="R119" s="2"/>
      <c r="S119" s="12"/>
      <c r="T119" s="17"/>
      <c r="U119" s="2"/>
      <c r="V119" s="18"/>
      <c r="W119" s="16"/>
    </row>
    <row r="120" spans="2:23" ht="18" x14ac:dyDescent="0.35">
      <c r="B120" s="95"/>
      <c r="C120" s="96"/>
      <c r="D120" s="97"/>
      <c r="E120" s="113"/>
      <c r="F120" s="90"/>
      <c r="G120" s="91"/>
      <c r="H120" s="92"/>
      <c r="I120" s="105"/>
      <c r="J120" s="83"/>
      <c r="K120" s="83"/>
      <c r="L120" s="12"/>
      <c r="M120" s="28"/>
      <c r="N120" s="14"/>
      <c r="O120" s="11"/>
      <c r="P120" s="11"/>
      <c r="Q120" s="16"/>
      <c r="R120" s="2"/>
      <c r="S120" s="12"/>
      <c r="T120" s="17"/>
      <c r="U120" s="2"/>
      <c r="V120" s="18"/>
      <c r="W120" s="16"/>
    </row>
    <row r="121" spans="2:23" ht="18" x14ac:dyDescent="0.35">
      <c r="B121" s="95"/>
      <c r="C121" s="96"/>
      <c r="D121" s="97"/>
      <c r="E121" s="113"/>
      <c r="F121" s="90"/>
      <c r="G121" s="91"/>
      <c r="H121" s="92"/>
      <c r="I121" s="105"/>
      <c r="J121" s="83"/>
      <c r="K121" s="83"/>
      <c r="L121" s="12"/>
      <c r="M121" s="28"/>
      <c r="N121" s="14"/>
      <c r="O121" s="11"/>
      <c r="P121" s="11"/>
      <c r="Q121" s="16"/>
      <c r="R121" s="2"/>
      <c r="S121" s="12"/>
      <c r="T121" s="17"/>
      <c r="U121" s="2"/>
      <c r="V121" s="18"/>
      <c r="W121" s="16"/>
    </row>
    <row r="122" spans="2:23" ht="18" x14ac:dyDescent="0.35">
      <c r="B122" s="95"/>
      <c r="C122" s="96"/>
      <c r="D122" s="97"/>
      <c r="E122" s="113"/>
      <c r="F122" s="99"/>
      <c r="G122" s="100"/>
      <c r="H122" s="101"/>
      <c r="I122" s="105"/>
      <c r="J122" s="83"/>
      <c r="K122" s="83"/>
      <c r="L122" s="12"/>
      <c r="M122" s="28"/>
      <c r="N122" s="14"/>
      <c r="O122" s="11"/>
      <c r="P122" s="11"/>
      <c r="Q122" s="16"/>
      <c r="R122" s="2"/>
      <c r="S122" s="12"/>
      <c r="T122" s="17"/>
      <c r="U122" s="2"/>
      <c r="V122" s="18"/>
      <c r="W122" s="16"/>
    </row>
    <row r="123" spans="2:23" ht="18" x14ac:dyDescent="0.35">
      <c r="B123" s="95"/>
      <c r="C123" s="96"/>
      <c r="D123" s="97"/>
      <c r="E123" s="113"/>
      <c r="F123" s="99"/>
      <c r="G123" s="100"/>
      <c r="H123" s="101"/>
      <c r="I123" s="105"/>
      <c r="J123" s="83"/>
      <c r="K123" s="83"/>
      <c r="L123" s="12"/>
      <c r="M123" s="28"/>
      <c r="N123" s="14"/>
      <c r="O123" s="11"/>
      <c r="P123" s="11"/>
      <c r="Q123" s="16"/>
      <c r="R123" s="2"/>
      <c r="S123" s="12"/>
      <c r="T123" s="17"/>
      <c r="U123" s="2"/>
      <c r="V123" s="18"/>
      <c r="W123" s="16"/>
    </row>
    <row r="124" spans="2:23" ht="18" x14ac:dyDescent="0.35">
      <c r="B124" s="95"/>
      <c r="C124" s="96"/>
      <c r="D124" s="97"/>
      <c r="E124" s="113"/>
      <c r="F124" s="99"/>
      <c r="G124" s="100"/>
      <c r="H124" s="101"/>
      <c r="I124" s="105"/>
      <c r="J124" s="83"/>
      <c r="K124" s="83"/>
      <c r="L124" s="12"/>
      <c r="M124" s="28"/>
      <c r="N124" s="14"/>
      <c r="O124" s="11"/>
      <c r="P124" s="11"/>
      <c r="Q124" s="16"/>
      <c r="R124" s="2"/>
      <c r="S124" s="12"/>
      <c r="T124" s="17"/>
      <c r="U124" s="2"/>
      <c r="V124" s="18"/>
      <c r="W124" s="16"/>
    </row>
    <row r="125" spans="2:23" ht="18" x14ac:dyDescent="0.35">
      <c r="B125" s="95"/>
      <c r="C125" s="96"/>
      <c r="D125" s="97"/>
      <c r="E125" s="113"/>
      <c r="F125" s="99"/>
      <c r="G125" s="100"/>
      <c r="H125" s="101"/>
      <c r="I125" s="105"/>
      <c r="J125" s="83"/>
      <c r="K125" s="83"/>
      <c r="L125" s="12"/>
      <c r="M125" s="28"/>
      <c r="N125" s="14"/>
      <c r="O125" s="11"/>
      <c r="P125" s="11"/>
      <c r="Q125" s="16"/>
      <c r="R125" s="2"/>
      <c r="S125" s="12"/>
      <c r="T125" s="17"/>
      <c r="U125" s="2"/>
      <c r="V125" s="18"/>
      <c r="W125" s="16"/>
    </row>
    <row r="126" spans="2:23" ht="18" x14ac:dyDescent="0.35">
      <c r="B126" s="95"/>
      <c r="C126" s="96"/>
      <c r="D126" s="97"/>
      <c r="E126" s="113"/>
      <c r="F126" s="99"/>
      <c r="G126" s="100"/>
      <c r="H126" s="101"/>
      <c r="I126" s="105"/>
      <c r="J126" s="83"/>
      <c r="K126" s="83"/>
      <c r="L126" s="12"/>
      <c r="M126" s="28"/>
      <c r="N126" s="14"/>
      <c r="O126" s="11"/>
      <c r="P126" s="11"/>
      <c r="Q126" s="16"/>
      <c r="R126" s="2"/>
      <c r="S126" s="12"/>
      <c r="T126" s="17"/>
      <c r="U126" s="2"/>
      <c r="V126" s="18"/>
      <c r="W126" s="16"/>
    </row>
    <row r="127" spans="2:23" ht="18" x14ac:dyDescent="0.35">
      <c r="B127" s="95"/>
      <c r="C127" s="96"/>
      <c r="D127" s="97"/>
      <c r="E127" s="113"/>
      <c r="F127" s="99"/>
      <c r="G127" s="100"/>
      <c r="H127" s="101"/>
      <c r="I127" s="105"/>
      <c r="J127" s="83"/>
      <c r="K127" s="83"/>
      <c r="L127" s="12"/>
      <c r="M127" s="28"/>
      <c r="N127" s="14"/>
      <c r="O127" s="11"/>
      <c r="P127" s="11"/>
      <c r="Q127" s="16"/>
      <c r="R127" s="2"/>
      <c r="S127" s="12"/>
      <c r="T127" s="17"/>
      <c r="U127" s="2"/>
      <c r="V127" s="18"/>
      <c r="W127" s="16"/>
    </row>
    <row r="128" spans="2:23" ht="18" x14ac:dyDescent="0.35">
      <c r="B128" s="95"/>
      <c r="C128" s="96"/>
      <c r="D128" s="97"/>
      <c r="E128" s="113"/>
      <c r="F128" s="99"/>
      <c r="G128" s="100"/>
      <c r="H128" s="101"/>
      <c r="I128" s="105"/>
      <c r="J128" s="83"/>
      <c r="K128" s="83"/>
      <c r="L128" s="12"/>
      <c r="M128" s="28"/>
      <c r="N128" s="14"/>
      <c r="O128" s="11"/>
      <c r="P128" s="11"/>
      <c r="Q128" s="16"/>
      <c r="R128" s="2"/>
      <c r="S128" s="12"/>
      <c r="T128" s="17"/>
      <c r="U128" s="2"/>
      <c r="V128" s="18"/>
      <c r="W128" s="16"/>
    </row>
    <row r="129" spans="1:23" ht="18.600000000000001" thickBot="1" x14ac:dyDescent="0.4">
      <c r="B129" s="114"/>
      <c r="C129" s="115"/>
      <c r="D129" s="116"/>
      <c r="E129" s="113"/>
      <c r="F129" s="117"/>
      <c r="G129" s="118"/>
      <c r="H129" s="119"/>
      <c r="I129" s="105"/>
      <c r="J129" s="83"/>
      <c r="K129" s="83"/>
      <c r="L129" s="30"/>
      <c r="M129" s="31"/>
      <c r="N129" s="32"/>
      <c r="O129" s="29"/>
      <c r="P129" s="29"/>
      <c r="Q129" s="33"/>
      <c r="R129" s="2"/>
      <c r="S129" s="30"/>
      <c r="T129" s="34"/>
      <c r="U129" s="2"/>
      <c r="V129" s="35"/>
      <c r="W129" s="33"/>
    </row>
    <row r="130" spans="1:23" ht="18.600000000000001" thickBot="1" x14ac:dyDescent="0.4">
      <c r="A130" s="120" t="s">
        <v>15</v>
      </c>
      <c r="B130" s="121">
        <f>SUM(B9:B129)</f>
        <v>0</v>
      </c>
      <c r="C130" s="122"/>
      <c r="D130" s="121"/>
      <c r="E130" s="123">
        <f>SUM(E9:E129)</f>
        <v>0</v>
      </c>
      <c r="F130" s="124">
        <f>SUM(F9:F129)</f>
        <v>0</v>
      </c>
      <c r="G130" s="82"/>
      <c r="H130" s="125"/>
      <c r="I130" s="125">
        <f>SUM(I9:I129)</f>
        <v>0</v>
      </c>
      <c r="J130" s="83"/>
      <c r="K130" s="83"/>
      <c r="L130" s="126"/>
      <c r="M130" s="126">
        <f>SUM(M9:M129)</f>
        <v>0</v>
      </c>
      <c r="N130" s="127">
        <f>SUM(N9:N129)</f>
        <v>0</v>
      </c>
      <c r="O130" s="82"/>
      <c r="P130" s="82">
        <f>SUM(P9:P129)</f>
        <v>0</v>
      </c>
      <c r="Q130" s="128">
        <f>SUM(Q9:Q129)</f>
        <v>0</v>
      </c>
      <c r="R130" s="83"/>
      <c r="S130" s="84"/>
      <c r="T130" s="129">
        <f>SUM(T9:T129)</f>
        <v>0</v>
      </c>
      <c r="U130" s="83"/>
      <c r="V130" s="82"/>
      <c r="W130" s="130">
        <f>SUM(W9:W129)</f>
        <v>0</v>
      </c>
    </row>
  </sheetData>
  <mergeCells count="8">
    <mergeCell ref="V5:W5"/>
    <mergeCell ref="Y5:Z5"/>
    <mergeCell ref="E1:G1"/>
    <mergeCell ref="B2:C2"/>
    <mergeCell ref="B3:C3"/>
    <mergeCell ref="B5:I5"/>
    <mergeCell ref="L5:Q5"/>
    <mergeCell ref="S5:T5"/>
  </mergeCell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886B42-B0BB-4606-9CAD-43FB3B7FF7D3}">
  <sheetPr codeName="Sheet35"/>
  <dimension ref="A1:Z130"/>
  <sheetViews>
    <sheetView zoomScale="80" zoomScaleNormal="80" workbookViewId="0">
      <selection activeCell="G13" sqref="G13"/>
    </sheetView>
  </sheetViews>
  <sheetFormatPr defaultColWidth="9.109375" defaultRowHeight="14.4" x14ac:dyDescent="0.3"/>
  <cols>
    <col min="1" max="1" width="15.5546875" style="36" customWidth="1"/>
    <col min="2" max="2" width="15.88671875" style="36" customWidth="1"/>
    <col min="3" max="3" width="20" style="76" customWidth="1"/>
    <col min="4" max="4" width="20.33203125" style="36" customWidth="1"/>
    <col min="5" max="5" width="22.33203125" style="36" customWidth="1"/>
    <col min="6" max="6" width="14.6640625" style="36" customWidth="1"/>
    <col min="7" max="7" width="22" style="76" customWidth="1"/>
    <col min="8" max="8" width="18.88671875" style="36" customWidth="1"/>
    <col min="9" max="9" width="23" style="36" customWidth="1"/>
    <col min="10" max="11" width="9.109375" style="36"/>
    <col min="12" max="12" width="20.6640625" style="76" customWidth="1"/>
    <col min="13" max="13" width="15.44140625" style="76" customWidth="1"/>
    <col min="14" max="14" width="22.6640625" style="36" customWidth="1"/>
    <col min="15" max="15" width="20.5546875" style="76" customWidth="1"/>
    <col min="16" max="16" width="13.33203125" style="76" customWidth="1"/>
    <col min="17" max="17" width="21.5546875" style="76" customWidth="1"/>
    <col min="18" max="18" width="9.109375" style="36"/>
    <col min="19" max="19" width="22" style="76" customWidth="1"/>
    <col min="20" max="20" width="22.33203125" style="76" customWidth="1"/>
    <col min="21" max="21" width="9.109375" style="36"/>
    <col min="22" max="22" width="21.88671875" style="76" customWidth="1"/>
    <col min="23" max="23" width="23.109375" style="76" customWidth="1"/>
    <col min="24" max="24" width="9.109375" style="36"/>
    <col min="25" max="25" width="21.33203125" style="36" customWidth="1"/>
    <col min="26" max="26" width="21.88671875" style="36" customWidth="1"/>
    <col min="27" max="16384" width="9.109375" style="36"/>
  </cols>
  <sheetData>
    <row r="1" spans="2:26" ht="21" x14ac:dyDescent="0.4">
      <c r="E1" s="189">
        <v>44193</v>
      </c>
      <c r="F1" s="189"/>
      <c r="G1" s="189"/>
    </row>
    <row r="2" spans="2:26" ht="18" x14ac:dyDescent="0.35">
      <c r="B2" s="190" t="s">
        <v>0</v>
      </c>
      <c r="C2" s="190"/>
      <c r="D2" s="1"/>
    </row>
    <row r="3" spans="2:26" ht="18" x14ac:dyDescent="0.35">
      <c r="B3" s="190" t="s">
        <v>1</v>
      </c>
      <c r="C3" s="190"/>
      <c r="D3" s="77">
        <f>(D2-E130-I130)</f>
        <v>0</v>
      </c>
    </row>
    <row r="5" spans="2:26" ht="36.6" x14ac:dyDescent="0.7">
      <c r="B5" s="187" t="s">
        <v>2</v>
      </c>
      <c r="C5" s="187"/>
      <c r="D5" s="187"/>
      <c r="E5" s="187"/>
      <c r="F5" s="187"/>
      <c r="G5" s="187"/>
      <c r="H5" s="187"/>
      <c r="I5" s="187"/>
      <c r="L5" s="187" t="s">
        <v>3</v>
      </c>
      <c r="M5" s="187"/>
      <c r="N5" s="187"/>
      <c r="O5" s="187"/>
      <c r="P5" s="187"/>
      <c r="Q5" s="187"/>
      <c r="S5" s="191" t="s">
        <v>4</v>
      </c>
      <c r="T5" s="191"/>
      <c r="V5" s="187" t="s">
        <v>5</v>
      </c>
      <c r="W5" s="187"/>
      <c r="Y5" s="188" t="s">
        <v>105</v>
      </c>
      <c r="Z5" s="187"/>
    </row>
    <row r="7" spans="2:26" ht="15" thickBot="1" x14ac:dyDescent="0.35"/>
    <row r="8" spans="2:26" ht="18.600000000000001" thickBot="1" x14ac:dyDescent="0.4">
      <c r="B8" s="78" t="s">
        <v>6</v>
      </c>
      <c r="C8" s="79" t="s">
        <v>7</v>
      </c>
      <c r="D8" s="78" t="s">
        <v>8</v>
      </c>
      <c r="E8" s="80" t="s">
        <v>9</v>
      </c>
      <c r="F8" s="81" t="s">
        <v>6</v>
      </c>
      <c r="G8" s="81" t="s">
        <v>10</v>
      </c>
      <c r="H8" s="81" t="s">
        <v>8</v>
      </c>
      <c r="I8" s="82" t="s">
        <v>9</v>
      </c>
      <c r="J8" s="83"/>
      <c r="K8" s="83"/>
      <c r="L8" s="84" t="s">
        <v>11</v>
      </c>
      <c r="M8" s="84" t="s">
        <v>6</v>
      </c>
      <c r="N8" s="84" t="s">
        <v>9</v>
      </c>
      <c r="O8" s="82" t="s">
        <v>12</v>
      </c>
      <c r="P8" s="82" t="s">
        <v>6</v>
      </c>
      <c r="Q8" s="82" t="s">
        <v>9</v>
      </c>
      <c r="R8" s="83"/>
      <c r="S8" s="84" t="s">
        <v>13</v>
      </c>
      <c r="T8" s="85" t="s">
        <v>9</v>
      </c>
      <c r="U8" s="83"/>
      <c r="V8" s="82" t="s">
        <v>14</v>
      </c>
      <c r="W8" s="82" t="s">
        <v>9</v>
      </c>
      <c r="Y8" s="146" t="s">
        <v>106</v>
      </c>
      <c r="Z8" s="147" t="s">
        <v>107</v>
      </c>
    </row>
    <row r="9" spans="2:26" ht="18" x14ac:dyDescent="0.35">
      <c r="B9" s="86"/>
      <c r="C9" s="87"/>
      <c r="D9" s="88"/>
      <c r="E9" s="89"/>
      <c r="F9" s="90"/>
      <c r="G9" s="91"/>
      <c r="H9" s="92"/>
      <c r="I9" s="93"/>
      <c r="J9" s="83"/>
      <c r="K9" s="83"/>
      <c r="L9" s="3"/>
      <c r="M9" s="4"/>
      <c r="N9" s="5"/>
      <c r="O9" s="6"/>
      <c r="P9" s="7"/>
      <c r="Q9" s="8"/>
      <c r="R9" s="2"/>
      <c r="S9" s="3"/>
      <c r="T9" s="9"/>
      <c r="U9" s="2"/>
      <c r="V9" s="10"/>
      <c r="W9" s="8"/>
      <c r="Y9" s="148" t="s">
        <v>88</v>
      </c>
      <c r="Z9" s="151">
        <f>SUMIF($C$9:$C$129, Y9, $B$9:$B$129)</f>
        <v>0</v>
      </c>
    </row>
    <row r="10" spans="2:26" ht="18" x14ac:dyDescent="0.35">
      <c r="B10" s="95"/>
      <c r="C10" s="96"/>
      <c r="D10" s="97"/>
      <c r="E10" s="98"/>
      <c r="F10" s="90"/>
      <c r="G10" s="91"/>
      <c r="H10" s="92"/>
      <c r="I10" s="93"/>
      <c r="J10" s="83"/>
      <c r="K10" s="83"/>
      <c r="L10" s="12"/>
      <c r="M10" s="13"/>
      <c r="N10" s="14"/>
      <c r="O10" s="11"/>
      <c r="P10" s="15"/>
      <c r="Q10" s="16"/>
      <c r="R10" s="2"/>
      <c r="S10" s="12"/>
      <c r="T10" s="17"/>
      <c r="U10" s="2"/>
      <c r="V10" s="18"/>
      <c r="W10" s="8"/>
      <c r="Y10" s="149" t="s">
        <v>76</v>
      </c>
      <c r="Z10" s="151">
        <f t="shared" ref="Z10:Z11" si="0">SUMIF($C$9:$C$129, Y10, $B$9:$B$129)</f>
        <v>0</v>
      </c>
    </row>
    <row r="11" spans="2:26" ht="18" x14ac:dyDescent="0.35">
      <c r="B11" s="95"/>
      <c r="C11" s="96"/>
      <c r="D11" s="97"/>
      <c r="E11" s="98"/>
      <c r="F11" s="90"/>
      <c r="G11" s="91"/>
      <c r="H11" s="92"/>
      <c r="I11" s="93"/>
      <c r="J11" s="83"/>
      <c r="K11" s="83"/>
      <c r="L11" s="12"/>
      <c r="M11" s="13"/>
      <c r="N11" s="14"/>
      <c r="O11" s="11"/>
      <c r="P11" s="15"/>
      <c r="Q11" s="16"/>
      <c r="R11" s="2"/>
      <c r="S11" s="12"/>
      <c r="T11" s="17"/>
      <c r="U11" s="2"/>
      <c r="V11" s="18"/>
      <c r="W11" s="8"/>
      <c r="Y11" s="149" t="s">
        <v>77</v>
      </c>
      <c r="Z11" s="151">
        <f t="shared" si="0"/>
        <v>0</v>
      </c>
    </row>
    <row r="12" spans="2:26" ht="18" x14ac:dyDescent="0.35">
      <c r="B12" s="95"/>
      <c r="C12" s="96"/>
      <c r="D12" s="97"/>
      <c r="E12" s="98"/>
      <c r="F12" s="90"/>
      <c r="G12" s="91"/>
      <c r="H12" s="92"/>
      <c r="I12" s="93"/>
      <c r="J12" s="83"/>
      <c r="K12" s="83"/>
      <c r="L12" s="12"/>
      <c r="M12" s="13"/>
      <c r="N12" s="14"/>
      <c r="O12" s="11"/>
      <c r="P12" s="15"/>
      <c r="Q12" s="16"/>
      <c r="R12" s="2"/>
      <c r="S12" s="12"/>
      <c r="T12" s="17"/>
      <c r="U12" s="2"/>
      <c r="V12" s="18"/>
      <c r="W12" s="8"/>
      <c r="Y12" s="149" t="s">
        <v>89</v>
      </c>
      <c r="Z12" s="152">
        <f>SUMIF($G$9:$G$129, Y12, $F$9:$F$129)</f>
        <v>0</v>
      </c>
    </row>
    <row r="13" spans="2:26" ht="18" x14ac:dyDescent="0.35">
      <c r="B13" s="95"/>
      <c r="C13" s="96"/>
      <c r="D13" s="97"/>
      <c r="E13" s="98"/>
      <c r="F13" s="90"/>
      <c r="G13" s="91"/>
      <c r="H13" s="92"/>
      <c r="I13" s="93"/>
      <c r="J13" s="83"/>
      <c r="K13" s="83"/>
      <c r="L13" s="12"/>
      <c r="M13" s="13"/>
      <c r="N13" s="14"/>
      <c r="O13" s="11"/>
      <c r="P13" s="15"/>
      <c r="Q13" s="16"/>
      <c r="R13" s="2"/>
      <c r="S13" s="12"/>
      <c r="T13" s="17"/>
      <c r="U13" s="2"/>
      <c r="V13" s="18"/>
      <c r="W13" s="8"/>
      <c r="Y13" s="149" t="s">
        <v>20</v>
      </c>
      <c r="Z13" s="152">
        <f t="shared" ref="Z13:Z76" si="1">SUMIF($G$9:$G$129, Y13, $F$9:$F$129)</f>
        <v>0</v>
      </c>
    </row>
    <row r="14" spans="2:26" ht="18" x14ac:dyDescent="0.35">
      <c r="B14" s="95"/>
      <c r="C14" s="96"/>
      <c r="D14" s="97"/>
      <c r="E14" s="98"/>
      <c r="F14" s="90"/>
      <c r="G14" s="91"/>
      <c r="H14" s="92"/>
      <c r="I14" s="93"/>
      <c r="J14" s="83"/>
      <c r="K14" s="83"/>
      <c r="L14" s="12"/>
      <c r="M14" s="13"/>
      <c r="N14" s="14"/>
      <c r="O14" s="11"/>
      <c r="P14" s="15"/>
      <c r="Q14" s="16"/>
      <c r="R14" s="2"/>
      <c r="S14" s="12"/>
      <c r="T14" s="17"/>
      <c r="U14" s="2"/>
      <c r="V14" s="18"/>
      <c r="W14" s="8"/>
      <c r="Y14" s="149" t="s">
        <v>19</v>
      </c>
      <c r="Z14" s="152">
        <f t="shared" si="1"/>
        <v>0</v>
      </c>
    </row>
    <row r="15" spans="2:26" ht="18" x14ac:dyDescent="0.35">
      <c r="B15" s="95"/>
      <c r="C15" s="96"/>
      <c r="D15" s="97"/>
      <c r="E15" s="98"/>
      <c r="F15" s="90"/>
      <c r="G15" s="91"/>
      <c r="H15" s="92"/>
      <c r="I15" s="93"/>
      <c r="J15" s="83"/>
      <c r="K15" s="83"/>
      <c r="L15" s="12"/>
      <c r="M15" s="13"/>
      <c r="N15" s="14"/>
      <c r="O15" s="11"/>
      <c r="P15" s="15"/>
      <c r="Q15" s="16"/>
      <c r="R15" s="2"/>
      <c r="S15" s="12"/>
      <c r="T15" s="17"/>
      <c r="U15" s="2"/>
      <c r="V15" s="18"/>
      <c r="W15" s="8"/>
      <c r="Y15" s="149" t="s">
        <v>18</v>
      </c>
      <c r="Z15" s="152">
        <f t="shared" si="1"/>
        <v>0</v>
      </c>
    </row>
    <row r="16" spans="2:26" ht="18" x14ac:dyDescent="0.35">
      <c r="B16" s="95"/>
      <c r="C16" s="96"/>
      <c r="D16" s="97"/>
      <c r="E16" s="98"/>
      <c r="F16" s="90"/>
      <c r="G16" s="91"/>
      <c r="H16" s="92"/>
      <c r="I16" s="93"/>
      <c r="J16" s="83"/>
      <c r="K16" s="83"/>
      <c r="L16" s="12"/>
      <c r="M16" s="13"/>
      <c r="N16" s="14"/>
      <c r="O16" s="11"/>
      <c r="P16" s="15"/>
      <c r="Q16" s="16"/>
      <c r="R16" s="2"/>
      <c r="S16" s="12"/>
      <c r="T16" s="17"/>
      <c r="U16" s="2"/>
      <c r="V16" s="18"/>
      <c r="W16" s="8"/>
      <c r="Y16" s="149" t="s">
        <v>22</v>
      </c>
      <c r="Z16" s="152">
        <f t="shared" si="1"/>
        <v>0</v>
      </c>
    </row>
    <row r="17" spans="2:26" ht="18" x14ac:dyDescent="0.35">
      <c r="B17" s="95"/>
      <c r="C17" s="96"/>
      <c r="D17" s="97"/>
      <c r="E17" s="98"/>
      <c r="F17" s="90"/>
      <c r="G17" s="91"/>
      <c r="H17" s="92"/>
      <c r="I17" s="93"/>
      <c r="J17" s="83"/>
      <c r="K17" s="83"/>
      <c r="L17" s="12"/>
      <c r="M17" s="13"/>
      <c r="N17" s="14"/>
      <c r="O17" s="11"/>
      <c r="P17" s="15"/>
      <c r="Q17" s="16"/>
      <c r="R17" s="2"/>
      <c r="S17" s="12"/>
      <c r="T17" s="17"/>
      <c r="U17" s="2"/>
      <c r="V17" s="18"/>
      <c r="W17" s="8"/>
      <c r="Y17" s="149" t="s">
        <v>67</v>
      </c>
      <c r="Z17" s="152">
        <f t="shared" si="1"/>
        <v>0</v>
      </c>
    </row>
    <row r="18" spans="2:26" ht="18" x14ac:dyDescent="0.35">
      <c r="B18" s="95"/>
      <c r="C18" s="96"/>
      <c r="D18" s="97"/>
      <c r="E18" s="98"/>
      <c r="F18" s="90"/>
      <c r="G18" s="91"/>
      <c r="H18" s="92"/>
      <c r="I18" s="93"/>
      <c r="J18" s="83"/>
      <c r="K18" s="83"/>
      <c r="L18" s="12"/>
      <c r="M18" s="13"/>
      <c r="N18" s="14"/>
      <c r="O18" s="11"/>
      <c r="P18" s="15"/>
      <c r="Q18" s="16"/>
      <c r="R18" s="2"/>
      <c r="S18" s="12"/>
      <c r="T18" s="17"/>
      <c r="U18" s="2"/>
      <c r="V18" s="18"/>
      <c r="W18" s="8"/>
      <c r="Y18" s="149" t="s">
        <v>90</v>
      </c>
      <c r="Z18" s="152">
        <f t="shared" si="1"/>
        <v>0</v>
      </c>
    </row>
    <row r="19" spans="2:26" ht="18" x14ac:dyDescent="0.35">
      <c r="B19" s="95"/>
      <c r="C19" s="96"/>
      <c r="D19" s="97"/>
      <c r="E19" s="98"/>
      <c r="F19" s="90"/>
      <c r="G19" s="91"/>
      <c r="H19" s="92"/>
      <c r="I19" s="93"/>
      <c r="J19" s="83"/>
      <c r="K19" s="83"/>
      <c r="L19" s="12"/>
      <c r="M19" s="13"/>
      <c r="N19" s="14"/>
      <c r="O19" s="11"/>
      <c r="P19" s="15"/>
      <c r="Q19" s="16"/>
      <c r="R19" s="2"/>
      <c r="S19" s="12"/>
      <c r="T19" s="17"/>
      <c r="U19" s="2"/>
      <c r="V19" s="18"/>
      <c r="W19" s="8"/>
      <c r="Y19" s="149" t="s">
        <v>91</v>
      </c>
      <c r="Z19" s="152">
        <f t="shared" si="1"/>
        <v>0</v>
      </c>
    </row>
    <row r="20" spans="2:26" ht="18" x14ac:dyDescent="0.35">
      <c r="B20" s="95"/>
      <c r="C20" s="96"/>
      <c r="D20" s="97"/>
      <c r="E20" s="98"/>
      <c r="F20" s="90"/>
      <c r="G20" s="91"/>
      <c r="H20" s="92"/>
      <c r="I20" s="93"/>
      <c r="J20" s="83"/>
      <c r="K20" s="83"/>
      <c r="L20" s="12"/>
      <c r="M20" s="13"/>
      <c r="N20" s="14"/>
      <c r="O20" s="11"/>
      <c r="P20" s="15"/>
      <c r="Q20" s="16"/>
      <c r="R20" s="2"/>
      <c r="S20" s="12"/>
      <c r="T20" s="17"/>
      <c r="U20" s="2"/>
      <c r="V20" s="18"/>
      <c r="W20" s="8"/>
      <c r="Y20" s="149" t="s">
        <v>92</v>
      </c>
      <c r="Z20" s="152">
        <f t="shared" si="1"/>
        <v>0</v>
      </c>
    </row>
    <row r="21" spans="2:26" ht="18" x14ac:dyDescent="0.35">
      <c r="B21" s="95"/>
      <c r="C21" s="96"/>
      <c r="D21" s="97"/>
      <c r="E21" s="98"/>
      <c r="F21" s="90"/>
      <c r="G21" s="91"/>
      <c r="H21" s="92"/>
      <c r="I21" s="93"/>
      <c r="J21" s="83"/>
      <c r="K21" s="83"/>
      <c r="L21" s="12"/>
      <c r="M21" s="13"/>
      <c r="N21" s="14"/>
      <c r="O21" s="11"/>
      <c r="P21" s="15"/>
      <c r="Q21" s="16"/>
      <c r="R21" s="2"/>
      <c r="S21" s="12"/>
      <c r="T21" s="17"/>
      <c r="U21" s="2"/>
      <c r="V21" s="18"/>
      <c r="W21" s="8"/>
      <c r="Y21" s="149" t="s">
        <v>68</v>
      </c>
      <c r="Z21" s="152">
        <f t="shared" si="1"/>
        <v>0</v>
      </c>
    </row>
    <row r="22" spans="2:26" ht="18" x14ac:dyDescent="0.35">
      <c r="B22" s="95"/>
      <c r="C22" s="96"/>
      <c r="D22" s="97"/>
      <c r="E22" s="98"/>
      <c r="F22" s="90"/>
      <c r="G22" s="91"/>
      <c r="H22" s="92"/>
      <c r="I22" s="93"/>
      <c r="J22" s="83"/>
      <c r="K22" s="83"/>
      <c r="L22" s="12"/>
      <c r="M22" s="13"/>
      <c r="N22" s="14"/>
      <c r="O22" s="11"/>
      <c r="P22" s="15"/>
      <c r="Q22" s="16"/>
      <c r="R22" s="2"/>
      <c r="S22" s="12"/>
      <c r="T22" s="17"/>
      <c r="U22" s="2"/>
      <c r="V22" s="18"/>
      <c r="W22" s="8"/>
      <c r="Y22" s="149" t="s">
        <v>93</v>
      </c>
      <c r="Z22" s="152">
        <f t="shared" si="1"/>
        <v>0</v>
      </c>
    </row>
    <row r="23" spans="2:26" ht="18" x14ac:dyDescent="0.35">
      <c r="B23" s="95"/>
      <c r="C23" s="96"/>
      <c r="D23" s="97"/>
      <c r="E23" s="98"/>
      <c r="F23" s="90"/>
      <c r="G23" s="91"/>
      <c r="H23" s="92"/>
      <c r="I23" s="93"/>
      <c r="J23" s="83"/>
      <c r="K23" s="83"/>
      <c r="L23" s="12"/>
      <c r="M23" s="13"/>
      <c r="N23" s="14"/>
      <c r="O23" s="11"/>
      <c r="P23" s="15"/>
      <c r="Q23" s="16"/>
      <c r="R23" s="2"/>
      <c r="S23" s="12"/>
      <c r="T23" s="17"/>
      <c r="U23" s="2"/>
      <c r="V23" s="18"/>
      <c r="W23" s="8"/>
      <c r="Y23" s="149" t="s">
        <v>23</v>
      </c>
      <c r="Z23" s="152">
        <f t="shared" si="1"/>
        <v>0</v>
      </c>
    </row>
    <row r="24" spans="2:26" ht="18" x14ac:dyDescent="0.35">
      <c r="B24" s="95"/>
      <c r="C24" s="96"/>
      <c r="D24" s="97"/>
      <c r="E24" s="98"/>
      <c r="F24" s="90"/>
      <c r="G24" s="91"/>
      <c r="H24" s="92"/>
      <c r="I24" s="93"/>
      <c r="J24" s="83"/>
      <c r="K24" s="83"/>
      <c r="L24" s="12"/>
      <c r="M24" s="13"/>
      <c r="N24" s="14"/>
      <c r="O24" s="11"/>
      <c r="P24" s="15"/>
      <c r="Q24" s="16"/>
      <c r="R24" s="2"/>
      <c r="S24" s="12"/>
      <c r="T24" s="17"/>
      <c r="U24" s="2"/>
      <c r="V24" s="18"/>
      <c r="W24" s="8"/>
      <c r="Y24" s="149" t="s">
        <v>24</v>
      </c>
      <c r="Z24" s="152">
        <f t="shared" si="1"/>
        <v>0</v>
      </c>
    </row>
    <row r="25" spans="2:26" ht="18" x14ac:dyDescent="0.35">
      <c r="B25" s="95"/>
      <c r="C25" s="96"/>
      <c r="D25" s="97"/>
      <c r="E25" s="98"/>
      <c r="F25" s="90"/>
      <c r="G25" s="91"/>
      <c r="H25" s="92"/>
      <c r="I25" s="93"/>
      <c r="J25" s="83"/>
      <c r="K25" s="83"/>
      <c r="L25" s="12"/>
      <c r="M25" s="13"/>
      <c r="N25" s="14"/>
      <c r="O25" s="11"/>
      <c r="P25" s="15"/>
      <c r="Q25" s="16"/>
      <c r="R25" s="2"/>
      <c r="S25" s="12"/>
      <c r="T25" s="17"/>
      <c r="U25" s="2"/>
      <c r="V25" s="18"/>
      <c r="W25" s="8"/>
      <c r="Y25" s="149" t="s">
        <v>25</v>
      </c>
      <c r="Z25" s="152">
        <f t="shared" si="1"/>
        <v>0</v>
      </c>
    </row>
    <row r="26" spans="2:26" ht="18" x14ac:dyDescent="0.35">
      <c r="B26" s="95"/>
      <c r="C26" s="96"/>
      <c r="D26" s="97"/>
      <c r="E26" s="98"/>
      <c r="F26" s="90"/>
      <c r="G26" s="91"/>
      <c r="H26" s="92"/>
      <c r="I26" s="93"/>
      <c r="J26" s="83"/>
      <c r="K26" s="83"/>
      <c r="L26" s="12"/>
      <c r="M26" s="13"/>
      <c r="N26" s="14"/>
      <c r="O26" s="11"/>
      <c r="P26" s="15"/>
      <c r="Q26" s="16"/>
      <c r="R26" s="2"/>
      <c r="S26" s="12"/>
      <c r="T26" s="17"/>
      <c r="U26" s="2"/>
      <c r="V26" s="18"/>
      <c r="W26" s="8"/>
      <c r="Y26" s="149" t="s">
        <v>98</v>
      </c>
      <c r="Z26" s="152">
        <f t="shared" si="1"/>
        <v>0</v>
      </c>
    </row>
    <row r="27" spans="2:26" ht="18" x14ac:dyDescent="0.35">
      <c r="B27" s="95"/>
      <c r="C27" s="96"/>
      <c r="D27" s="97"/>
      <c r="E27" s="98"/>
      <c r="F27" s="90"/>
      <c r="G27" s="91"/>
      <c r="H27" s="92"/>
      <c r="I27" s="93"/>
      <c r="J27" s="83"/>
      <c r="K27" s="83"/>
      <c r="L27" s="12"/>
      <c r="M27" s="13"/>
      <c r="N27" s="14"/>
      <c r="O27" s="11"/>
      <c r="P27" s="15"/>
      <c r="Q27" s="16"/>
      <c r="R27" s="2"/>
      <c r="S27" s="12"/>
      <c r="T27" s="17"/>
      <c r="U27" s="2"/>
      <c r="V27" s="18"/>
      <c r="W27" s="8"/>
      <c r="Y27" s="149" t="s">
        <v>94</v>
      </c>
      <c r="Z27" s="152">
        <f t="shared" si="1"/>
        <v>0</v>
      </c>
    </row>
    <row r="28" spans="2:26" ht="18" x14ac:dyDescent="0.35">
      <c r="B28" s="95"/>
      <c r="C28" s="96"/>
      <c r="D28" s="97"/>
      <c r="E28" s="98"/>
      <c r="F28" s="90"/>
      <c r="G28" s="91"/>
      <c r="H28" s="92"/>
      <c r="I28" s="93"/>
      <c r="J28" s="83"/>
      <c r="K28" s="83"/>
      <c r="L28" s="12"/>
      <c r="M28" s="13"/>
      <c r="N28" s="14"/>
      <c r="O28" s="11"/>
      <c r="P28" s="15"/>
      <c r="Q28" s="16"/>
      <c r="R28" s="2"/>
      <c r="S28" s="12"/>
      <c r="T28" s="17"/>
      <c r="U28" s="2"/>
      <c r="V28" s="18"/>
      <c r="W28" s="8"/>
      <c r="Y28" s="149" t="s">
        <v>42</v>
      </c>
      <c r="Z28" s="152">
        <f t="shared" si="1"/>
        <v>0</v>
      </c>
    </row>
    <row r="29" spans="2:26" ht="18" x14ac:dyDescent="0.35">
      <c r="B29" s="95"/>
      <c r="C29" s="96"/>
      <c r="D29" s="97"/>
      <c r="E29" s="98"/>
      <c r="F29" s="90"/>
      <c r="G29" s="91"/>
      <c r="H29" s="92"/>
      <c r="I29" s="93"/>
      <c r="J29" s="83"/>
      <c r="K29" s="83"/>
      <c r="L29" s="12"/>
      <c r="M29" s="13"/>
      <c r="N29" s="14"/>
      <c r="O29" s="11"/>
      <c r="P29" s="15"/>
      <c r="Q29" s="16"/>
      <c r="R29" s="2"/>
      <c r="S29" s="12"/>
      <c r="T29" s="17"/>
      <c r="U29" s="2"/>
      <c r="V29" s="18"/>
      <c r="W29" s="8"/>
      <c r="Y29" s="149" t="s">
        <v>39</v>
      </c>
      <c r="Z29" s="152">
        <f t="shared" si="1"/>
        <v>0</v>
      </c>
    </row>
    <row r="30" spans="2:26" ht="18" x14ac:dyDescent="0.35">
      <c r="B30" s="95"/>
      <c r="C30" s="96"/>
      <c r="D30" s="97"/>
      <c r="E30" s="98"/>
      <c r="F30" s="90"/>
      <c r="G30" s="91"/>
      <c r="H30" s="92"/>
      <c r="I30" s="93"/>
      <c r="J30" s="83"/>
      <c r="K30" s="83"/>
      <c r="L30" s="12"/>
      <c r="M30" s="13"/>
      <c r="N30" s="14"/>
      <c r="O30" s="11"/>
      <c r="P30" s="15"/>
      <c r="Q30" s="16"/>
      <c r="R30" s="2"/>
      <c r="S30" s="12"/>
      <c r="T30" s="17"/>
      <c r="U30" s="2"/>
      <c r="V30" s="18"/>
      <c r="W30" s="8"/>
      <c r="Y30" s="149" t="s">
        <v>99</v>
      </c>
      <c r="Z30" s="152">
        <f t="shared" si="1"/>
        <v>0</v>
      </c>
    </row>
    <row r="31" spans="2:26" ht="18" x14ac:dyDescent="0.35">
      <c r="B31" s="95"/>
      <c r="C31" s="96"/>
      <c r="D31" s="97"/>
      <c r="E31" s="98"/>
      <c r="F31" s="90"/>
      <c r="G31" s="91"/>
      <c r="H31" s="92"/>
      <c r="I31" s="93"/>
      <c r="J31" s="83"/>
      <c r="K31" s="83"/>
      <c r="L31" s="12"/>
      <c r="M31" s="13"/>
      <c r="N31" s="14"/>
      <c r="O31" s="11"/>
      <c r="P31" s="15"/>
      <c r="Q31" s="16"/>
      <c r="R31" s="2"/>
      <c r="S31" s="12"/>
      <c r="T31" s="17"/>
      <c r="U31" s="2"/>
      <c r="V31" s="18"/>
      <c r="W31" s="8"/>
      <c r="Y31" s="149" t="s">
        <v>95</v>
      </c>
      <c r="Z31" s="152">
        <f t="shared" si="1"/>
        <v>0</v>
      </c>
    </row>
    <row r="32" spans="2:26" ht="18" x14ac:dyDescent="0.35">
      <c r="B32" s="95"/>
      <c r="C32" s="96"/>
      <c r="D32" s="97"/>
      <c r="E32" s="98"/>
      <c r="F32" s="90"/>
      <c r="G32" s="91"/>
      <c r="H32" s="92"/>
      <c r="I32" s="93"/>
      <c r="J32" s="83"/>
      <c r="K32" s="83"/>
      <c r="L32" s="12"/>
      <c r="M32" s="13"/>
      <c r="N32" s="14"/>
      <c r="O32" s="11"/>
      <c r="P32" s="15"/>
      <c r="Q32" s="16"/>
      <c r="R32" s="2"/>
      <c r="S32" s="12"/>
      <c r="T32" s="17"/>
      <c r="U32" s="2"/>
      <c r="V32" s="18"/>
      <c r="W32" s="8"/>
      <c r="Y32" s="149" t="s">
        <v>97</v>
      </c>
      <c r="Z32" s="152">
        <f t="shared" si="1"/>
        <v>0</v>
      </c>
    </row>
    <row r="33" spans="2:26" ht="18" x14ac:dyDescent="0.35">
      <c r="B33" s="95"/>
      <c r="C33" s="96"/>
      <c r="D33" s="97"/>
      <c r="E33" s="98"/>
      <c r="F33" s="90"/>
      <c r="G33" s="91"/>
      <c r="H33" s="92"/>
      <c r="I33" s="93"/>
      <c r="J33" s="83"/>
      <c r="K33" s="83"/>
      <c r="L33" s="12"/>
      <c r="M33" s="13"/>
      <c r="N33" s="14"/>
      <c r="O33" s="11"/>
      <c r="P33" s="15"/>
      <c r="Q33" s="16"/>
      <c r="R33" s="2"/>
      <c r="S33" s="12"/>
      <c r="T33" s="17"/>
      <c r="U33" s="2"/>
      <c r="V33" s="18"/>
      <c r="W33" s="8"/>
      <c r="Y33" s="149" t="s">
        <v>43</v>
      </c>
      <c r="Z33" s="152">
        <f t="shared" si="1"/>
        <v>0</v>
      </c>
    </row>
    <row r="34" spans="2:26" ht="18" x14ac:dyDescent="0.35">
      <c r="B34" s="95"/>
      <c r="C34" s="96"/>
      <c r="D34" s="97"/>
      <c r="E34" s="98"/>
      <c r="F34" s="90"/>
      <c r="G34" s="91"/>
      <c r="H34" s="92"/>
      <c r="I34" s="93"/>
      <c r="J34" s="83"/>
      <c r="K34" s="83"/>
      <c r="L34" s="12"/>
      <c r="M34" s="13"/>
      <c r="N34" s="14"/>
      <c r="O34" s="11"/>
      <c r="P34" s="15"/>
      <c r="Q34" s="16"/>
      <c r="R34" s="2"/>
      <c r="S34" s="12"/>
      <c r="T34" s="17"/>
      <c r="U34" s="2"/>
      <c r="V34" s="18"/>
      <c r="W34" s="8"/>
      <c r="Y34" s="149" t="s">
        <v>32</v>
      </c>
      <c r="Z34" s="152">
        <f t="shared" si="1"/>
        <v>0</v>
      </c>
    </row>
    <row r="35" spans="2:26" ht="18" x14ac:dyDescent="0.35">
      <c r="B35" s="95"/>
      <c r="C35" s="96"/>
      <c r="D35" s="97"/>
      <c r="E35" s="98"/>
      <c r="F35" s="90"/>
      <c r="G35" s="91"/>
      <c r="H35" s="92"/>
      <c r="I35" s="93"/>
      <c r="J35" s="83"/>
      <c r="K35" s="83"/>
      <c r="L35" s="12"/>
      <c r="M35" s="13"/>
      <c r="N35" s="14"/>
      <c r="O35" s="11"/>
      <c r="P35" s="15"/>
      <c r="Q35" s="16"/>
      <c r="R35" s="2"/>
      <c r="S35" s="12"/>
      <c r="T35" s="17"/>
      <c r="U35" s="2"/>
      <c r="V35" s="18"/>
      <c r="W35" s="8"/>
      <c r="Y35" s="149" t="s">
        <v>33</v>
      </c>
      <c r="Z35" s="152">
        <f t="shared" si="1"/>
        <v>0</v>
      </c>
    </row>
    <row r="36" spans="2:26" ht="18" x14ac:dyDescent="0.35">
      <c r="B36" s="95"/>
      <c r="C36" s="96"/>
      <c r="D36" s="97"/>
      <c r="E36" s="98"/>
      <c r="F36" s="90"/>
      <c r="G36" s="91"/>
      <c r="H36" s="92"/>
      <c r="I36" s="93"/>
      <c r="J36" s="83"/>
      <c r="K36" s="83"/>
      <c r="L36" s="12"/>
      <c r="M36" s="13"/>
      <c r="N36" s="14"/>
      <c r="O36" s="11"/>
      <c r="P36" s="15"/>
      <c r="Q36" s="16"/>
      <c r="R36" s="2"/>
      <c r="S36" s="12"/>
      <c r="T36" s="17"/>
      <c r="U36" s="2"/>
      <c r="V36" s="18"/>
      <c r="W36" s="8"/>
      <c r="Y36" s="149" t="s">
        <v>30</v>
      </c>
      <c r="Z36" s="152">
        <f t="shared" si="1"/>
        <v>0</v>
      </c>
    </row>
    <row r="37" spans="2:26" ht="18" x14ac:dyDescent="0.35">
      <c r="B37" s="95"/>
      <c r="C37" s="96"/>
      <c r="D37" s="97"/>
      <c r="E37" s="98"/>
      <c r="F37" s="90"/>
      <c r="G37" s="91"/>
      <c r="H37" s="92"/>
      <c r="I37" s="93"/>
      <c r="J37" s="83"/>
      <c r="K37" s="83"/>
      <c r="L37" s="12"/>
      <c r="M37" s="13"/>
      <c r="N37" s="14"/>
      <c r="O37" s="11"/>
      <c r="P37" s="15"/>
      <c r="Q37" s="16"/>
      <c r="R37" s="2"/>
      <c r="S37" s="12"/>
      <c r="T37" s="17"/>
      <c r="U37" s="2"/>
      <c r="V37" s="18"/>
      <c r="W37" s="8"/>
      <c r="Y37" s="149" t="s">
        <v>31</v>
      </c>
      <c r="Z37" s="152">
        <f t="shared" si="1"/>
        <v>0</v>
      </c>
    </row>
    <row r="38" spans="2:26" ht="18" x14ac:dyDescent="0.35">
      <c r="B38" s="95"/>
      <c r="C38" s="96"/>
      <c r="D38" s="97"/>
      <c r="E38" s="98"/>
      <c r="F38" s="90"/>
      <c r="G38" s="91"/>
      <c r="H38" s="92"/>
      <c r="I38" s="93"/>
      <c r="J38" s="83"/>
      <c r="K38" s="83"/>
      <c r="L38" s="12"/>
      <c r="M38" s="13"/>
      <c r="N38" s="14"/>
      <c r="O38" s="11"/>
      <c r="P38" s="15"/>
      <c r="Q38" s="16"/>
      <c r="R38" s="2"/>
      <c r="S38" s="12"/>
      <c r="T38" s="17"/>
      <c r="U38" s="2"/>
      <c r="V38" s="18"/>
      <c r="W38" s="8"/>
      <c r="Y38" s="149" t="s">
        <v>84</v>
      </c>
      <c r="Z38" s="152">
        <f t="shared" si="1"/>
        <v>0</v>
      </c>
    </row>
    <row r="39" spans="2:26" ht="18" x14ac:dyDescent="0.35">
      <c r="B39" s="95"/>
      <c r="C39" s="96"/>
      <c r="D39" s="97"/>
      <c r="E39" s="98"/>
      <c r="F39" s="90"/>
      <c r="G39" s="91"/>
      <c r="H39" s="92"/>
      <c r="I39" s="93"/>
      <c r="J39" s="83"/>
      <c r="K39" s="83"/>
      <c r="L39" s="12"/>
      <c r="M39" s="13"/>
      <c r="N39" s="14"/>
      <c r="O39" s="11"/>
      <c r="P39" s="15"/>
      <c r="Q39" s="16"/>
      <c r="R39" s="2"/>
      <c r="S39" s="12"/>
      <c r="T39" s="17"/>
      <c r="U39" s="2"/>
      <c r="V39" s="18"/>
      <c r="W39" s="8"/>
      <c r="Y39" s="149" t="s">
        <v>85</v>
      </c>
      <c r="Z39" s="152">
        <f t="shared" si="1"/>
        <v>0</v>
      </c>
    </row>
    <row r="40" spans="2:26" ht="18" x14ac:dyDescent="0.35">
      <c r="B40" s="95"/>
      <c r="C40" s="96"/>
      <c r="D40" s="97"/>
      <c r="E40" s="98"/>
      <c r="F40" s="90"/>
      <c r="G40" s="91"/>
      <c r="H40" s="92"/>
      <c r="I40" s="93"/>
      <c r="J40" s="83"/>
      <c r="K40" s="83"/>
      <c r="L40" s="12"/>
      <c r="M40" s="13"/>
      <c r="N40" s="14"/>
      <c r="O40" s="11"/>
      <c r="P40" s="15"/>
      <c r="Q40" s="16"/>
      <c r="R40" s="2"/>
      <c r="S40" s="12"/>
      <c r="T40" s="17"/>
      <c r="U40" s="2"/>
      <c r="V40" s="18"/>
      <c r="W40" s="8"/>
      <c r="Y40" s="149" t="s">
        <v>86</v>
      </c>
      <c r="Z40" s="152">
        <f t="shared" si="1"/>
        <v>0</v>
      </c>
    </row>
    <row r="41" spans="2:26" ht="18" x14ac:dyDescent="0.35">
      <c r="B41" s="95"/>
      <c r="C41" s="96"/>
      <c r="D41" s="97"/>
      <c r="E41" s="98"/>
      <c r="F41" s="90"/>
      <c r="G41" s="91"/>
      <c r="H41" s="92"/>
      <c r="I41" s="93"/>
      <c r="J41" s="83"/>
      <c r="K41" s="83"/>
      <c r="L41" s="12"/>
      <c r="M41" s="13"/>
      <c r="N41" s="14"/>
      <c r="O41" s="11"/>
      <c r="P41" s="15"/>
      <c r="Q41" s="16"/>
      <c r="R41" s="2"/>
      <c r="S41" s="12"/>
      <c r="T41" s="17"/>
      <c r="U41" s="2"/>
      <c r="V41" s="18"/>
      <c r="W41" s="8"/>
      <c r="Y41" s="149" t="s">
        <v>87</v>
      </c>
      <c r="Z41" s="152">
        <f t="shared" si="1"/>
        <v>0</v>
      </c>
    </row>
    <row r="42" spans="2:26" ht="18" x14ac:dyDescent="0.35">
      <c r="B42" s="95"/>
      <c r="C42" s="96"/>
      <c r="D42" s="97"/>
      <c r="E42" s="98"/>
      <c r="F42" s="90"/>
      <c r="G42" s="91"/>
      <c r="H42" s="92"/>
      <c r="I42" s="93"/>
      <c r="J42" s="83"/>
      <c r="K42" s="83"/>
      <c r="L42" s="12"/>
      <c r="M42" s="13"/>
      <c r="N42" s="14"/>
      <c r="O42" s="11"/>
      <c r="P42" s="15"/>
      <c r="Q42" s="16"/>
      <c r="R42" s="2"/>
      <c r="S42" s="12"/>
      <c r="T42" s="17"/>
      <c r="U42" s="2"/>
      <c r="V42" s="18"/>
      <c r="W42" s="8"/>
      <c r="Y42" s="149" t="s">
        <v>46</v>
      </c>
      <c r="Z42" s="152">
        <f t="shared" si="1"/>
        <v>0</v>
      </c>
    </row>
    <row r="43" spans="2:26" ht="18" x14ac:dyDescent="0.35">
      <c r="B43" s="95"/>
      <c r="C43" s="96"/>
      <c r="D43" s="97"/>
      <c r="E43" s="98"/>
      <c r="F43" s="90"/>
      <c r="G43" s="91"/>
      <c r="H43" s="92"/>
      <c r="I43" s="93"/>
      <c r="J43" s="83"/>
      <c r="K43" s="83"/>
      <c r="L43" s="12"/>
      <c r="M43" s="13"/>
      <c r="N43" s="14"/>
      <c r="O43" s="11"/>
      <c r="P43" s="15"/>
      <c r="Q43" s="16"/>
      <c r="R43" s="2"/>
      <c r="S43" s="12"/>
      <c r="T43" s="17"/>
      <c r="U43" s="2"/>
      <c r="V43" s="18"/>
      <c r="W43" s="8"/>
      <c r="Y43" s="149" t="s">
        <v>47</v>
      </c>
      <c r="Z43" s="152">
        <f t="shared" si="1"/>
        <v>0</v>
      </c>
    </row>
    <row r="44" spans="2:26" ht="18" x14ac:dyDescent="0.35">
      <c r="B44" s="95"/>
      <c r="C44" s="96"/>
      <c r="D44" s="97"/>
      <c r="E44" s="98"/>
      <c r="F44" s="90"/>
      <c r="G44" s="91"/>
      <c r="H44" s="92"/>
      <c r="I44" s="93"/>
      <c r="J44" s="83"/>
      <c r="K44" s="83"/>
      <c r="L44" s="12"/>
      <c r="M44" s="13"/>
      <c r="N44" s="14"/>
      <c r="O44" s="11"/>
      <c r="P44" s="15"/>
      <c r="Q44" s="16"/>
      <c r="R44" s="2"/>
      <c r="S44" s="12"/>
      <c r="T44" s="17"/>
      <c r="U44" s="2"/>
      <c r="V44" s="18"/>
      <c r="W44" s="8"/>
      <c r="Y44" s="149" t="s">
        <v>48</v>
      </c>
      <c r="Z44" s="152">
        <f t="shared" si="1"/>
        <v>0</v>
      </c>
    </row>
    <row r="45" spans="2:26" ht="18" x14ac:dyDescent="0.35">
      <c r="B45" s="95"/>
      <c r="C45" s="96"/>
      <c r="D45" s="97"/>
      <c r="E45" s="98"/>
      <c r="F45" s="90"/>
      <c r="G45" s="91"/>
      <c r="H45" s="92"/>
      <c r="I45" s="93"/>
      <c r="J45" s="83"/>
      <c r="K45" s="83"/>
      <c r="L45" s="12"/>
      <c r="M45" s="13"/>
      <c r="N45" s="14"/>
      <c r="O45" s="11"/>
      <c r="P45" s="15"/>
      <c r="Q45" s="16"/>
      <c r="R45" s="2"/>
      <c r="S45" s="12"/>
      <c r="T45" s="17"/>
      <c r="U45" s="2"/>
      <c r="V45" s="18"/>
      <c r="W45" s="8"/>
      <c r="Y45" s="149" t="s">
        <v>83</v>
      </c>
      <c r="Z45" s="152">
        <f t="shared" si="1"/>
        <v>0</v>
      </c>
    </row>
    <row r="46" spans="2:26" ht="18" x14ac:dyDescent="0.35">
      <c r="B46" s="95"/>
      <c r="C46" s="96"/>
      <c r="D46" s="97"/>
      <c r="E46" s="98"/>
      <c r="F46" s="90"/>
      <c r="G46" s="91"/>
      <c r="H46" s="92"/>
      <c r="I46" s="93"/>
      <c r="J46" s="83"/>
      <c r="K46" s="83"/>
      <c r="L46" s="12"/>
      <c r="M46" s="13"/>
      <c r="N46" s="14"/>
      <c r="O46" s="11"/>
      <c r="P46" s="15"/>
      <c r="Q46" s="16"/>
      <c r="R46" s="2"/>
      <c r="S46" s="12"/>
      <c r="T46" s="17"/>
      <c r="U46" s="2"/>
      <c r="V46" s="18"/>
      <c r="W46" s="8"/>
      <c r="Y46" s="149" t="s">
        <v>96</v>
      </c>
      <c r="Z46" s="152">
        <f t="shared" si="1"/>
        <v>0</v>
      </c>
    </row>
    <row r="47" spans="2:26" ht="18" x14ac:dyDescent="0.35">
      <c r="B47" s="95"/>
      <c r="C47" s="96"/>
      <c r="D47" s="97"/>
      <c r="E47" s="98"/>
      <c r="F47" s="90"/>
      <c r="G47" s="91"/>
      <c r="H47" s="92"/>
      <c r="I47" s="93"/>
      <c r="J47" s="83"/>
      <c r="K47" s="83"/>
      <c r="L47" s="12"/>
      <c r="M47" s="13"/>
      <c r="N47" s="14"/>
      <c r="O47" s="11"/>
      <c r="P47" s="15"/>
      <c r="Q47" s="16"/>
      <c r="R47" s="2"/>
      <c r="S47" s="12"/>
      <c r="T47" s="17"/>
      <c r="U47" s="2"/>
      <c r="V47" s="18"/>
      <c r="W47" s="8"/>
      <c r="Y47" s="149" t="s">
        <v>73</v>
      </c>
      <c r="Z47" s="152">
        <f t="shared" si="1"/>
        <v>0</v>
      </c>
    </row>
    <row r="48" spans="2:26" ht="18" x14ac:dyDescent="0.35">
      <c r="B48" s="95"/>
      <c r="C48" s="96"/>
      <c r="D48" s="97"/>
      <c r="E48" s="98"/>
      <c r="F48" s="90"/>
      <c r="G48" s="91"/>
      <c r="H48" s="92"/>
      <c r="I48" s="93"/>
      <c r="J48" s="83"/>
      <c r="K48" s="83"/>
      <c r="L48" s="12"/>
      <c r="M48" s="13"/>
      <c r="N48" s="14"/>
      <c r="O48" s="11"/>
      <c r="P48" s="15"/>
      <c r="Q48" s="16"/>
      <c r="R48" s="2"/>
      <c r="S48" s="12"/>
      <c r="T48" s="17"/>
      <c r="U48" s="2"/>
      <c r="V48" s="18"/>
      <c r="W48" s="8"/>
      <c r="Y48" s="149" t="s">
        <v>74</v>
      </c>
      <c r="Z48" s="152">
        <f t="shared" si="1"/>
        <v>0</v>
      </c>
    </row>
    <row r="49" spans="2:26" ht="18" x14ac:dyDescent="0.35">
      <c r="B49" s="95"/>
      <c r="C49" s="96"/>
      <c r="D49" s="97"/>
      <c r="E49" s="98"/>
      <c r="F49" s="90"/>
      <c r="G49" s="91"/>
      <c r="H49" s="92"/>
      <c r="I49" s="93"/>
      <c r="J49" s="83"/>
      <c r="K49" s="83"/>
      <c r="L49" s="12"/>
      <c r="M49" s="13"/>
      <c r="N49" s="14"/>
      <c r="O49" s="11"/>
      <c r="P49" s="15"/>
      <c r="Q49" s="16"/>
      <c r="R49" s="2"/>
      <c r="S49" s="12"/>
      <c r="T49" s="17"/>
      <c r="U49" s="2"/>
      <c r="V49" s="18"/>
      <c r="W49" s="8"/>
      <c r="Y49" s="149" t="s">
        <v>70</v>
      </c>
      <c r="Z49" s="152">
        <f t="shared" si="1"/>
        <v>0</v>
      </c>
    </row>
    <row r="50" spans="2:26" ht="18" x14ac:dyDescent="0.35">
      <c r="B50" s="95"/>
      <c r="C50" s="96"/>
      <c r="D50" s="97"/>
      <c r="E50" s="98"/>
      <c r="F50" s="90"/>
      <c r="G50" s="91"/>
      <c r="H50" s="92"/>
      <c r="I50" s="93"/>
      <c r="J50" s="83"/>
      <c r="K50" s="83"/>
      <c r="L50" s="12"/>
      <c r="M50" s="13"/>
      <c r="N50" s="14"/>
      <c r="O50" s="11"/>
      <c r="P50" s="15"/>
      <c r="Q50" s="16"/>
      <c r="R50" s="2"/>
      <c r="S50" s="12"/>
      <c r="T50" s="17"/>
      <c r="U50" s="2"/>
      <c r="V50" s="18"/>
      <c r="W50" s="8"/>
      <c r="Y50" s="149" t="s">
        <v>64</v>
      </c>
      <c r="Z50" s="152">
        <f t="shared" si="1"/>
        <v>0</v>
      </c>
    </row>
    <row r="51" spans="2:26" ht="18" x14ac:dyDescent="0.35">
      <c r="B51" s="95"/>
      <c r="C51" s="96"/>
      <c r="D51" s="97"/>
      <c r="E51" s="98"/>
      <c r="F51" s="90"/>
      <c r="G51" s="91"/>
      <c r="H51" s="92"/>
      <c r="I51" s="93"/>
      <c r="J51" s="83"/>
      <c r="K51" s="83"/>
      <c r="L51" s="12"/>
      <c r="M51" s="13"/>
      <c r="N51" s="14"/>
      <c r="O51" s="11"/>
      <c r="P51" s="15"/>
      <c r="Q51" s="16"/>
      <c r="R51" s="2"/>
      <c r="S51" s="12"/>
      <c r="T51" s="17"/>
      <c r="U51" s="2"/>
      <c r="V51" s="18"/>
      <c r="W51" s="8"/>
      <c r="Y51" s="149" t="s">
        <v>65</v>
      </c>
      <c r="Z51" s="152">
        <f t="shared" si="1"/>
        <v>0</v>
      </c>
    </row>
    <row r="52" spans="2:26" ht="18" x14ac:dyDescent="0.35">
      <c r="B52" s="95"/>
      <c r="C52" s="96"/>
      <c r="D52" s="97"/>
      <c r="E52" s="98"/>
      <c r="F52" s="90"/>
      <c r="G52" s="91"/>
      <c r="H52" s="92"/>
      <c r="I52" s="93"/>
      <c r="J52" s="83"/>
      <c r="K52" s="83"/>
      <c r="L52" s="12"/>
      <c r="M52" s="13"/>
      <c r="N52" s="14"/>
      <c r="O52" s="11"/>
      <c r="P52" s="15"/>
      <c r="Q52" s="16"/>
      <c r="R52" s="2"/>
      <c r="S52" s="12"/>
      <c r="T52" s="17"/>
      <c r="U52" s="2"/>
      <c r="V52" s="18"/>
      <c r="W52" s="8"/>
      <c r="Y52" s="149" t="s">
        <v>66</v>
      </c>
      <c r="Z52" s="152">
        <f t="shared" si="1"/>
        <v>0</v>
      </c>
    </row>
    <row r="53" spans="2:26" ht="18" x14ac:dyDescent="0.35">
      <c r="B53" s="95"/>
      <c r="C53" s="96"/>
      <c r="D53" s="97"/>
      <c r="E53" s="98"/>
      <c r="F53" s="90"/>
      <c r="G53" s="91"/>
      <c r="H53" s="92"/>
      <c r="I53" s="93"/>
      <c r="J53" s="83"/>
      <c r="K53" s="83"/>
      <c r="L53" s="12"/>
      <c r="M53" s="13"/>
      <c r="N53" s="14"/>
      <c r="O53" s="11"/>
      <c r="P53" s="15"/>
      <c r="Q53" s="16"/>
      <c r="R53" s="2"/>
      <c r="S53" s="12"/>
      <c r="T53" s="17"/>
      <c r="U53" s="2"/>
      <c r="V53" s="18"/>
      <c r="W53" s="8"/>
      <c r="Y53" s="149" t="s">
        <v>100</v>
      </c>
      <c r="Z53" s="152">
        <f t="shared" si="1"/>
        <v>0</v>
      </c>
    </row>
    <row r="54" spans="2:26" ht="18" x14ac:dyDescent="0.35">
      <c r="B54" s="95"/>
      <c r="C54" s="96"/>
      <c r="D54" s="97"/>
      <c r="E54" s="98"/>
      <c r="F54" s="90"/>
      <c r="G54" s="91"/>
      <c r="H54" s="92"/>
      <c r="I54" s="93"/>
      <c r="J54" s="83"/>
      <c r="K54" s="83"/>
      <c r="L54" s="12"/>
      <c r="M54" s="13"/>
      <c r="N54" s="14"/>
      <c r="O54" s="11"/>
      <c r="P54" s="15"/>
      <c r="Q54" s="16"/>
      <c r="R54" s="2"/>
      <c r="S54" s="12"/>
      <c r="T54" s="17"/>
      <c r="U54" s="2"/>
      <c r="V54" s="18"/>
      <c r="W54" s="8"/>
      <c r="Y54" s="149" t="s">
        <v>101</v>
      </c>
      <c r="Z54" s="152">
        <f t="shared" si="1"/>
        <v>0</v>
      </c>
    </row>
    <row r="55" spans="2:26" ht="18" x14ac:dyDescent="0.35">
      <c r="B55" s="95"/>
      <c r="C55" s="96"/>
      <c r="D55" s="97"/>
      <c r="E55" s="98"/>
      <c r="F55" s="90"/>
      <c r="G55" s="91"/>
      <c r="H55" s="92"/>
      <c r="I55" s="93"/>
      <c r="J55" s="83"/>
      <c r="K55" s="83"/>
      <c r="L55" s="12"/>
      <c r="M55" s="13"/>
      <c r="N55" s="14"/>
      <c r="O55" s="11"/>
      <c r="P55" s="15"/>
      <c r="Q55" s="16"/>
      <c r="R55" s="2"/>
      <c r="S55" s="12"/>
      <c r="T55" s="17"/>
      <c r="U55" s="2"/>
      <c r="V55" s="18"/>
      <c r="W55" s="8"/>
      <c r="Y55" s="149" t="s">
        <v>102</v>
      </c>
      <c r="Z55" s="152">
        <f t="shared" si="1"/>
        <v>0</v>
      </c>
    </row>
    <row r="56" spans="2:26" ht="18" x14ac:dyDescent="0.35">
      <c r="B56" s="95"/>
      <c r="C56" s="96"/>
      <c r="D56" s="97"/>
      <c r="E56" s="98"/>
      <c r="F56" s="90"/>
      <c r="G56" s="91"/>
      <c r="H56" s="92"/>
      <c r="I56" s="93"/>
      <c r="J56" s="83"/>
      <c r="K56" s="83"/>
      <c r="L56" s="12"/>
      <c r="M56" s="13"/>
      <c r="N56" s="14"/>
      <c r="O56" s="11"/>
      <c r="P56" s="15"/>
      <c r="Q56" s="16"/>
      <c r="R56" s="2"/>
      <c r="S56" s="12"/>
      <c r="T56" s="17"/>
      <c r="U56" s="2"/>
      <c r="V56" s="18"/>
      <c r="W56" s="8"/>
      <c r="Y56" s="149" t="s">
        <v>26</v>
      </c>
      <c r="Z56" s="152">
        <f t="shared" si="1"/>
        <v>0</v>
      </c>
    </row>
    <row r="57" spans="2:26" ht="18" x14ac:dyDescent="0.35">
      <c r="B57" s="95"/>
      <c r="C57" s="96"/>
      <c r="D57" s="97"/>
      <c r="E57" s="98"/>
      <c r="F57" s="90"/>
      <c r="G57" s="91"/>
      <c r="H57" s="92"/>
      <c r="I57" s="93"/>
      <c r="J57" s="83"/>
      <c r="K57" s="83"/>
      <c r="L57" s="12"/>
      <c r="M57" s="13"/>
      <c r="N57" s="14"/>
      <c r="O57" s="11"/>
      <c r="P57" s="15"/>
      <c r="Q57" s="16"/>
      <c r="R57" s="2"/>
      <c r="S57" s="12"/>
      <c r="T57" s="17"/>
      <c r="U57" s="2"/>
      <c r="V57" s="18"/>
      <c r="W57" s="8"/>
      <c r="Y57" s="149" t="s">
        <v>27</v>
      </c>
      <c r="Z57" s="152">
        <f t="shared" si="1"/>
        <v>0</v>
      </c>
    </row>
    <row r="58" spans="2:26" ht="18" x14ac:dyDescent="0.35">
      <c r="B58" s="95"/>
      <c r="C58" s="96"/>
      <c r="D58" s="97"/>
      <c r="E58" s="98"/>
      <c r="F58" s="90"/>
      <c r="G58" s="91"/>
      <c r="H58" s="92"/>
      <c r="I58" s="93"/>
      <c r="J58" s="83"/>
      <c r="K58" s="83"/>
      <c r="L58" s="12"/>
      <c r="M58" s="13"/>
      <c r="N58" s="14"/>
      <c r="O58" s="11"/>
      <c r="P58" s="15"/>
      <c r="Q58" s="16"/>
      <c r="R58" s="2"/>
      <c r="S58" s="12"/>
      <c r="T58" s="17"/>
      <c r="U58" s="2"/>
      <c r="V58" s="18"/>
      <c r="W58" s="8"/>
      <c r="Y58" s="149" t="s">
        <v>28</v>
      </c>
      <c r="Z58" s="152">
        <f t="shared" si="1"/>
        <v>0</v>
      </c>
    </row>
    <row r="59" spans="2:26" ht="18" x14ac:dyDescent="0.35">
      <c r="B59" s="95"/>
      <c r="C59" s="96"/>
      <c r="D59" s="97"/>
      <c r="E59" s="98"/>
      <c r="F59" s="90"/>
      <c r="G59" s="91"/>
      <c r="H59" s="92"/>
      <c r="I59" s="93"/>
      <c r="J59" s="83"/>
      <c r="K59" s="83"/>
      <c r="L59" s="12"/>
      <c r="M59" s="13"/>
      <c r="N59" s="14"/>
      <c r="O59" s="11"/>
      <c r="P59" s="15"/>
      <c r="Q59" s="16"/>
      <c r="R59" s="2"/>
      <c r="S59" s="12"/>
      <c r="T59" s="17"/>
      <c r="U59" s="2"/>
      <c r="V59" s="18"/>
      <c r="W59" s="8"/>
      <c r="Y59" s="149" t="s">
        <v>29</v>
      </c>
      <c r="Z59" s="152">
        <f t="shared" si="1"/>
        <v>0</v>
      </c>
    </row>
    <row r="60" spans="2:26" ht="18" x14ac:dyDescent="0.35">
      <c r="B60" s="95"/>
      <c r="C60" s="96"/>
      <c r="D60" s="97"/>
      <c r="E60" s="98"/>
      <c r="F60" s="90"/>
      <c r="G60" s="91"/>
      <c r="H60" s="92"/>
      <c r="I60" s="93"/>
      <c r="J60" s="83"/>
      <c r="K60" s="83"/>
      <c r="L60" s="12"/>
      <c r="M60" s="13"/>
      <c r="N60" s="14"/>
      <c r="O60" s="11"/>
      <c r="P60" s="15"/>
      <c r="Q60" s="16"/>
      <c r="R60" s="2"/>
      <c r="S60" s="12"/>
      <c r="T60" s="17"/>
      <c r="U60" s="2"/>
      <c r="V60" s="18"/>
      <c r="W60" s="8"/>
      <c r="Y60" s="149" t="s">
        <v>34</v>
      </c>
      <c r="Z60" s="152">
        <f t="shared" si="1"/>
        <v>0</v>
      </c>
    </row>
    <row r="61" spans="2:26" ht="18" x14ac:dyDescent="0.35">
      <c r="B61" s="95"/>
      <c r="C61" s="96"/>
      <c r="D61" s="97"/>
      <c r="E61" s="98"/>
      <c r="F61" s="90"/>
      <c r="G61" s="91"/>
      <c r="H61" s="92"/>
      <c r="I61" s="93"/>
      <c r="J61" s="83"/>
      <c r="K61" s="83"/>
      <c r="L61" s="12"/>
      <c r="M61" s="13"/>
      <c r="N61" s="14"/>
      <c r="O61" s="11"/>
      <c r="P61" s="15"/>
      <c r="Q61" s="16"/>
      <c r="R61" s="2"/>
      <c r="S61" s="12"/>
      <c r="T61" s="17"/>
      <c r="U61" s="2"/>
      <c r="V61" s="18"/>
      <c r="W61" s="8"/>
      <c r="Y61" s="149" t="s">
        <v>35</v>
      </c>
      <c r="Z61" s="152">
        <f t="shared" si="1"/>
        <v>0</v>
      </c>
    </row>
    <row r="62" spans="2:26" ht="18" x14ac:dyDescent="0.35">
      <c r="B62" s="95"/>
      <c r="C62" s="96"/>
      <c r="D62" s="97"/>
      <c r="E62" s="98"/>
      <c r="F62" s="90"/>
      <c r="G62" s="91"/>
      <c r="H62" s="92"/>
      <c r="I62" s="93"/>
      <c r="J62" s="83"/>
      <c r="K62" s="83"/>
      <c r="L62" s="12"/>
      <c r="M62" s="13"/>
      <c r="N62" s="14"/>
      <c r="O62" s="11"/>
      <c r="P62" s="15"/>
      <c r="Q62" s="16"/>
      <c r="R62" s="2"/>
      <c r="S62" s="12"/>
      <c r="T62" s="17"/>
      <c r="U62" s="2"/>
      <c r="V62" s="18"/>
      <c r="W62" s="8"/>
      <c r="Y62" s="149" t="s">
        <v>36</v>
      </c>
      <c r="Z62" s="152">
        <f t="shared" si="1"/>
        <v>0</v>
      </c>
    </row>
    <row r="63" spans="2:26" ht="18" x14ac:dyDescent="0.35">
      <c r="B63" s="95"/>
      <c r="C63" s="96"/>
      <c r="D63" s="97"/>
      <c r="E63" s="98"/>
      <c r="F63" s="90"/>
      <c r="G63" s="91"/>
      <c r="H63" s="92"/>
      <c r="I63" s="93"/>
      <c r="J63" s="83"/>
      <c r="K63" s="83"/>
      <c r="L63" s="12"/>
      <c r="M63" s="13"/>
      <c r="N63" s="14"/>
      <c r="O63" s="11"/>
      <c r="P63" s="15"/>
      <c r="Q63" s="16"/>
      <c r="R63" s="2"/>
      <c r="S63" s="12"/>
      <c r="T63" s="17"/>
      <c r="U63" s="2"/>
      <c r="V63" s="18"/>
      <c r="W63" s="8"/>
      <c r="Y63" s="149" t="s">
        <v>37</v>
      </c>
      <c r="Z63" s="152">
        <f t="shared" si="1"/>
        <v>0</v>
      </c>
    </row>
    <row r="64" spans="2:26" ht="18" x14ac:dyDescent="0.35">
      <c r="B64" s="95"/>
      <c r="C64" s="96"/>
      <c r="D64" s="97"/>
      <c r="E64" s="98"/>
      <c r="F64" s="90"/>
      <c r="G64" s="91"/>
      <c r="H64" s="92"/>
      <c r="I64" s="93"/>
      <c r="J64" s="83"/>
      <c r="K64" s="83"/>
      <c r="L64" s="12"/>
      <c r="M64" s="13"/>
      <c r="N64" s="14"/>
      <c r="O64" s="11"/>
      <c r="P64" s="15"/>
      <c r="Q64" s="16"/>
      <c r="R64" s="2"/>
      <c r="S64" s="12"/>
      <c r="T64" s="17"/>
      <c r="U64" s="2"/>
      <c r="V64" s="18"/>
      <c r="W64" s="8"/>
      <c r="Y64" s="149" t="s">
        <v>38</v>
      </c>
      <c r="Z64" s="152">
        <f t="shared" si="1"/>
        <v>0</v>
      </c>
    </row>
    <row r="65" spans="2:26" ht="18" x14ac:dyDescent="0.35">
      <c r="B65" s="95"/>
      <c r="C65" s="96"/>
      <c r="D65" s="97"/>
      <c r="E65" s="98"/>
      <c r="F65" s="99"/>
      <c r="G65" s="100"/>
      <c r="H65" s="101"/>
      <c r="I65" s="102"/>
      <c r="J65" s="83"/>
      <c r="K65" s="83"/>
      <c r="L65" s="12"/>
      <c r="M65" s="13"/>
      <c r="N65" s="14"/>
      <c r="O65" s="11"/>
      <c r="P65" s="15"/>
      <c r="Q65" s="16"/>
      <c r="R65" s="2"/>
      <c r="S65" s="12"/>
      <c r="T65" s="17"/>
      <c r="U65" s="2"/>
      <c r="V65" s="18"/>
      <c r="W65" s="8"/>
      <c r="Y65" s="149" t="s">
        <v>40</v>
      </c>
      <c r="Z65" s="152">
        <f t="shared" si="1"/>
        <v>0</v>
      </c>
    </row>
    <row r="66" spans="2:26" ht="18" x14ac:dyDescent="0.35">
      <c r="B66" s="95"/>
      <c r="C66" s="96"/>
      <c r="D66" s="97"/>
      <c r="E66" s="98"/>
      <c r="F66" s="90"/>
      <c r="G66" s="91"/>
      <c r="H66" s="92"/>
      <c r="I66" s="93"/>
      <c r="J66" s="83"/>
      <c r="K66" s="83"/>
      <c r="L66" s="12"/>
      <c r="M66" s="13"/>
      <c r="N66" s="14"/>
      <c r="O66" s="11"/>
      <c r="P66" s="15"/>
      <c r="Q66" s="16"/>
      <c r="R66" s="2"/>
      <c r="S66" s="12"/>
      <c r="T66" s="17"/>
      <c r="U66" s="2"/>
      <c r="V66" s="18"/>
      <c r="W66" s="8"/>
      <c r="Y66" s="149" t="s">
        <v>41</v>
      </c>
      <c r="Z66" s="152">
        <f t="shared" si="1"/>
        <v>0</v>
      </c>
    </row>
    <row r="67" spans="2:26" ht="18" x14ac:dyDescent="0.35">
      <c r="B67" s="95"/>
      <c r="C67" s="96"/>
      <c r="D67" s="97"/>
      <c r="E67" s="98"/>
      <c r="F67" s="103"/>
      <c r="G67" s="94"/>
      <c r="H67" s="104"/>
      <c r="I67" s="105"/>
      <c r="J67" s="83"/>
      <c r="K67" s="83"/>
      <c r="L67" s="12"/>
      <c r="M67" s="13"/>
      <c r="N67" s="14"/>
      <c r="O67" s="11"/>
      <c r="P67" s="15"/>
      <c r="Q67" s="16"/>
      <c r="R67" s="2"/>
      <c r="S67" s="12"/>
      <c r="T67" s="17"/>
      <c r="U67" s="2"/>
      <c r="V67" s="18"/>
      <c r="W67" s="8"/>
      <c r="Y67" s="149" t="s">
        <v>69</v>
      </c>
      <c r="Z67" s="152">
        <f t="shared" si="1"/>
        <v>0</v>
      </c>
    </row>
    <row r="68" spans="2:26" ht="18" x14ac:dyDescent="0.35">
      <c r="B68" s="95"/>
      <c r="C68" s="96"/>
      <c r="D68" s="97"/>
      <c r="E68" s="98"/>
      <c r="F68" s="90"/>
      <c r="G68" s="91"/>
      <c r="H68" s="92"/>
      <c r="I68" s="105"/>
      <c r="J68" s="83"/>
      <c r="K68" s="83"/>
      <c r="L68" s="12"/>
      <c r="M68" s="13"/>
      <c r="N68" s="14"/>
      <c r="O68" s="11"/>
      <c r="P68" s="15"/>
      <c r="Q68" s="16"/>
      <c r="R68" s="2"/>
      <c r="S68" s="12"/>
      <c r="T68" s="17"/>
      <c r="U68" s="2"/>
      <c r="V68" s="18"/>
      <c r="W68" s="8"/>
      <c r="Y68" s="149" t="s">
        <v>108</v>
      </c>
      <c r="Z68" s="152">
        <f t="shared" si="1"/>
        <v>0</v>
      </c>
    </row>
    <row r="69" spans="2:26" ht="18" x14ac:dyDescent="0.35">
      <c r="B69" s="95"/>
      <c r="C69" s="96"/>
      <c r="D69" s="97"/>
      <c r="E69" s="98"/>
      <c r="F69" s="90"/>
      <c r="G69" s="91"/>
      <c r="H69" s="92"/>
      <c r="I69" s="105"/>
      <c r="J69" s="83"/>
      <c r="K69" s="83"/>
      <c r="L69" s="12"/>
      <c r="M69" s="13"/>
      <c r="N69" s="14"/>
      <c r="O69" s="11"/>
      <c r="P69" s="15"/>
      <c r="Q69" s="16"/>
      <c r="R69" s="2"/>
      <c r="S69" s="12"/>
      <c r="T69" s="17"/>
      <c r="U69" s="2"/>
      <c r="V69" s="18"/>
      <c r="W69" s="8"/>
      <c r="Y69" s="149" t="s">
        <v>44</v>
      </c>
      <c r="Z69" s="152">
        <f t="shared" si="1"/>
        <v>0</v>
      </c>
    </row>
    <row r="70" spans="2:26" ht="18" x14ac:dyDescent="0.35">
      <c r="B70" s="95"/>
      <c r="C70" s="96"/>
      <c r="D70" s="97"/>
      <c r="E70" s="98"/>
      <c r="F70" s="90"/>
      <c r="G70" s="91"/>
      <c r="H70" s="92"/>
      <c r="I70" s="105"/>
      <c r="J70" s="83"/>
      <c r="K70" s="83"/>
      <c r="L70" s="12"/>
      <c r="M70" s="13"/>
      <c r="N70" s="14"/>
      <c r="O70" s="11"/>
      <c r="P70" s="15"/>
      <c r="Q70" s="16"/>
      <c r="R70" s="2"/>
      <c r="S70" s="12"/>
      <c r="T70" s="17"/>
      <c r="U70" s="2"/>
      <c r="V70" s="18"/>
      <c r="W70" s="8"/>
      <c r="Y70" s="149" t="s">
        <v>45</v>
      </c>
      <c r="Z70" s="152">
        <f t="shared" si="1"/>
        <v>0</v>
      </c>
    </row>
    <row r="71" spans="2:26" ht="18" x14ac:dyDescent="0.35">
      <c r="B71" s="95"/>
      <c r="C71" s="96"/>
      <c r="D71" s="97"/>
      <c r="E71" s="98"/>
      <c r="F71" s="90"/>
      <c r="G71" s="91"/>
      <c r="H71" s="92"/>
      <c r="I71" s="105"/>
      <c r="J71" s="83"/>
      <c r="K71" s="83"/>
      <c r="L71" s="12"/>
      <c r="M71" s="13"/>
      <c r="N71" s="14"/>
      <c r="O71" s="11"/>
      <c r="P71" s="15"/>
      <c r="Q71" s="16"/>
      <c r="R71" s="2"/>
      <c r="S71" s="12"/>
      <c r="T71" s="17"/>
      <c r="U71" s="2"/>
      <c r="V71" s="18"/>
      <c r="W71" s="8"/>
      <c r="Y71" s="149" t="s">
        <v>49</v>
      </c>
      <c r="Z71" s="152">
        <f t="shared" si="1"/>
        <v>0</v>
      </c>
    </row>
    <row r="72" spans="2:26" ht="18" x14ac:dyDescent="0.35">
      <c r="B72" s="106"/>
      <c r="C72" s="107"/>
      <c r="D72" s="108"/>
      <c r="E72" s="109"/>
      <c r="F72" s="90"/>
      <c r="G72" s="91"/>
      <c r="H72" s="92"/>
      <c r="I72" s="105"/>
      <c r="J72" s="83"/>
      <c r="K72" s="83"/>
      <c r="L72" s="12"/>
      <c r="M72" s="13"/>
      <c r="N72" s="14"/>
      <c r="O72" s="11"/>
      <c r="P72" s="15"/>
      <c r="Q72" s="16"/>
      <c r="R72" s="2"/>
      <c r="S72" s="12"/>
      <c r="T72" s="17"/>
      <c r="U72" s="2"/>
      <c r="V72" s="18"/>
      <c r="W72" s="8"/>
      <c r="Y72" s="149" t="s">
        <v>50</v>
      </c>
      <c r="Z72" s="152">
        <f t="shared" si="1"/>
        <v>0</v>
      </c>
    </row>
    <row r="73" spans="2:26" ht="18" x14ac:dyDescent="0.35">
      <c r="B73" s="95"/>
      <c r="C73" s="96"/>
      <c r="D73" s="97"/>
      <c r="E73" s="98"/>
      <c r="F73" s="90"/>
      <c r="G73" s="91"/>
      <c r="H73" s="92"/>
      <c r="I73" s="105"/>
      <c r="J73" s="83"/>
      <c r="K73" s="83"/>
      <c r="L73" s="20"/>
      <c r="M73" s="21"/>
      <c r="N73" s="22"/>
      <c r="O73" s="19"/>
      <c r="P73" s="23"/>
      <c r="Q73" s="24"/>
      <c r="R73" s="2"/>
      <c r="S73" s="20"/>
      <c r="T73" s="25"/>
      <c r="U73" s="2"/>
      <c r="V73" s="26"/>
      <c r="W73" s="27"/>
      <c r="Y73" s="149" t="s">
        <v>51</v>
      </c>
      <c r="Z73" s="152">
        <f t="shared" si="1"/>
        <v>0</v>
      </c>
    </row>
    <row r="74" spans="2:26" ht="18" x14ac:dyDescent="0.35">
      <c r="B74" s="110"/>
      <c r="C74" s="111"/>
      <c r="D74" s="112"/>
      <c r="E74" s="113"/>
      <c r="F74" s="90"/>
      <c r="G74" s="91"/>
      <c r="H74" s="92"/>
      <c r="I74" s="105"/>
      <c r="J74" s="83"/>
      <c r="K74" s="83"/>
      <c r="L74" s="12"/>
      <c r="M74" s="28"/>
      <c r="N74" s="14"/>
      <c r="O74" s="11"/>
      <c r="P74" s="11"/>
      <c r="Q74" s="16"/>
      <c r="R74" s="2"/>
      <c r="S74" s="12"/>
      <c r="T74" s="17"/>
      <c r="U74" s="2"/>
      <c r="V74" s="18"/>
      <c r="W74" s="16"/>
      <c r="Y74" s="149" t="s">
        <v>52</v>
      </c>
      <c r="Z74" s="152">
        <f t="shared" si="1"/>
        <v>0</v>
      </c>
    </row>
    <row r="75" spans="2:26" ht="18" x14ac:dyDescent="0.35">
      <c r="B75" s="95"/>
      <c r="C75" s="96"/>
      <c r="D75" s="97"/>
      <c r="E75" s="113"/>
      <c r="F75" s="90"/>
      <c r="G75" s="91"/>
      <c r="H75" s="92"/>
      <c r="I75" s="105"/>
      <c r="J75" s="83"/>
      <c r="K75" s="83"/>
      <c r="L75" s="12"/>
      <c r="M75" s="28"/>
      <c r="N75" s="14"/>
      <c r="O75" s="11"/>
      <c r="P75" s="11"/>
      <c r="Q75" s="16"/>
      <c r="R75" s="2"/>
      <c r="S75" s="12"/>
      <c r="T75" s="17"/>
      <c r="U75" s="2"/>
      <c r="V75" s="18"/>
      <c r="W75" s="16"/>
      <c r="Y75" s="149" t="s">
        <v>72</v>
      </c>
      <c r="Z75" s="152">
        <f t="shared" si="1"/>
        <v>0</v>
      </c>
    </row>
    <row r="76" spans="2:26" ht="18" x14ac:dyDescent="0.35">
      <c r="B76" s="95"/>
      <c r="C76" s="96"/>
      <c r="D76" s="97"/>
      <c r="E76" s="113"/>
      <c r="F76" s="90"/>
      <c r="G76" s="91"/>
      <c r="H76" s="92"/>
      <c r="I76" s="105"/>
      <c r="J76" s="83"/>
      <c r="K76" s="83"/>
      <c r="L76" s="12"/>
      <c r="M76" s="28"/>
      <c r="N76" s="14"/>
      <c r="O76" s="11"/>
      <c r="P76" s="11"/>
      <c r="Q76" s="16"/>
      <c r="R76" s="2"/>
      <c r="S76" s="12"/>
      <c r="T76" s="17"/>
      <c r="U76" s="2"/>
      <c r="V76" s="18"/>
      <c r="W76" s="16"/>
      <c r="Y76" s="149" t="s">
        <v>71</v>
      </c>
      <c r="Z76" s="152">
        <f t="shared" si="1"/>
        <v>0</v>
      </c>
    </row>
    <row r="77" spans="2:26" ht="18" x14ac:dyDescent="0.35">
      <c r="B77" s="95"/>
      <c r="C77" s="96"/>
      <c r="D77" s="97"/>
      <c r="E77" s="113"/>
      <c r="F77" s="90"/>
      <c r="G77" s="91"/>
      <c r="H77" s="92"/>
      <c r="I77" s="105"/>
      <c r="J77" s="83"/>
      <c r="K77" s="83"/>
      <c r="L77" s="12"/>
      <c r="M77" s="28"/>
      <c r="N77" s="14"/>
      <c r="O77" s="11"/>
      <c r="P77" s="11"/>
      <c r="Q77" s="16"/>
      <c r="R77" s="2"/>
      <c r="S77" s="12"/>
      <c r="T77" s="17"/>
      <c r="U77" s="2"/>
      <c r="V77" s="18"/>
      <c r="W77" s="16"/>
      <c r="Y77" s="149" t="s">
        <v>53</v>
      </c>
      <c r="Z77" s="152">
        <f t="shared" ref="Z77:Z79" si="2">SUMIF($G$9:$G$129, Y77, $F$9:$F$129)</f>
        <v>0</v>
      </c>
    </row>
    <row r="78" spans="2:26" ht="18" x14ac:dyDescent="0.35">
      <c r="B78" s="95"/>
      <c r="C78" s="96"/>
      <c r="D78" s="97"/>
      <c r="E78" s="113"/>
      <c r="F78" s="90"/>
      <c r="G78" s="91"/>
      <c r="H78" s="92"/>
      <c r="I78" s="105"/>
      <c r="J78" s="83"/>
      <c r="K78" s="83"/>
      <c r="L78" s="12"/>
      <c r="M78" s="28"/>
      <c r="N78" s="14"/>
      <c r="O78" s="11"/>
      <c r="P78" s="11"/>
      <c r="Q78" s="16"/>
      <c r="R78" s="2"/>
      <c r="S78" s="12"/>
      <c r="T78" s="17"/>
      <c r="U78" s="2"/>
      <c r="V78" s="18"/>
      <c r="W78" s="16"/>
      <c r="Y78" s="149" t="s">
        <v>54</v>
      </c>
      <c r="Z78" s="152">
        <f t="shared" si="2"/>
        <v>0</v>
      </c>
    </row>
    <row r="79" spans="2:26" ht="18.600000000000001" thickBot="1" x14ac:dyDescent="0.4">
      <c r="B79" s="95"/>
      <c r="C79" s="96"/>
      <c r="D79" s="97"/>
      <c r="E79" s="113"/>
      <c r="F79" s="90"/>
      <c r="G79" s="91"/>
      <c r="H79" s="92"/>
      <c r="I79" s="105"/>
      <c r="J79" s="83"/>
      <c r="K79" s="83"/>
      <c r="L79" s="12"/>
      <c r="M79" s="28"/>
      <c r="N79" s="14"/>
      <c r="O79" s="11"/>
      <c r="P79" s="11"/>
      <c r="Q79" s="16"/>
      <c r="R79" s="2"/>
      <c r="S79" s="12"/>
      <c r="T79" s="17"/>
      <c r="U79" s="2"/>
      <c r="V79" s="18"/>
      <c r="W79" s="16"/>
      <c r="Y79" s="150" t="s">
        <v>55</v>
      </c>
      <c r="Z79" s="153">
        <f t="shared" si="2"/>
        <v>0</v>
      </c>
    </row>
    <row r="80" spans="2:26" ht="18" x14ac:dyDescent="0.35">
      <c r="B80" s="95"/>
      <c r="C80" s="96"/>
      <c r="D80" s="97"/>
      <c r="E80" s="113"/>
      <c r="F80" s="90"/>
      <c r="G80" s="91"/>
      <c r="H80" s="92"/>
      <c r="I80" s="105"/>
      <c r="J80" s="83"/>
      <c r="K80" s="83"/>
      <c r="L80" s="12"/>
      <c r="M80" s="28"/>
      <c r="N80" s="14"/>
      <c r="O80" s="11"/>
      <c r="P80" s="11"/>
      <c r="Q80" s="16"/>
      <c r="R80" s="2"/>
      <c r="S80" s="12"/>
      <c r="T80" s="17"/>
      <c r="U80" s="2"/>
      <c r="V80" s="18"/>
      <c r="W80" s="16"/>
    </row>
    <row r="81" spans="2:23" ht="18" x14ac:dyDescent="0.35">
      <c r="B81" s="95"/>
      <c r="C81" s="96"/>
      <c r="D81" s="97"/>
      <c r="E81" s="113"/>
      <c r="F81" s="90"/>
      <c r="G81" s="91"/>
      <c r="H81" s="92"/>
      <c r="I81" s="105"/>
      <c r="J81" s="83"/>
      <c r="K81" s="83"/>
      <c r="L81" s="12"/>
      <c r="M81" s="28"/>
      <c r="N81" s="14"/>
      <c r="O81" s="11"/>
      <c r="P81" s="11"/>
      <c r="Q81" s="16"/>
      <c r="R81" s="2"/>
      <c r="S81" s="12"/>
      <c r="T81" s="17"/>
      <c r="U81" s="2"/>
      <c r="V81" s="18"/>
      <c r="W81" s="16"/>
    </row>
    <row r="82" spans="2:23" ht="18" x14ac:dyDescent="0.35">
      <c r="B82" s="95"/>
      <c r="C82" s="96"/>
      <c r="D82" s="97"/>
      <c r="E82" s="113"/>
      <c r="F82" s="90"/>
      <c r="G82" s="91"/>
      <c r="H82" s="92"/>
      <c r="I82" s="105"/>
      <c r="J82" s="83"/>
      <c r="K82" s="83"/>
      <c r="L82" s="12"/>
      <c r="M82" s="28"/>
      <c r="N82" s="14"/>
      <c r="O82" s="11"/>
      <c r="P82" s="11"/>
      <c r="Q82" s="16"/>
      <c r="R82" s="2"/>
      <c r="S82" s="12"/>
      <c r="T82" s="17"/>
      <c r="U82" s="2"/>
      <c r="V82" s="18"/>
      <c r="W82" s="16"/>
    </row>
    <row r="83" spans="2:23" ht="18" x14ac:dyDescent="0.35">
      <c r="B83" s="95"/>
      <c r="C83" s="96"/>
      <c r="D83" s="97"/>
      <c r="E83" s="113"/>
      <c r="F83" s="90"/>
      <c r="G83" s="91"/>
      <c r="H83" s="92"/>
      <c r="I83" s="105"/>
      <c r="J83" s="83"/>
      <c r="K83" s="83"/>
      <c r="L83" s="12"/>
      <c r="M83" s="28"/>
      <c r="N83" s="14"/>
      <c r="O83" s="11"/>
      <c r="P83" s="11"/>
      <c r="Q83" s="16"/>
      <c r="R83" s="2"/>
      <c r="S83" s="12"/>
      <c r="T83" s="17"/>
      <c r="U83" s="2"/>
      <c r="V83" s="18"/>
      <c r="W83" s="16"/>
    </row>
    <row r="84" spans="2:23" ht="18" x14ac:dyDescent="0.35">
      <c r="B84" s="95"/>
      <c r="C84" s="96"/>
      <c r="D84" s="97"/>
      <c r="E84" s="113"/>
      <c r="F84" s="90"/>
      <c r="G84" s="91"/>
      <c r="H84" s="92"/>
      <c r="I84" s="105"/>
      <c r="J84" s="83"/>
      <c r="K84" s="83"/>
      <c r="L84" s="12"/>
      <c r="M84" s="28"/>
      <c r="N84" s="14"/>
      <c r="O84" s="11"/>
      <c r="P84" s="11"/>
      <c r="Q84" s="16"/>
      <c r="R84" s="2"/>
      <c r="S84" s="12"/>
      <c r="T84" s="17"/>
      <c r="U84" s="2"/>
      <c r="V84" s="18"/>
      <c r="W84" s="16"/>
    </row>
    <row r="85" spans="2:23" ht="18" x14ac:dyDescent="0.35">
      <c r="B85" s="95"/>
      <c r="C85" s="96"/>
      <c r="D85" s="97"/>
      <c r="E85" s="113"/>
      <c r="F85" s="90"/>
      <c r="G85" s="91"/>
      <c r="H85" s="92"/>
      <c r="I85" s="105"/>
      <c r="J85" s="83"/>
      <c r="K85" s="83"/>
      <c r="L85" s="12"/>
      <c r="M85" s="28"/>
      <c r="N85" s="14"/>
      <c r="O85" s="11"/>
      <c r="P85" s="11"/>
      <c r="Q85" s="16"/>
      <c r="R85" s="2"/>
      <c r="S85" s="12"/>
      <c r="T85" s="17"/>
      <c r="U85" s="2"/>
      <c r="V85" s="18"/>
      <c r="W85" s="16"/>
    </row>
    <row r="86" spans="2:23" ht="18" x14ac:dyDescent="0.35">
      <c r="B86" s="95"/>
      <c r="C86" s="96"/>
      <c r="D86" s="97"/>
      <c r="E86" s="113"/>
      <c r="F86" s="90"/>
      <c r="G86" s="91"/>
      <c r="H86" s="92"/>
      <c r="I86" s="105"/>
      <c r="J86" s="83"/>
      <c r="K86" s="83"/>
      <c r="L86" s="12"/>
      <c r="M86" s="28"/>
      <c r="N86" s="14"/>
      <c r="O86" s="11"/>
      <c r="P86" s="11"/>
      <c r="Q86" s="16"/>
      <c r="R86" s="2"/>
      <c r="S86" s="12"/>
      <c r="T86" s="17"/>
      <c r="U86" s="2"/>
      <c r="V86" s="18"/>
      <c r="W86" s="16"/>
    </row>
    <row r="87" spans="2:23" ht="18" x14ac:dyDescent="0.35">
      <c r="B87" s="95"/>
      <c r="C87" s="96"/>
      <c r="D87" s="97"/>
      <c r="E87" s="113"/>
      <c r="F87" s="90"/>
      <c r="G87" s="91"/>
      <c r="H87" s="92"/>
      <c r="I87" s="105"/>
      <c r="J87" s="83"/>
      <c r="K87" s="83"/>
      <c r="L87" s="12"/>
      <c r="M87" s="28"/>
      <c r="N87" s="14"/>
      <c r="O87" s="11"/>
      <c r="P87" s="11"/>
      <c r="Q87" s="16"/>
      <c r="R87" s="2"/>
      <c r="S87" s="12"/>
      <c r="T87" s="17"/>
      <c r="U87" s="2"/>
      <c r="V87" s="18"/>
      <c r="W87" s="16"/>
    </row>
    <row r="88" spans="2:23" ht="18" x14ac:dyDescent="0.35">
      <c r="B88" s="95"/>
      <c r="C88" s="96"/>
      <c r="D88" s="97"/>
      <c r="E88" s="113"/>
      <c r="F88" s="90"/>
      <c r="G88" s="91"/>
      <c r="H88" s="92"/>
      <c r="I88" s="105"/>
      <c r="J88" s="83"/>
      <c r="K88" s="83"/>
      <c r="L88" s="12"/>
      <c r="M88" s="28"/>
      <c r="N88" s="14"/>
      <c r="O88" s="11"/>
      <c r="P88" s="11"/>
      <c r="Q88" s="16"/>
      <c r="R88" s="2"/>
      <c r="S88" s="12"/>
      <c r="T88" s="17"/>
      <c r="U88" s="2"/>
      <c r="V88" s="18"/>
      <c r="W88" s="16"/>
    </row>
    <row r="89" spans="2:23" ht="18" x14ac:dyDescent="0.35">
      <c r="B89" s="95"/>
      <c r="C89" s="96"/>
      <c r="D89" s="97"/>
      <c r="E89" s="113"/>
      <c r="F89" s="90"/>
      <c r="G89" s="91"/>
      <c r="H89" s="92"/>
      <c r="I89" s="105"/>
      <c r="J89" s="83"/>
      <c r="K89" s="83"/>
      <c r="L89" s="12"/>
      <c r="M89" s="28"/>
      <c r="N89" s="14"/>
      <c r="O89" s="11"/>
      <c r="P89" s="11"/>
      <c r="Q89" s="16"/>
      <c r="R89" s="2"/>
      <c r="S89" s="12"/>
      <c r="T89" s="17"/>
      <c r="U89" s="2"/>
      <c r="V89" s="18"/>
      <c r="W89" s="16"/>
    </row>
    <row r="90" spans="2:23" ht="18" x14ac:dyDescent="0.35">
      <c r="B90" s="95"/>
      <c r="C90" s="96"/>
      <c r="D90" s="97"/>
      <c r="E90" s="113"/>
      <c r="F90" s="90"/>
      <c r="G90" s="91"/>
      <c r="H90" s="92"/>
      <c r="I90" s="105"/>
      <c r="J90" s="83"/>
      <c r="K90" s="83"/>
      <c r="L90" s="12"/>
      <c r="M90" s="28"/>
      <c r="N90" s="14"/>
      <c r="O90" s="11"/>
      <c r="P90" s="11"/>
      <c r="Q90" s="16"/>
      <c r="R90" s="2"/>
      <c r="S90" s="12"/>
      <c r="T90" s="17"/>
      <c r="U90" s="2"/>
      <c r="V90" s="18"/>
      <c r="W90" s="16"/>
    </row>
    <row r="91" spans="2:23" ht="18" x14ac:dyDescent="0.35">
      <c r="B91" s="95"/>
      <c r="C91" s="96"/>
      <c r="D91" s="97"/>
      <c r="E91" s="113"/>
      <c r="F91" s="90"/>
      <c r="G91" s="91"/>
      <c r="H91" s="92"/>
      <c r="I91" s="105"/>
      <c r="J91" s="83"/>
      <c r="K91" s="83"/>
      <c r="L91" s="12"/>
      <c r="M91" s="28"/>
      <c r="N91" s="14"/>
      <c r="O91" s="11"/>
      <c r="P91" s="11"/>
      <c r="Q91" s="16"/>
      <c r="R91" s="2"/>
      <c r="S91" s="12"/>
      <c r="T91" s="17"/>
      <c r="U91" s="2"/>
      <c r="V91" s="18"/>
      <c r="W91" s="16"/>
    </row>
    <row r="92" spans="2:23" ht="18" x14ac:dyDescent="0.35">
      <c r="B92" s="95"/>
      <c r="C92" s="96"/>
      <c r="D92" s="97"/>
      <c r="E92" s="113"/>
      <c r="F92" s="90"/>
      <c r="G92" s="91"/>
      <c r="H92" s="92"/>
      <c r="I92" s="105"/>
      <c r="J92" s="83"/>
      <c r="K92" s="83"/>
      <c r="L92" s="12"/>
      <c r="M92" s="28"/>
      <c r="N92" s="14"/>
      <c r="O92" s="11"/>
      <c r="P92" s="11"/>
      <c r="Q92" s="16"/>
      <c r="R92" s="2"/>
      <c r="S92" s="12"/>
      <c r="T92" s="17"/>
      <c r="U92" s="2"/>
      <c r="V92" s="18"/>
      <c r="W92" s="16"/>
    </row>
    <row r="93" spans="2:23" ht="18" x14ac:dyDescent="0.35">
      <c r="B93" s="95"/>
      <c r="C93" s="96"/>
      <c r="D93" s="97"/>
      <c r="E93" s="113"/>
      <c r="F93" s="90"/>
      <c r="G93" s="91"/>
      <c r="H93" s="92"/>
      <c r="I93" s="105"/>
      <c r="J93" s="83"/>
      <c r="K93" s="83"/>
      <c r="L93" s="12"/>
      <c r="M93" s="28"/>
      <c r="N93" s="14"/>
      <c r="O93" s="11"/>
      <c r="P93" s="11"/>
      <c r="Q93" s="16"/>
      <c r="R93" s="2"/>
      <c r="S93" s="12"/>
      <c r="T93" s="17"/>
      <c r="U93" s="2"/>
      <c r="V93" s="18"/>
      <c r="W93" s="16"/>
    </row>
    <row r="94" spans="2:23" ht="18" x14ac:dyDescent="0.35">
      <c r="B94" s="95"/>
      <c r="C94" s="96"/>
      <c r="D94" s="97"/>
      <c r="E94" s="113"/>
      <c r="F94" s="90"/>
      <c r="G94" s="91"/>
      <c r="H94" s="92"/>
      <c r="I94" s="105"/>
      <c r="J94" s="83"/>
      <c r="K94" s="83"/>
      <c r="L94" s="12"/>
      <c r="M94" s="28"/>
      <c r="N94" s="14"/>
      <c r="O94" s="11"/>
      <c r="P94" s="11"/>
      <c r="Q94" s="16"/>
      <c r="R94" s="2"/>
      <c r="S94" s="12"/>
      <c r="T94" s="17"/>
      <c r="U94" s="2"/>
      <c r="V94" s="18"/>
      <c r="W94" s="16"/>
    </row>
    <row r="95" spans="2:23" ht="18" x14ac:dyDescent="0.35">
      <c r="B95" s="95"/>
      <c r="C95" s="96"/>
      <c r="D95" s="97"/>
      <c r="E95" s="113"/>
      <c r="F95" s="90"/>
      <c r="G95" s="91"/>
      <c r="H95" s="92"/>
      <c r="I95" s="105"/>
      <c r="J95" s="83"/>
      <c r="K95" s="83"/>
      <c r="L95" s="12"/>
      <c r="M95" s="28"/>
      <c r="N95" s="14"/>
      <c r="O95" s="11"/>
      <c r="P95" s="11"/>
      <c r="Q95" s="16"/>
      <c r="R95" s="2"/>
      <c r="S95" s="12"/>
      <c r="T95" s="17"/>
      <c r="U95" s="2"/>
      <c r="V95" s="18"/>
      <c r="W95" s="16"/>
    </row>
    <row r="96" spans="2:23" ht="18" x14ac:dyDescent="0.35">
      <c r="B96" s="95"/>
      <c r="C96" s="96"/>
      <c r="D96" s="97"/>
      <c r="E96" s="113"/>
      <c r="F96" s="90"/>
      <c r="G96" s="91"/>
      <c r="H96" s="92"/>
      <c r="I96" s="105"/>
      <c r="J96" s="83"/>
      <c r="K96" s="83"/>
      <c r="L96" s="12"/>
      <c r="M96" s="28"/>
      <c r="N96" s="14"/>
      <c r="O96" s="11"/>
      <c r="P96" s="11"/>
      <c r="Q96" s="16"/>
      <c r="R96" s="2"/>
      <c r="S96" s="12"/>
      <c r="T96" s="17"/>
      <c r="U96" s="2"/>
      <c r="V96" s="18"/>
      <c r="W96" s="16"/>
    </row>
    <row r="97" spans="2:23" ht="18" x14ac:dyDescent="0.35">
      <c r="B97" s="95"/>
      <c r="C97" s="96"/>
      <c r="D97" s="97"/>
      <c r="E97" s="113"/>
      <c r="F97" s="90"/>
      <c r="G97" s="91"/>
      <c r="H97" s="92"/>
      <c r="I97" s="105"/>
      <c r="J97" s="83"/>
      <c r="K97" s="83"/>
      <c r="L97" s="12"/>
      <c r="M97" s="28"/>
      <c r="N97" s="14"/>
      <c r="O97" s="11"/>
      <c r="P97" s="11"/>
      <c r="Q97" s="16"/>
      <c r="R97" s="2"/>
      <c r="S97" s="12"/>
      <c r="T97" s="17"/>
      <c r="U97" s="2"/>
      <c r="V97" s="18"/>
      <c r="W97" s="16"/>
    </row>
    <row r="98" spans="2:23" ht="18" x14ac:dyDescent="0.35">
      <c r="B98" s="95"/>
      <c r="C98" s="96"/>
      <c r="D98" s="97"/>
      <c r="E98" s="113"/>
      <c r="F98" s="90"/>
      <c r="G98" s="91"/>
      <c r="H98" s="92"/>
      <c r="I98" s="105"/>
      <c r="J98" s="83"/>
      <c r="K98" s="83"/>
      <c r="L98" s="12"/>
      <c r="M98" s="28"/>
      <c r="N98" s="14"/>
      <c r="O98" s="11"/>
      <c r="P98" s="11"/>
      <c r="Q98" s="16"/>
      <c r="R98" s="2"/>
      <c r="S98" s="12"/>
      <c r="T98" s="17"/>
      <c r="U98" s="2"/>
      <c r="V98" s="18"/>
      <c r="W98" s="16"/>
    </row>
    <row r="99" spans="2:23" ht="18" x14ac:dyDescent="0.35">
      <c r="B99" s="95"/>
      <c r="C99" s="96"/>
      <c r="D99" s="97"/>
      <c r="E99" s="113"/>
      <c r="F99" s="90"/>
      <c r="G99" s="91"/>
      <c r="H99" s="92"/>
      <c r="I99" s="105"/>
      <c r="J99" s="83"/>
      <c r="K99" s="83"/>
      <c r="L99" s="12"/>
      <c r="M99" s="28"/>
      <c r="N99" s="14"/>
      <c r="O99" s="11"/>
      <c r="P99" s="11"/>
      <c r="Q99" s="16"/>
      <c r="R99" s="2"/>
      <c r="S99" s="12"/>
      <c r="T99" s="17"/>
      <c r="U99" s="2"/>
      <c r="V99" s="18"/>
      <c r="W99" s="16"/>
    </row>
    <row r="100" spans="2:23" ht="18" x14ac:dyDescent="0.35">
      <c r="B100" s="95"/>
      <c r="C100" s="96"/>
      <c r="D100" s="97"/>
      <c r="E100" s="113"/>
      <c r="F100" s="90"/>
      <c r="G100" s="91"/>
      <c r="H100" s="92"/>
      <c r="I100" s="105"/>
      <c r="J100" s="83"/>
      <c r="K100" s="83"/>
      <c r="L100" s="12"/>
      <c r="M100" s="28"/>
      <c r="N100" s="14"/>
      <c r="O100" s="11"/>
      <c r="P100" s="11"/>
      <c r="Q100" s="16"/>
      <c r="R100" s="2"/>
      <c r="S100" s="12"/>
      <c r="T100" s="17"/>
      <c r="U100" s="2"/>
      <c r="V100" s="18"/>
      <c r="W100" s="16"/>
    </row>
    <row r="101" spans="2:23" ht="18" x14ac:dyDescent="0.35">
      <c r="B101" s="95"/>
      <c r="C101" s="96"/>
      <c r="D101" s="97"/>
      <c r="E101" s="113"/>
      <c r="F101" s="90"/>
      <c r="G101" s="91"/>
      <c r="H101" s="92"/>
      <c r="I101" s="105"/>
      <c r="J101" s="83"/>
      <c r="K101" s="83"/>
      <c r="L101" s="12"/>
      <c r="M101" s="28"/>
      <c r="N101" s="14"/>
      <c r="O101" s="11"/>
      <c r="P101" s="11"/>
      <c r="Q101" s="16"/>
      <c r="R101" s="2"/>
      <c r="S101" s="12"/>
      <c r="T101" s="17"/>
      <c r="U101" s="2"/>
      <c r="V101" s="18"/>
      <c r="W101" s="16"/>
    </row>
    <row r="102" spans="2:23" ht="18" x14ac:dyDescent="0.35">
      <c r="B102" s="95"/>
      <c r="C102" s="96"/>
      <c r="D102" s="97"/>
      <c r="E102" s="113"/>
      <c r="F102" s="90"/>
      <c r="G102" s="91"/>
      <c r="H102" s="92"/>
      <c r="I102" s="105"/>
      <c r="J102" s="83"/>
      <c r="K102" s="83"/>
      <c r="L102" s="12"/>
      <c r="M102" s="28"/>
      <c r="N102" s="14"/>
      <c r="O102" s="11"/>
      <c r="P102" s="11"/>
      <c r="Q102" s="16"/>
      <c r="R102" s="2"/>
      <c r="S102" s="12"/>
      <c r="T102" s="17"/>
      <c r="U102" s="2"/>
      <c r="V102" s="18"/>
      <c r="W102" s="16"/>
    </row>
    <row r="103" spans="2:23" ht="18" x14ac:dyDescent="0.35">
      <c r="B103" s="95"/>
      <c r="C103" s="96"/>
      <c r="D103" s="97"/>
      <c r="E103" s="113"/>
      <c r="F103" s="90"/>
      <c r="G103" s="91"/>
      <c r="H103" s="92"/>
      <c r="I103" s="105"/>
      <c r="J103" s="83"/>
      <c r="K103" s="83"/>
      <c r="L103" s="12"/>
      <c r="M103" s="28"/>
      <c r="N103" s="14"/>
      <c r="O103" s="11"/>
      <c r="P103" s="11"/>
      <c r="Q103" s="16"/>
      <c r="R103" s="2"/>
      <c r="S103" s="12"/>
      <c r="T103" s="17"/>
      <c r="U103" s="2"/>
      <c r="V103" s="18"/>
      <c r="W103" s="16"/>
    </row>
    <row r="104" spans="2:23" ht="18" x14ac:dyDescent="0.35">
      <c r="B104" s="95"/>
      <c r="C104" s="96"/>
      <c r="D104" s="97"/>
      <c r="E104" s="113"/>
      <c r="F104" s="90"/>
      <c r="G104" s="91"/>
      <c r="H104" s="92"/>
      <c r="I104" s="105"/>
      <c r="J104" s="83"/>
      <c r="K104" s="83"/>
      <c r="L104" s="12"/>
      <c r="M104" s="28"/>
      <c r="N104" s="14"/>
      <c r="O104" s="11"/>
      <c r="P104" s="11"/>
      <c r="Q104" s="16"/>
      <c r="R104" s="2"/>
      <c r="S104" s="12"/>
      <c r="T104" s="17"/>
      <c r="U104" s="2"/>
      <c r="V104" s="18"/>
      <c r="W104" s="16"/>
    </row>
    <row r="105" spans="2:23" ht="18" x14ac:dyDescent="0.35">
      <c r="B105" s="95"/>
      <c r="C105" s="96"/>
      <c r="D105" s="97"/>
      <c r="E105" s="113"/>
      <c r="F105" s="90"/>
      <c r="G105" s="91"/>
      <c r="H105" s="92"/>
      <c r="I105" s="105"/>
      <c r="J105" s="83"/>
      <c r="K105" s="83"/>
      <c r="L105" s="12"/>
      <c r="M105" s="28"/>
      <c r="N105" s="14"/>
      <c r="O105" s="11"/>
      <c r="P105" s="11"/>
      <c r="Q105" s="16"/>
      <c r="R105" s="2"/>
      <c r="S105" s="12"/>
      <c r="T105" s="17"/>
      <c r="U105" s="2"/>
      <c r="V105" s="18"/>
      <c r="W105" s="16"/>
    </row>
    <row r="106" spans="2:23" ht="18" x14ac:dyDescent="0.35">
      <c r="B106" s="95"/>
      <c r="C106" s="96"/>
      <c r="D106" s="97"/>
      <c r="E106" s="113"/>
      <c r="F106" s="90"/>
      <c r="G106" s="91"/>
      <c r="H106" s="92"/>
      <c r="I106" s="105"/>
      <c r="J106" s="83"/>
      <c r="K106" s="83"/>
      <c r="L106" s="12"/>
      <c r="M106" s="28"/>
      <c r="N106" s="14"/>
      <c r="O106" s="11"/>
      <c r="P106" s="11"/>
      <c r="Q106" s="16"/>
      <c r="R106" s="2"/>
      <c r="S106" s="12"/>
      <c r="T106" s="17"/>
      <c r="U106" s="2"/>
      <c r="V106" s="18"/>
      <c r="W106" s="16"/>
    </row>
    <row r="107" spans="2:23" ht="18" x14ac:dyDescent="0.35">
      <c r="B107" s="95"/>
      <c r="C107" s="96"/>
      <c r="D107" s="97"/>
      <c r="E107" s="113"/>
      <c r="F107" s="90"/>
      <c r="G107" s="91"/>
      <c r="H107" s="92"/>
      <c r="I107" s="105"/>
      <c r="J107" s="83"/>
      <c r="K107" s="83"/>
      <c r="L107" s="12"/>
      <c r="M107" s="28"/>
      <c r="N107" s="14"/>
      <c r="O107" s="11"/>
      <c r="P107" s="11"/>
      <c r="Q107" s="16"/>
      <c r="R107" s="2"/>
      <c r="S107" s="12"/>
      <c r="T107" s="17"/>
      <c r="U107" s="2"/>
      <c r="V107" s="18"/>
      <c r="W107" s="16"/>
    </row>
    <row r="108" spans="2:23" ht="18" x14ac:dyDescent="0.35">
      <c r="B108" s="95"/>
      <c r="C108" s="96"/>
      <c r="D108" s="97"/>
      <c r="E108" s="113"/>
      <c r="F108" s="90"/>
      <c r="G108" s="91"/>
      <c r="H108" s="92"/>
      <c r="I108" s="105"/>
      <c r="J108" s="83"/>
      <c r="K108" s="83"/>
      <c r="L108" s="12"/>
      <c r="M108" s="28"/>
      <c r="N108" s="14"/>
      <c r="O108" s="11"/>
      <c r="P108" s="11"/>
      <c r="Q108" s="16"/>
      <c r="R108" s="2"/>
      <c r="S108" s="12"/>
      <c r="T108" s="17"/>
      <c r="U108" s="2"/>
      <c r="V108" s="18"/>
      <c r="W108" s="16"/>
    </row>
    <row r="109" spans="2:23" ht="18" x14ac:dyDescent="0.35">
      <c r="B109" s="95"/>
      <c r="C109" s="96"/>
      <c r="D109" s="97"/>
      <c r="E109" s="113"/>
      <c r="F109" s="90"/>
      <c r="G109" s="91"/>
      <c r="H109" s="92"/>
      <c r="I109" s="105"/>
      <c r="J109" s="83"/>
      <c r="K109" s="83"/>
      <c r="L109" s="12"/>
      <c r="M109" s="28"/>
      <c r="N109" s="14"/>
      <c r="O109" s="11"/>
      <c r="P109" s="11"/>
      <c r="Q109" s="16"/>
      <c r="R109" s="2"/>
      <c r="S109" s="12"/>
      <c r="T109" s="17"/>
      <c r="U109" s="2"/>
      <c r="V109" s="18"/>
      <c r="W109" s="16"/>
    </row>
    <row r="110" spans="2:23" ht="18" x14ac:dyDescent="0.35">
      <c r="B110" s="95"/>
      <c r="C110" s="96"/>
      <c r="D110" s="97"/>
      <c r="E110" s="113"/>
      <c r="F110" s="90"/>
      <c r="G110" s="91"/>
      <c r="H110" s="92"/>
      <c r="I110" s="105"/>
      <c r="J110" s="83"/>
      <c r="K110" s="83"/>
      <c r="L110" s="12"/>
      <c r="M110" s="28"/>
      <c r="N110" s="14"/>
      <c r="O110" s="11"/>
      <c r="P110" s="11"/>
      <c r="Q110" s="16"/>
      <c r="R110" s="2"/>
      <c r="S110" s="12"/>
      <c r="T110" s="17"/>
      <c r="U110" s="2"/>
      <c r="V110" s="18"/>
      <c r="W110" s="16"/>
    </row>
    <row r="111" spans="2:23" ht="18" x14ac:dyDescent="0.35">
      <c r="B111" s="95"/>
      <c r="C111" s="96"/>
      <c r="D111" s="97"/>
      <c r="E111" s="113"/>
      <c r="F111" s="90"/>
      <c r="G111" s="91"/>
      <c r="H111" s="92"/>
      <c r="I111" s="105"/>
      <c r="J111" s="83"/>
      <c r="K111" s="83"/>
      <c r="L111" s="12"/>
      <c r="M111" s="28"/>
      <c r="N111" s="14"/>
      <c r="O111" s="11"/>
      <c r="P111" s="11"/>
      <c r="Q111" s="16"/>
      <c r="R111" s="2"/>
      <c r="S111" s="12"/>
      <c r="T111" s="17"/>
      <c r="U111" s="2"/>
      <c r="V111" s="18"/>
      <c r="W111" s="16"/>
    </row>
    <row r="112" spans="2:23" ht="18" x14ac:dyDescent="0.35">
      <c r="B112" s="95"/>
      <c r="C112" s="96"/>
      <c r="D112" s="97"/>
      <c r="E112" s="113"/>
      <c r="F112" s="90"/>
      <c r="G112" s="91"/>
      <c r="H112" s="92"/>
      <c r="I112" s="105"/>
      <c r="J112" s="83"/>
      <c r="K112" s="83"/>
      <c r="L112" s="12"/>
      <c r="M112" s="28"/>
      <c r="N112" s="14"/>
      <c r="O112" s="11"/>
      <c r="P112" s="11"/>
      <c r="Q112" s="16"/>
      <c r="R112" s="2"/>
      <c r="S112" s="12"/>
      <c r="T112" s="17"/>
      <c r="U112" s="2"/>
      <c r="V112" s="18"/>
      <c r="W112" s="16"/>
    </row>
    <row r="113" spans="2:23" ht="18" x14ac:dyDescent="0.35">
      <c r="B113" s="95"/>
      <c r="C113" s="96"/>
      <c r="D113" s="97"/>
      <c r="E113" s="113"/>
      <c r="F113" s="90"/>
      <c r="G113" s="91"/>
      <c r="H113" s="92"/>
      <c r="I113" s="105"/>
      <c r="J113" s="83"/>
      <c r="K113" s="83"/>
      <c r="L113" s="12"/>
      <c r="M113" s="28"/>
      <c r="N113" s="14"/>
      <c r="O113" s="11"/>
      <c r="P113" s="11"/>
      <c r="Q113" s="16"/>
      <c r="R113" s="2"/>
      <c r="S113" s="12"/>
      <c r="T113" s="17"/>
      <c r="U113" s="2"/>
      <c r="V113" s="18"/>
      <c r="W113" s="16"/>
    </row>
    <row r="114" spans="2:23" ht="18" x14ac:dyDescent="0.35">
      <c r="B114" s="95"/>
      <c r="C114" s="96"/>
      <c r="D114" s="97"/>
      <c r="E114" s="113"/>
      <c r="F114" s="90"/>
      <c r="G114" s="91"/>
      <c r="H114" s="92"/>
      <c r="I114" s="105"/>
      <c r="J114" s="83"/>
      <c r="K114" s="83"/>
      <c r="L114" s="12"/>
      <c r="M114" s="28"/>
      <c r="N114" s="14"/>
      <c r="O114" s="11"/>
      <c r="P114" s="11"/>
      <c r="Q114" s="16"/>
      <c r="R114" s="2"/>
      <c r="S114" s="12"/>
      <c r="T114" s="17"/>
      <c r="U114" s="2"/>
      <c r="V114" s="18"/>
      <c r="W114" s="16"/>
    </row>
    <row r="115" spans="2:23" ht="18" x14ac:dyDescent="0.35">
      <c r="B115" s="95"/>
      <c r="C115" s="96"/>
      <c r="D115" s="97"/>
      <c r="E115" s="113"/>
      <c r="F115" s="90"/>
      <c r="G115" s="91"/>
      <c r="H115" s="92"/>
      <c r="I115" s="105"/>
      <c r="J115" s="83"/>
      <c r="K115" s="83"/>
      <c r="L115" s="12"/>
      <c r="M115" s="28"/>
      <c r="N115" s="14"/>
      <c r="O115" s="11"/>
      <c r="P115" s="11"/>
      <c r="Q115" s="16"/>
      <c r="R115" s="2"/>
      <c r="S115" s="12"/>
      <c r="T115" s="17"/>
      <c r="U115" s="2"/>
      <c r="V115" s="18"/>
      <c r="W115" s="16"/>
    </row>
    <row r="116" spans="2:23" ht="18" x14ac:dyDescent="0.35">
      <c r="B116" s="95"/>
      <c r="C116" s="96"/>
      <c r="D116" s="97"/>
      <c r="E116" s="113"/>
      <c r="F116" s="90"/>
      <c r="G116" s="91"/>
      <c r="H116" s="92"/>
      <c r="I116" s="105"/>
      <c r="J116" s="83"/>
      <c r="K116" s="83"/>
      <c r="L116" s="12"/>
      <c r="M116" s="28"/>
      <c r="N116" s="14"/>
      <c r="O116" s="11"/>
      <c r="P116" s="11"/>
      <c r="Q116" s="16"/>
      <c r="R116" s="2"/>
      <c r="S116" s="12"/>
      <c r="T116" s="17"/>
      <c r="U116" s="2"/>
      <c r="V116" s="18"/>
      <c r="W116" s="16"/>
    </row>
    <row r="117" spans="2:23" ht="18" x14ac:dyDescent="0.35">
      <c r="B117" s="95"/>
      <c r="C117" s="96"/>
      <c r="D117" s="97"/>
      <c r="E117" s="113"/>
      <c r="F117" s="90"/>
      <c r="G117" s="91"/>
      <c r="H117" s="92"/>
      <c r="I117" s="105"/>
      <c r="J117" s="83"/>
      <c r="K117" s="83"/>
      <c r="L117" s="12"/>
      <c r="M117" s="28"/>
      <c r="N117" s="14"/>
      <c r="O117" s="11"/>
      <c r="P117" s="11"/>
      <c r="Q117" s="16"/>
      <c r="R117" s="2"/>
      <c r="S117" s="12"/>
      <c r="T117" s="17"/>
      <c r="U117" s="2"/>
      <c r="V117" s="18"/>
      <c r="W117" s="16"/>
    </row>
    <row r="118" spans="2:23" ht="18" x14ac:dyDescent="0.35">
      <c r="B118" s="95"/>
      <c r="C118" s="96"/>
      <c r="D118" s="97"/>
      <c r="E118" s="113"/>
      <c r="F118" s="90"/>
      <c r="G118" s="91"/>
      <c r="H118" s="92"/>
      <c r="I118" s="105"/>
      <c r="J118" s="83"/>
      <c r="K118" s="83"/>
      <c r="L118" s="12"/>
      <c r="M118" s="28"/>
      <c r="N118" s="14"/>
      <c r="O118" s="11"/>
      <c r="P118" s="11"/>
      <c r="Q118" s="16"/>
      <c r="R118" s="2"/>
      <c r="S118" s="12"/>
      <c r="T118" s="17"/>
      <c r="U118" s="2"/>
      <c r="V118" s="18"/>
      <c r="W118" s="16"/>
    </row>
    <row r="119" spans="2:23" ht="18" x14ac:dyDescent="0.35">
      <c r="B119" s="95"/>
      <c r="C119" s="96"/>
      <c r="D119" s="97"/>
      <c r="E119" s="113"/>
      <c r="F119" s="90"/>
      <c r="G119" s="91"/>
      <c r="H119" s="92"/>
      <c r="I119" s="105"/>
      <c r="J119" s="83"/>
      <c r="K119" s="83"/>
      <c r="L119" s="12"/>
      <c r="M119" s="28"/>
      <c r="N119" s="14"/>
      <c r="O119" s="11"/>
      <c r="P119" s="11"/>
      <c r="Q119" s="16"/>
      <c r="R119" s="2"/>
      <c r="S119" s="12"/>
      <c r="T119" s="17"/>
      <c r="U119" s="2"/>
      <c r="V119" s="18"/>
      <c r="W119" s="16"/>
    </row>
    <row r="120" spans="2:23" ht="18" x14ac:dyDescent="0.35">
      <c r="B120" s="95"/>
      <c r="C120" s="96"/>
      <c r="D120" s="97"/>
      <c r="E120" s="113"/>
      <c r="F120" s="90"/>
      <c r="G120" s="91"/>
      <c r="H120" s="92"/>
      <c r="I120" s="105"/>
      <c r="J120" s="83"/>
      <c r="K120" s="83"/>
      <c r="L120" s="12"/>
      <c r="M120" s="28"/>
      <c r="N120" s="14"/>
      <c r="O120" s="11"/>
      <c r="P120" s="11"/>
      <c r="Q120" s="16"/>
      <c r="R120" s="2"/>
      <c r="S120" s="12"/>
      <c r="T120" s="17"/>
      <c r="U120" s="2"/>
      <c r="V120" s="18"/>
      <c r="W120" s="16"/>
    </row>
    <row r="121" spans="2:23" ht="18" x14ac:dyDescent="0.35">
      <c r="B121" s="95"/>
      <c r="C121" s="96"/>
      <c r="D121" s="97"/>
      <c r="E121" s="113"/>
      <c r="F121" s="90"/>
      <c r="G121" s="91"/>
      <c r="H121" s="92"/>
      <c r="I121" s="105"/>
      <c r="J121" s="83"/>
      <c r="K121" s="83"/>
      <c r="L121" s="12"/>
      <c r="M121" s="28"/>
      <c r="N121" s="14"/>
      <c r="O121" s="11"/>
      <c r="P121" s="11"/>
      <c r="Q121" s="16"/>
      <c r="R121" s="2"/>
      <c r="S121" s="12"/>
      <c r="T121" s="17"/>
      <c r="U121" s="2"/>
      <c r="V121" s="18"/>
      <c r="W121" s="16"/>
    </row>
    <row r="122" spans="2:23" ht="18" x14ac:dyDescent="0.35">
      <c r="B122" s="95"/>
      <c r="C122" s="96"/>
      <c r="D122" s="97"/>
      <c r="E122" s="113"/>
      <c r="F122" s="99"/>
      <c r="G122" s="100"/>
      <c r="H122" s="101"/>
      <c r="I122" s="105"/>
      <c r="J122" s="83"/>
      <c r="K122" s="83"/>
      <c r="L122" s="12"/>
      <c r="M122" s="28"/>
      <c r="N122" s="14"/>
      <c r="O122" s="11"/>
      <c r="P122" s="11"/>
      <c r="Q122" s="16"/>
      <c r="R122" s="2"/>
      <c r="S122" s="12"/>
      <c r="T122" s="17"/>
      <c r="U122" s="2"/>
      <c r="V122" s="18"/>
      <c r="W122" s="16"/>
    </row>
    <row r="123" spans="2:23" ht="18" x14ac:dyDescent="0.35">
      <c r="B123" s="95"/>
      <c r="C123" s="96"/>
      <c r="D123" s="97"/>
      <c r="E123" s="113"/>
      <c r="F123" s="99"/>
      <c r="G123" s="100"/>
      <c r="H123" s="101"/>
      <c r="I123" s="105"/>
      <c r="J123" s="83"/>
      <c r="K123" s="83"/>
      <c r="L123" s="12"/>
      <c r="M123" s="28"/>
      <c r="N123" s="14"/>
      <c r="O123" s="11"/>
      <c r="P123" s="11"/>
      <c r="Q123" s="16"/>
      <c r="R123" s="2"/>
      <c r="S123" s="12"/>
      <c r="T123" s="17"/>
      <c r="U123" s="2"/>
      <c r="V123" s="18"/>
      <c r="W123" s="16"/>
    </row>
    <row r="124" spans="2:23" ht="18" x14ac:dyDescent="0.35">
      <c r="B124" s="95"/>
      <c r="C124" s="96"/>
      <c r="D124" s="97"/>
      <c r="E124" s="113"/>
      <c r="F124" s="99"/>
      <c r="G124" s="100"/>
      <c r="H124" s="101"/>
      <c r="I124" s="105"/>
      <c r="J124" s="83"/>
      <c r="K124" s="83"/>
      <c r="L124" s="12"/>
      <c r="M124" s="28"/>
      <c r="N124" s="14"/>
      <c r="O124" s="11"/>
      <c r="P124" s="11"/>
      <c r="Q124" s="16"/>
      <c r="R124" s="2"/>
      <c r="S124" s="12"/>
      <c r="T124" s="17"/>
      <c r="U124" s="2"/>
      <c r="V124" s="18"/>
      <c r="W124" s="16"/>
    </row>
    <row r="125" spans="2:23" ht="18" x14ac:dyDescent="0.35">
      <c r="B125" s="95"/>
      <c r="C125" s="96"/>
      <c r="D125" s="97"/>
      <c r="E125" s="113"/>
      <c r="F125" s="99"/>
      <c r="G125" s="100"/>
      <c r="H125" s="101"/>
      <c r="I125" s="105"/>
      <c r="J125" s="83"/>
      <c r="K125" s="83"/>
      <c r="L125" s="12"/>
      <c r="M125" s="28"/>
      <c r="N125" s="14"/>
      <c r="O125" s="11"/>
      <c r="P125" s="11"/>
      <c r="Q125" s="16"/>
      <c r="R125" s="2"/>
      <c r="S125" s="12"/>
      <c r="T125" s="17"/>
      <c r="U125" s="2"/>
      <c r="V125" s="18"/>
      <c r="W125" s="16"/>
    </row>
    <row r="126" spans="2:23" ht="18" x14ac:dyDescent="0.35">
      <c r="B126" s="95"/>
      <c r="C126" s="96"/>
      <c r="D126" s="97"/>
      <c r="E126" s="113"/>
      <c r="F126" s="99"/>
      <c r="G126" s="100"/>
      <c r="H126" s="101"/>
      <c r="I126" s="105"/>
      <c r="J126" s="83"/>
      <c r="K126" s="83"/>
      <c r="L126" s="12"/>
      <c r="M126" s="28"/>
      <c r="N126" s="14"/>
      <c r="O126" s="11"/>
      <c r="P126" s="11"/>
      <c r="Q126" s="16"/>
      <c r="R126" s="2"/>
      <c r="S126" s="12"/>
      <c r="T126" s="17"/>
      <c r="U126" s="2"/>
      <c r="V126" s="18"/>
      <c r="W126" s="16"/>
    </row>
    <row r="127" spans="2:23" ht="18" x14ac:dyDescent="0.35">
      <c r="B127" s="95"/>
      <c r="C127" s="96"/>
      <c r="D127" s="97"/>
      <c r="E127" s="113"/>
      <c r="F127" s="99"/>
      <c r="G127" s="100"/>
      <c r="H127" s="101"/>
      <c r="I127" s="105"/>
      <c r="J127" s="83"/>
      <c r="K127" s="83"/>
      <c r="L127" s="12"/>
      <c r="M127" s="28"/>
      <c r="N127" s="14"/>
      <c r="O127" s="11"/>
      <c r="P127" s="11"/>
      <c r="Q127" s="16"/>
      <c r="R127" s="2"/>
      <c r="S127" s="12"/>
      <c r="T127" s="17"/>
      <c r="U127" s="2"/>
      <c r="V127" s="18"/>
      <c r="W127" s="16"/>
    </row>
    <row r="128" spans="2:23" ht="18" x14ac:dyDescent="0.35">
      <c r="B128" s="95"/>
      <c r="C128" s="96"/>
      <c r="D128" s="97"/>
      <c r="E128" s="113"/>
      <c r="F128" s="99"/>
      <c r="G128" s="100"/>
      <c r="H128" s="101"/>
      <c r="I128" s="105"/>
      <c r="J128" s="83"/>
      <c r="K128" s="83"/>
      <c r="L128" s="12"/>
      <c r="M128" s="28"/>
      <c r="N128" s="14"/>
      <c r="O128" s="11"/>
      <c r="P128" s="11"/>
      <c r="Q128" s="16"/>
      <c r="R128" s="2"/>
      <c r="S128" s="12"/>
      <c r="T128" s="17"/>
      <c r="U128" s="2"/>
      <c r="V128" s="18"/>
      <c r="W128" s="16"/>
    </row>
    <row r="129" spans="1:23" ht="18.600000000000001" thickBot="1" x14ac:dyDescent="0.4">
      <c r="B129" s="114"/>
      <c r="C129" s="115"/>
      <c r="D129" s="116"/>
      <c r="E129" s="113"/>
      <c r="F129" s="117"/>
      <c r="G129" s="118"/>
      <c r="H129" s="119"/>
      <c r="I129" s="105"/>
      <c r="J129" s="83"/>
      <c r="K129" s="83"/>
      <c r="L129" s="30"/>
      <c r="M129" s="31"/>
      <c r="N129" s="32"/>
      <c r="O129" s="29"/>
      <c r="P129" s="29"/>
      <c r="Q129" s="33"/>
      <c r="R129" s="2"/>
      <c r="S129" s="30"/>
      <c r="T129" s="34"/>
      <c r="U129" s="2"/>
      <c r="V129" s="35"/>
      <c r="W129" s="33"/>
    </row>
    <row r="130" spans="1:23" ht="18.600000000000001" thickBot="1" x14ac:dyDescent="0.4">
      <c r="A130" s="120" t="s">
        <v>15</v>
      </c>
      <c r="B130" s="121">
        <f>SUM(B9:B129)</f>
        <v>0</v>
      </c>
      <c r="C130" s="122"/>
      <c r="D130" s="121"/>
      <c r="E130" s="123">
        <f>SUM(E9:E129)</f>
        <v>0</v>
      </c>
      <c r="F130" s="124">
        <f>SUM(F9:F129)</f>
        <v>0</v>
      </c>
      <c r="G130" s="82"/>
      <c r="H130" s="125"/>
      <c r="I130" s="125">
        <f>SUM(I9:I129)</f>
        <v>0</v>
      </c>
      <c r="J130" s="83"/>
      <c r="K130" s="83"/>
      <c r="L130" s="126"/>
      <c r="M130" s="126">
        <f>SUM(M9:M129)</f>
        <v>0</v>
      </c>
      <c r="N130" s="127">
        <f>SUM(N9:N129)</f>
        <v>0</v>
      </c>
      <c r="O130" s="82"/>
      <c r="P130" s="82">
        <f>SUM(P9:P129)</f>
        <v>0</v>
      </c>
      <c r="Q130" s="128">
        <f>SUM(Q9:Q129)</f>
        <v>0</v>
      </c>
      <c r="R130" s="83"/>
      <c r="S130" s="84"/>
      <c r="T130" s="129">
        <f>SUM(T9:T129)</f>
        <v>0</v>
      </c>
      <c r="U130" s="83"/>
      <c r="V130" s="82"/>
      <c r="W130" s="130">
        <f>SUM(W9:W129)</f>
        <v>0</v>
      </c>
    </row>
  </sheetData>
  <mergeCells count="8">
    <mergeCell ref="V5:W5"/>
    <mergeCell ref="Y5:Z5"/>
    <mergeCell ref="E1:G1"/>
    <mergeCell ref="B2:C2"/>
    <mergeCell ref="B3:C3"/>
    <mergeCell ref="B5:I5"/>
    <mergeCell ref="L5:Q5"/>
    <mergeCell ref="S5:T5"/>
  </mergeCell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4F51AD-47E1-43FD-8B18-5AF121ABB784}">
  <sheetPr codeName="Sheet34"/>
  <dimension ref="A1:Z130"/>
  <sheetViews>
    <sheetView zoomScale="80" zoomScaleNormal="80" workbookViewId="0">
      <selection activeCell="I15" sqref="I15"/>
    </sheetView>
  </sheetViews>
  <sheetFormatPr defaultColWidth="9.109375" defaultRowHeight="14.4" x14ac:dyDescent="0.3"/>
  <cols>
    <col min="1" max="1" width="15.5546875" style="36" customWidth="1"/>
    <col min="2" max="2" width="15.88671875" style="36" customWidth="1"/>
    <col min="3" max="3" width="20" style="76" customWidth="1"/>
    <col min="4" max="4" width="20.33203125" style="36" customWidth="1"/>
    <col min="5" max="5" width="22.33203125" style="36" customWidth="1"/>
    <col min="6" max="6" width="14.6640625" style="36" customWidth="1"/>
    <col min="7" max="7" width="22" style="76" customWidth="1"/>
    <col min="8" max="8" width="18.88671875" style="36" customWidth="1"/>
    <col min="9" max="9" width="23" style="36" customWidth="1"/>
    <col min="10" max="11" width="9.109375" style="36"/>
    <col min="12" max="12" width="20.6640625" style="76" customWidth="1"/>
    <col min="13" max="13" width="15.44140625" style="76" customWidth="1"/>
    <col min="14" max="14" width="22.6640625" style="36" customWidth="1"/>
    <col min="15" max="15" width="20.5546875" style="76" customWidth="1"/>
    <col min="16" max="16" width="13.33203125" style="76" customWidth="1"/>
    <col min="17" max="17" width="21.5546875" style="76" customWidth="1"/>
    <col min="18" max="18" width="9.109375" style="36"/>
    <col min="19" max="19" width="22" style="76" customWidth="1"/>
    <col min="20" max="20" width="22.33203125" style="76" customWidth="1"/>
    <col min="21" max="21" width="9.109375" style="36"/>
    <col min="22" max="22" width="21.88671875" style="76" customWidth="1"/>
    <col min="23" max="23" width="23.109375" style="76" customWidth="1"/>
    <col min="24" max="24" width="9.109375" style="36"/>
    <col min="25" max="25" width="21.33203125" style="36" customWidth="1"/>
    <col min="26" max="26" width="21.88671875" style="36" customWidth="1"/>
    <col min="27" max="16384" width="9.109375" style="36"/>
  </cols>
  <sheetData>
    <row r="1" spans="2:26" ht="21" x14ac:dyDescent="0.4">
      <c r="E1" s="189">
        <v>44194</v>
      </c>
      <c r="F1" s="189"/>
      <c r="G1" s="189"/>
    </row>
    <row r="2" spans="2:26" ht="18" x14ac:dyDescent="0.35">
      <c r="B2" s="190" t="s">
        <v>0</v>
      </c>
      <c r="C2" s="190"/>
      <c r="D2" s="1"/>
    </row>
    <row r="3" spans="2:26" ht="18" x14ac:dyDescent="0.35">
      <c r="B3" s="190" t="s">
        <v>1</v>
      </c>
      <c r="C3" s="190"/>
      <c r="D3" s="77">
        <f>(D2-E130-I130)</f>
        <v>0</v>
      </c>
    </row>
    <row r="5" spans="2:26" ht="36.6" x14ac:dyDescent="0.7">
      <c r="B5" s="187" t="s">
        <v>2</v>
      </c>
      <c r="C5" s="187"/>
      <c r="D5" s="187"/>
      <c r="E5" s="187"/>
      <c r="F5" s="187"/>
      <c r="G5" s="187"/>
      <c r="H5" s="187"/>
      <c r="I5" s="187"/>
      <c r="L5" s="187" t="s">
        <v>3</v>
      </c>
      <c r="M5" s="187"/>
      <c r="N5" s="187"/>
      <c r="O5" s="187"/>
      <c r="P5" s="187"/>
      <c r="Q5" s="187"/>
      <c r="S5" s="191" t="s">
        <v>4</v>
      </c>
      <c r="T5" s="191"/>
      <c r="V5" s="187" t="s">
        <v>5</v>
      </c>
      <c r="W5" s="187"/>
      <c r="Y5" s="188" t="s">
        <v>105</v>
      </c>
      <c r="Z5" s="187"/>
    </row>
    <row r="7" spans="2:26" ht="15" thickBot="1" x14ac:dyDescent="0.35"/>
    <row r="8" spans="2:26" ht="18.600000000000001" thickBot="1" x14ac:dyDescent="0.4">
      <c r="B8" s="78" t="s">
        <v>6</v>
      </c>
      <c r="C8" s="79" t="s">
        <v>7</v>
      </c>
      <c r="D8" s="78" t="s">
        <v>8</v>
      </c>
      <c r="E8" s="80" t="s">
        <v>9</v>
      </c>
      <c r="F8" s="81" t="s">
        <v>6</v>
      </c>
      <c r="G8" s="81" t="s">
        <v>10</v>
      </c>
      <c r="H8" s="81" t="s">
        <v>8</v>
      </c>
      <c r="I8" s="82" t="s">
        <v>9</v>
      </c>
      <c r="J8" s="83"/>
      <c r="K8" s="83"/>
      <c r="L8" s="84" t="s">
        <v>11</v>
      </c>
      <c r="M8" s="84" t="s">
        <v>6</v>
      </c>
      <c r="N8" s="84" t="s">
        <v>9</v>
      </c>
      <c r="O8" s="82" t="s">
        <v>12</v>
      </c>
      <c r="P8" s="82" t="s">
        <v>6</v>
      </c>
      <c r="Q8" s="82" t="s">
        <v>9</v>
      </c>
      <c r="R8" s="83"/>
      <c r="S8" s="84" t="s">
        <v>13</v>
      </c>
      <c r="T8" s="85" t="s">
        <v>9</v>
      </c>
      <c r="U8" s="83"/>
      <c r="V8" s="82" t="s">
        <v>14</v>
      </c>
      <c r="W8" s="82" t="s">
        <v>9</v>
      </c>
      <c r="Y8" s="146" t="s">
        <v>106</v>
      </c>
      <c r="Z8" s="147" t="s">
        <v>107</v>
      </c>
    </row>
    <row r="9" spans="2:26" ht="18" x14ac:dyDescent="0.35">
      <c r="B9" s="86"/>
      <c r="C9" s="87"/>
      <c r="D9" s="88"/>
      <c r="E9" s="89"/>
      <c r="F9" s="90"/>
      <c r="G9" s="91"/>
      <c r="H9" s="92"/>
      <c r="I9" s="93"/>
      <c r="J9" s="83"/>
      <c r="K9" s="83"/>
      <c r="L9" s="3"/>
      <c r="M9" s="4"/>
      <c r="N9" s="5"/>
      <c r="O9" s="6"/>
      <c r="P9" s="7"/>
      <c r="Q9" s="8"/>
      <c r="R9" s="2"/>
      <c r="S9" s="3"/>
      <c r="T9" s="9"/>
      <c r="U9" s="2"/>
      <c r="V9" s="10"/>
      <c r="W9" s="8"/>
      <c r="Y9" s="148" t="s">
        <v>88</v>
      </c>
      <c r="Z9" s="151">
        <f>SUMIF($C$9:$C$129, Y9, $B$9:$B$129)</f>
        <v>0</v>
      </c>
    </row>
    <row r="10" spans="2:26" ht="18" x14ac:dyDescent="0.35">
      <c r="B10" s="95"/>
      <c r="C10" s="96"/>
      <c r="D10" s="97"/>
      <c r="E10" s="98"/>
      <c r="F10" s="90"/>
      <c r="G10" s="91"/>
      <c r="H10" s="92"/>
      <c r="I10" s="93"/>
      <c r="J10" s="83"/>
      <c r="K10" s="83"/>
      <c r="L10" s="12"/>
      <c r="M10" s="13"/>
      <c r="N10" s="14"/>
      <c r="O10" s="11"/>
      <c r="P10" s="15"/>
      <c r="Q10" s="16"/>
      <c r="R10" s="2"/>
      <c r="S10" s="12"/>
      <c r="T10" s="17"/>
      <c r="U10" s="2"/>
      <c r="V10" s="18"/>
      <c r="W10" s="8"/>
      <c r="Y10" s="149" t="s">
        <v>76</v>
      </c>
      <c r="Z10" s="151">
        <f t="shared" ref="Z10:Z11" si="0">SUMIF($C$9:$C$129, Y10, $B$9:$B$129)</f>
        <v>0</v>
      </c>
    </row>
    <row r="11" spans="2:26" ht="18" x14ac:dyDescent="0.35">
      <c r="B11" s="95"/>
      <c r="C11" s="96"/>
      <c r="D11" s="97"/>
      <c r="E11" s="98"/>
      <c r="F11" s="90"/>
      <c r="G11" s="91"/>
      <c r="H11" s="92"/>
      <c r="I11" s="93"/>
      <c r="J11" s="83"/>
      <c r="K11" s="83"/>
      <c r="L11" s="12"/>
      <c r="M11" s="13"/>
      <c r="N11" s="14"/>
      <c r="O11" s="11"/>
      <c r="P11" s="15"/>
      <c r="Q11" s="16"/>
      <c r="R11" s="2"/>
      <c r="S11" s="12"/>
      <c r="T11" s="17"/>
      <c r="U11" s="2"/>
      <c r="V11" s="18"/>
      <c r="W11" s="8"/>
      <c r="Y11" s="149" t="s">
        <v>77</v>
      </c>
      <c r="Z11" s="151">
        <f t="shared" si="0"/>
        <v>0</v>
      </c>
    </row>
    <row r="12" spans="2:26" ht="18" x14ac:dyDescent="0.35">
      <c r="B12" s="95"/>
      <c r="C12" s="96"/>
      <c r="D12" s="97"/>
      <c r="E12" s="98"/>
      <c r="F12" s="90"/>
      <c r="G12" s="91"/>
      <c r="H12" s="92"/>
      <c r="I12" s="93"/>
      <c r="J12" s="83"/>
      <c r="K12" s="83"/>
      <c r="L12" s="12"/>
      <c r="M12" s="13"/>
      <c r="N12" s="14"/>
      <c r="O12" s="11"/>
      <c r="P12" s="15"/>
      <c r="Q12" s="16"/>
      <c r="R12" s="2"/>
      <c r="S12" s="12"/>
      <c r="T12" s="17"/>
      <c r="U12" s="2"/>
      <c r="V12" s="18"/>
      <c r="W12" s="8"/>
      <c r="Y12" s="149" t="s">
        <v>89</v>
      </c>
      <c r="Z12" s="152">
        <f>SUMIF($G$9:$G$129, Y12, $F$9:$F$129)</f>
        <v>0</v>
      </c>
    </row>
    <row r="13" spans="2:26" ht="18" x14ac:dyDescent="0.35">
      <c r="B13" s="95"/>
      <c r="C13" s="96"/>
      <c r="D13" s="97"/>
      <c r="E13" s="98"/>
      <c r="F13" s="90"/>
      <c r="G13" s="91"/>
      <c r="H13" s="92"/>
      <c r="I13" s="93"/>
      <c r="J13" s="83"/>
      <c r="K13" s="83"/>
      <c r="L13" s="12"/>
      <c r="M13" s="13"/>
      <c r="N13" s="14"/>
      <c r="O13" s="11"/>
      <c r="P13" s="15"/>
      <c r="Q13" s="16"/>
      <c r="R13" s="2"/>
      <c r="S13" s="12"/>
      <c r="T13" s="17"/>
      <c r="U13" s="2"/>
      <c r="V13" s="18"/>
      <c r="W13" s="8"/>
      <c r="Y13" s="149" t="s">
        <v>20</v>
      </c>
      <c r="Z13" s="152">
        <f t="shared" ref="Z13:Z76" si="1">SUMIF($G$9:$G$129, Y13, $F$9:$F$129)</f>
        <v>0</v>
      </c>
    </row>
    <row r="14" spans="2:26" ht="18" x14ac:dyDescent="0.35">
      <c r="B14" s="95"/>
      <c r="C14" s="96"/>
      <c r="D14" s="97"/>
      <c r="E14" s="98"/>
      <c r="F14" s="90"/>
      <c r="G14" s="91"/>
      <c r="H14" s="92"/>
      <c r="I14" s="93"/>
      <c r="J14" s="83"/>
      <c r="K14" s="83"/>
      <c r="L14" s="12"/>
      <c r="M14" s="13"/>
      <c r="N14" s="14"/>
      <c r="O14" s="11"/>
      <c r="P14" s="15"/>
      <c r="Q14" s="16"/>
      <c r="R14" s="2"/>
      <c r="S14" s="12"/>
      <c r="T14" s="17"/>
      <c r="U14" s="2"/>
      <c r="V14" s="18"/>
      <c r="W14" s="8"/>
      <c r="Y14" s="149" t="s">
        <v>19</v>
      </c>
      <c r="Z14" s="152">
        <f t="shared" si="1"/>
        <v>0</v>
      </c>
    </row>
    <row r="15" spans="2:26" ht="18" x14ac:dyDescent="0.35">
      <c r="B15" s="95"/>
      <c r="C15" s="96"/>
      <c r="D15" s="97"/>
      <c r="E15" s="98"/>
      <c r="F15" s="90"/>
      <c r="G15" s="91"/>
      <c r="H15" s="92"/>
      <c r="I15" s="93"/>
      <c r="J15" s="83"/>
      <c r="K15" s="83"/>
      <c r="L15" s="12"/>
      <c r="M15" s="13"/>
      <c r="N15" s="14"/>
      <c r="O15" s="11"/>
      <c r="P15" s="15"/>
      <c r="Q15" s="16"/>
      <c r="R15" s="2"/>
      <c r="S15" s="12"/>
      <c r="T15" s="17"/>
      <c r="U15" s="2"/>
      <c r="V15" s="18"/>
      <c r="W15" s="8"/>
      <c r="Y15" s="149" t="s">
        <v>18</v>
      </c>
      <c r="Z15" s="152">
        <f t="shared" si="1"/>
        <v>0</v>
      </c>
    </row>
    <row r="16" spans="2:26" ht="18" x14ac:dyDescent="0.35">
      <c r="B16" s="95"/>
      <c r="C16" s="96"/>
      <c r="D16" s="97"/>
      <c r="E16" s="98"/>
      <c r="F16" s="90"/>
      <c r="G16" s="91"/>
      <c r="H16" s="92"/>
      <c r="I16" s="93"/>
      <c r="J16" s="83"/>
      <c r="K16" s="83"/>
      <c r="L16" s="12"/>
      <c r="M16" s="13"/>
      <c r="N16" s="14"/>
      <c r="O16" s="11"/>
      <c r="P16" s="15"/>
      <c r="Q16" s="16"/>
      <c r="R16" s="2"/>
      <c r="S16" s="12"/>
      <c r="T16" s="17"/>
      <c r="U16" s="2"/>
      <c r="V16" s="18"/>
      <c r="W16" s="8"/>
      <c r="Y16" s="149" t="s">
        <v>22</v>
      </c>
      <c r="Z16" s="152">
        <f t="shared" si="1"/>
        <v>0</v>
      </c>
    </row>
    <row r="17" spans="2:26" ht="18" x14ac:dyDescent="0.35">
      <c r="B17" s="95"/>
      <c r="C17" s="96"/>
      <c r="D17" s="97"/>
      <c r="E17" s="98"/>
      <c r="F17" s="90"/>
      <c r="G17" s="91"/>
      <c r="H17" s="92"/>
      <c r="I17" s="93"/>
      <c r="J17" s="83"/>
      <c r="K17" s="83"/>
      <c r="L17" s="12"/>
      <c r="M17" s="13"/>
      <c r="N17" s="14"/>
      <c r="O17" s="11"/>
      <c r="P17" s="15"/>
      <c r="Q17" s="16"/>
      <c r="R17" s="2"/>
      <c r="S17" s="12"/>
      <c r="T17" s="17"/>
      <c r="U17" s="2"/>
      <c r="V17" s="18"/>
      <c r="W17" s="8"/>
      <c r="Y17" s="149" t="s">
        <v>67</v>
      </c>
      <c r="Z17" s="152">
        <f t="shared" si="1"/>
        <v>0</v>
      </c>
    </row>
    <row r="18" spans="2:26" ht="18" x14ac:dyDescent="0.35">
      <c r="B18" s="95"/>
      <c r="C18" s="96"/>
      <c r="D18" s="97"/>
      <c r="E18" s="98"/>
      <c r="F18" s="90"/>
      <c r="G18" s="91"/>
      <c r="H18" s="92"/>
      <c r="I18" s="93"/>
      <c r="J18" s="83"/>
      <c r="K18" s="83"/>
      <c r="L18" s="12"/>
      <c r="M18" s="13"/>
      <c r="N18" s="14"/>
      <c r="O18" s="11"/>
      <c r="P18" s="15"/>
      <c r="Q18" s="16"/>
      <c r="R18" s="2"/>
      <c r="S18" s="12"/>
      <c r="T18" s="17"/>
      <c r="U18" s="2"/>
      <c r="V18" s="18"/>
      <c r="W18" s="8"/>
      <c r="Y18" s="149" t="s">
        <v>90</v>
      </c>
      <c r="Z18" s="152">
        <f t="shared" si="1"/>
        <v>0</v>
      </c>
    </row>
    <row r="19" spans="2:26" ht="18" x14ac:dyDescent="0.35">
      <c r="B19" s="95"/>
      <c r="C19" s="96"/>
      <c r="D19" s="97"/>
      <c r="E19" s="98"/>
      <c r="F19" s="90"/>
      <c r="G19" s="91"/>
      <c r="H19" s="92"/>
      <c r="I19" s="93"/>
      <c r="J19" s="83"/>
      <c r="K19" s="83"/>
      <c r="L19" s="12"/>
      <c r="M19" s="13"/>
      <c r="N19" s="14"/>
      <c r="O19" s="11"/>
      <c r="P19" s="15"/>
      <c r="Q19" s="16"/>
      <c r="R19" s="2"/>
      <c r="S19" s="12"/>
      <c r="T19" s="17"/>
      <c r="U19" s="2"/>
      <c r="V19" s="18"/>
      <c r="W19" s="8"/>
      <c r="Y19" s="149" t="s">
        <v>91</v>
      </c>
      <c r="Z19" s="152">
        <f t="shared" si="1"/>
        <v>0</v>
      </c>
    </row>
    <row r="20" spans="2:26" ht="18" x14ac:dyDescent="0.35">
      <c r="B20" s="95"/>
      <c r="C20" s="96"/>
      <c r="D20" s="97"/>
      <c r="E20" s="98"/>
      <c r="F20" s="90"/>
      <c r="G20" s="91"/>
      <c r="H20" s="92"/>
      <c r="I20" s="93"/>
      <c r="J20" s="83"/>
      <c r="K20" s="83"/>
      <c r="L20" s="12"/>
      <c r="M20" s="13"/>
      <c r="N20" s="14"/>
      <c r="O20" s="11"/>
      <c r="P20" s="15"/>
      <c r="Q20" s="16"/>
      <c r="R20" s="2"/>
      <c r="S20" s="12"/>
      <c r="T20" s="17"/>
      <c r="U20" s="2"/>
      <c r="V20" s="18"/>
      <c r="W20" s="8"/>
      <c r="Y20" s="149" t="s">
        <v>92</v>
      </c>
      <c r="Z20" s="152">
        <f t="shared" si="1"/>
        <v>0</v>
      </c>
    </row>
    <row r="21" spans="2:26" ht="18" x14ac:dyDescent="0.35">
      <c r="B21" s="95"/>
      <c r="C21" s="96"/>
      <c r="D21" s="97"/>
      <c r="E21" s="98"/>
      <c r="F21" s="90"/>
      <c r="G21" s="91"/>
      <c r="H21" s="92"/>
      <c r="I21" s="93"/>
      <c r="J21" s="83"/>
      <c r="K21" s="83"/>
      <c r="L21" s="12"/>
      <c r="M21" s="13"/>
      <c r="N21" s="14"/>
      <c r="O21" s="11"/>
      <c r="P21" s="15"/>
      <c r="Q21" s="16"/>
      <c r="R21" s="2"/>
      <c r="S21" s="12"/>
      <c r="T21" s="17"/>
      <c r="U21" s="2"/>
      <c r="V21" s="18"/>
      <c r="W21" s="8"/>
      <c r="Y21" s="149" t="s">
        <v>68</v>
      </c>
      <c r="Z21" s="152">
        <f t="shared" si="1"/>
        <v>0</v>
      </c>
    </row>
    <row r="22" spans="2:26" ht="18" x14ac:dyDescent="0.35">
      <c r="B22" s="95"/>
      <c r="C22" s="96"/>
      <c r="D22" s="97"/>
      <c r="E22" s="98"/>
      <c r="F22" s="90"/>
      <c r="G22" s="91"/>
      <c r="H22" s="92"/>
      <c r="I22" s="93"/>
      <c r="J22" s="83"/>
      <c r="K22" s="83"/>
      <c r="L22" s="12"/>
      <c r="M22" s="13"/>
      <c r="N22" s="14"/>
      <c r="O22" s="11"/>
      <c r="P22" s="15"/>
      <c r="Q22" s="16"/>
      <c r="R22" s="2"/>
      <c r="S22" s="12"/>
      <c r="T22" s="17"/>
      <c r="U22" s="2"/>
      <c r="V22" s="18"/>
      <c r="W22" s="8"/>
      <c r="Y22" s="149" t="s">
        <v>93</v>
      </c>
      <c r="Z22" s="152">
        <f t="shared" si="1"/>
        <v>0</v>
      </c>
    </row>
    <row r="23" spans="2:26" ht="18" x14ac:dyDescent="0.35">
      <c r="B23" s="95"/>
      <c r="C23" s="96"/>
      <c r="D23" s="97"/>
      <c r="E23" s="98"/>
      <c r="F23" s="90"/>
      <c r="G23" s="91"/>
      <c r="H23" s="92"/>
      <c r="I23" s="93"/>
      <c r="J23" s="83"/>
      <c r="K23" s="83"/>
      <c r="L23" s="12"/>
      <c r="M23" s="13"/>
      <c r="N23" s="14"/>
      <c r="O23" s="11"/>
      <c r="P23" s="15"/>
      <c r="Q23" s="16"/>
      <c r="R23" s="2"/>
      <c r="S23" s="12"/>
      <c r="T23" s="17"/>
      <c r="U23" s="2"/>
      <c r="V23" s="18"/>
      <c r="W23" s="8"/>
      <c r="Y23" s="149" t="s">
        <v>23</v>
      </c>
      <c r="Z23" s="152">
        <f t="shared" si="1"/>
        <v>0</v>
      </c>
    </row>
    <row r="24" spans="2:26" ht="18" x14ac:dyDescent="0.35">
      <c r="B24" s="95"/>
      <c r="C24" s="96"/>
      <c r="D24" s="97"/>
      <c r="E24" s="98"/>
      <c r="F24" s="90"/>
      <c r="G24" s="91"/>
      <c r="H24" s="92"/>
      <c r="I24" s="93"/>
      <c r="J24" s="83"/>
      <c r="K24" s="83"/>
      <c r="L24" s="12"/>
      <c r="M24" s="13"/>
      <c r="N24" s="14"/>
      <c r="O24" s="11"/>
      <c r="P24" s="15"/>
      <c r="Q24" s="16"/>
      <c r="R24" s="2"/>
      <c r="S24" s="12"/>
      <c r="T24" s="17"/>
      <c r="U24" s="2"/>
      <c r="V24" s="18"/>
      <c r="W24" s="8"/>
      <c r="Y24" s="149" t="s">
        <v>24</v>
      </c>
      <c r="Z24" s="152">
        <f t="shared" si="1"/>
        <v>0</v>
      </c>
    </row>
    <row r="25" spans="2:26" ht="18" x14ac:dyDescent="0.35">
      <c r="B25" s="95"/>
      <c r="C25" s="96"/>
      <c r="D25" s="97"/>
      <c r="E25" s="98"/>
      <c r="F25" s="90"/>
      <c r="G25" s="91"/>
      <c r="H25" s="92"/>
      <c r="I25" s="93"/>
      <c r="J25" s="83"/>
      <c r="K25" s="83"/>
      <c r="L25" s="12"/>
      <c r="M25" s="13"/>
      <c r="N25" s="14"/>
      <c r="O25" s="11"/>
      <c r="P25" s="15"/>
      <c r="Q25" s="16"/>
      <c r="R25" s="2"/>
      <c r="S25" s="12"/>
      <c r="T25" s="17"/>
      <c r="U25" s="2"/>
      <c r="V25" s="18"/>
      <c r="W25" s="8"/>
      <c r="Y25" s="149" t="s">
        <v>25</v>
      </c>
      <c r="Z25" s="152">
        <f t="shared" si="1"/>
        <v>0</v>
      </c>
    </row>
    <row r="26" spans="2:26" ht="18" x14ac:dyDescent="0.35">
      <c r="B26" s="95"/>
      <c r="C26" s="96"/>
      <c r="D26" s="97"/>
      <c r="E26" s="98"/>
      <c r="F26" s="90"/>
      <c r="G26" s="91"/>
      <c r="H26" s="92"/>
      <c r="I26" s="93"/>
      <c r="J26" s="83"/>
      <c r="K26" s="83"/>
      <c r="L26" s="12"/>
      <c r="M26" s="13"/>
      <c r="N26" s="14"/>
      <c r="O26" s="11"/>
      <c r="P26" s="15"/>
      <c r="Q26" s="16"/>
      <c r="R26" s="2"/>
      <c r="S26" s="12"/>
      <c r="T26" s="17"/>
      <c r="U26" s="2"/>
      <c r="V26" s="18"/>
      <c r="W26" s="8"/>
      <c r="Y26" s="149" t="s">
        <v>98</v>
      </c>
      <c r="Z26" s="152">
        <f t="shared" si="1"/>
        <v>0</v>
      </c>
    </row>
    <row r="27" spans="2:26" ht="18" x14ac:dyDescent="0.35">
      <c r="B27" s="95"/>
      <c r="C27" s="96"/>
      <c r="D27" s="97"/>
      <c r="E27" s="98"/>
      <c r="F27" s="90"/>
      <c r="G27" s="91"/>
      <c r="H27" s="92"/>
      <c r="I27" s="93"/>
      <c r="J27" s="83"/>
      <c r="K27" s="83"/>
      <c r="L27" s="12"/>
      <c r="M27" s="13"/>
      <c r="N27" s="14"/>
      <c r="O27" s="11"/>
      <c r="P27" s="15"/>
      <c r="Q27" s="16"/>
      <c r="R27" s="2"/>
      <c r="S27" s="12"/>
      <c r="T27" s="17"/>
      <c r="U27" s="2"/>
      <c r="V27" s="18"/>
      <c r="W27" s="8"/>
      <c r="Y27" s="149" t="s">
        <v>94</v>
      </c>
      <c r="Z27" s="152">
        <f t="shared" si="1"/>
        <v>0</v>
      </c>
    </row>
    <row r="28" spans="2:26" ht="18" x14ac:dyDescent="0.35">
      <c r="B28" s="95"/>
      <c r="C28" s="96"/>
      <c r="D28" s="97"/>
      <c r="E28" s="98"/>
      <c r="F28" s="90"/>
      <c r="G28" s="91"/>
      <c r="H28" s="92"/>
      <c r="I28" s="93"/>
      <c r="J28" s="83"/>
      <c r="K28" s="83"/>
      <c r="L28" s="12"/>
      <c r="M28" s="13"/>
      <c r="N28" s="14"/>
      <c r="O28" s="11"/>
      <c r="P28" s="15"/>
      <c r="Q28" s="16"/>
      <c r="R28" s="2"/>
      <c r="S28" s="12"/>
      <c r="T28" s="17"/>
      <c r="U28" s="2"/>
      <c r="V28" s="18"/>
      <c r="W28" s="8"/>
      <c r="Y28" s="149" t="s">
        <v>42</v>
      </c>
      <c r="Z28" s="152">
        <f t="shared" si="1"/>
        <v>0</v>
      </c>
    </row>
    <row r="29" spans="2:26" ht="18" x14ac:dyDescent="0.35">
      <c r="B29" s="95"/>
      <c r="C29" s="96"/>
      <c r="D29" s="97"/>
      <c r="E29" s="98"/>
      <c r="F29" s="90"/>
      <c r="G29" s="91"/>
      <c r="H29" s="92"/>
      <c r="I29" s="93"/>
      <c r="J29" s="83"/>
      <c r="K29" s="83"/>
      <c r="L29" s="12"/>
      <c r="M29" s="13"/>
      <c r="N29" s="14"/>
      <c r="O29" s="11"/>
      <c r="P29" s="15"/>
      <c r="Q29" s="16"/>
      <c r="R29" s="2"/>
      <c r="S29" s="12"/>
      <c r="T29" s="17"/>
      <c r="U29" s="2"/>
      <c r="V29" s="18"/>
      <c r="W29" s="8"/>
      <c r="Y29" s="149" t="s">
        <v>39</v>
      </c>
      <c r="Z29" s="152">
        <f t="shared" si="1"/>
        <v>0</v>
      </c>
    </row>
    <row r="30" spans="2:26" ht="18" x14ac:dyDescent="0.35">
      <c r="B30" s="95"/>
      <c r="C30" s="96"/>
      <c r="D30" s="97"/>
      <c r="E30" s="98"/>
      <c r="F30" s="90"/>
      <c r="G30" s="91"/>
      <c r="H30" s="92"/>
      <c r="I30" s="93"/>
      <c r="J30" s="83"/>
      <c r="K30" s="83"/>
      <c r="L30" s="12"/>
      <c r="M30" s="13"/>
      <c r="N30" s="14"/>
      <c r="O30" s="11"/>
      <c r="P30" s="15"/>
      <c r="Q30" s="16"/>
      <c r="R30" s="2"/>
      <c r="S30" s="12"/>
      <c r="T30" s="17"/>
      <c r="U30" s="2"/>
      <c r="V30" s="18"/>
      <c r="W30" s="8"/>
      <c r="Y30" s="149" t="s">
        <v>99</v>
      </c>
      <c r="Z30" s="152">
        <f t="shared" si="1"/>
        <v>0</v>
      </c>
    </row>
    <row r="31" spans="2:26" ht="18" x14ac:dyDescent="0.35">
      <c r="B31" s="95"/>
      <c r="C31" s="96"/>
      <c r="D31" s="97"/>
      <c r="E31" s="98"/>
      <c r="F31" s="90"/>
      <c r="G31" s="91"/>
      <c r="H31" s="92"/>
      <c r="I31" s="93"/>
      <c r="J31" s="83"/>
      <c r="K31" s="83"/>
      <c r="L31" s="12"/>
      <c r="M31" s="13"/>
      <c r="N31" s="14"/>
      <c r="O31" s="11"/>
      <c r="P31" s="15"/>
      <c r="Q31" s="16"/>
      <c r="R31" s="2"/>
      <c r="S31" s="12"/>
      <c r="T31" s="17"/>
      <c r="U31" s="2"/>
      <c r="V31" s="18"/>
      <c r="W31" s="8"/>
      <c r="Y31" s="149" t="s">
        <v>95</v>
      </c>
      <c r="Z31" s="152">
        <f t="shared" si="1"/>
        <v>0</v>
      </c>
    </row>
    <row r="32" spans="2:26" ht="18" x14ac:dyDescent="0.35">
      <c r="B32" s="95"/>
      <c r="C32" s="96"/>
      <c r="D32" s="97"/>
      <c r="E32" s="98"/>
      <c r="F32" s="90"/>
      <c r="G32" s="91"/>
      <c r="H32" s="92"/>
      <c r="I32" s="93"/>
      <c r="J32" s="83"/>
      <c r="K32" s="83"/>
      <c r="L32" s="12"/>
      <c r="M32" s="13"/>
      <c r="N32" s="14"/>
      <c r="O32" s="11"/>
      <c r="P32" s="15"/>
      <c r="Q32" s="16"/>
      <c r="R32" s="2"/>
      <c r="S32" s="12"/>
      <c r="T32" s="17"/>
      <c r="U32" s="2"/>
      <c r="V32" s="18"/>
      <c r="W32" s="8"/>
      <c r="Y32" s="149" t="s">
        <v>97</v>
      </c>
      <c r="Z32" s="152">
        <f t="shared" si="1"/>
        <v>0</v>
      </c>
    </row>
    <row r="33" spans="2:26" ht="18" x14ac:dyDescent="0.35">
      <c r="B33" s="95"/>
      <c r="C33" s="96"/>
      <c r="D33" s="97"/>
      <c r="E33" s="98"/>
      <c r="F33" s="90"/>
      <c r="G33" s="91"/>
      <c r="H33" s="92"/>
      <c r="I33" s="93"/>
      <c r="J33" s="83"/>
      <c r="K33" s="83"/>
      <c r="L33" s="12"/>
      <c r="M33" s="13"/>
      <c r="N33" s="14"/>
      <c r="O33" s="11"/>
      <c r="P33" s="15"/>
      <c r="Q33" s="16"/>
      <c r="R33" s="2"/>
      <c r="S33" s="12"/>
      <c r="T33" s="17"/>
      <c r="U33" s="2"/>
      <c r="V33" s="18"/>
      <c r="W33" s="8"/>
      <c r="Y33" s="149" t="s">
        <v>43</v>
      </c>
      <c r="Z33" s="152">
        <f t="shared" si="1"/>
        <v>0</v>
      </c>
    </row>
    <row r="34" spans="2:26" ht="18" x14ac:dyDescent="0.35">
      <c r="B34" s="95"/>
      <c r="C34" s="96"/>
      <c r="D34" s="97"/>
      <c r="E34" s="98"/>
      <c r="F34" s="90"/>
      <c r="G34" s="91"/>
      <c r="H34" s="92"/>
      <c r="I34" s="93"/>
      <c r="J34" s="83"/>
      <c r="K34" s="83"/>
      <c r="L34" s="12"/>
      <c r="M34" s="13"/>
      <c r="N34" s="14"/>
      <c r="O34" s="11"/>
      <c r="P34" s="15"/>
      <c r="Q34" s="16"/>
      <c r="R34" s="2"/>
      <c r="S34" s="12"/>
      <c r="T34" s="17"/>
      <c r="U34" s="2"/>
      <c r="V34" s="18"/>
      <c r="W34" s="8"/>
      <c r="Y34" s="149" t="s">
        <v>32</v>
      </c>
      <c r="Z34" s="152">
        <f t="shared" si="1"/>
        <v>0</v>
      </c>
    </row>
    <row r="35" spans="2:26" ht="18" x14ac:dyDescent="0.35">
      <c r="B35" s="95"/>
      <c r="C35" s="96"/>
      <c r="D35" s="97"/>
      <c r="E35" s="98"/>
      <c r="F35" s="90"/>
      <c r="G35" s="91"/>
      <c r="H35" s="92"/>
      <c r="I35" s="93"/>
      <c r="J35" s="83"/>
      <c r="K35" s="83"/>
      <c r="L35" s="12"/>
      <c r="M35" s="13"/>
      <c r="N35" s="14"/>
      <c r="O35" s="11"/>
      <c r="P35" s="15"/>
      <c r="Q35" s="16"/>
      <c r="R35" s="2"/>
      <c r="S35" s="12"/>
      <c r="T35" s="17"/>
      <c r="U35" s="2"/>
      <c r="V35" s="18"/>
      <c r="W35" s="8"/>
      <c r="Y35" s="149" t="s">
        <v>33</v>
      </c>
      <c r="Z35" s="152">
        <f t="shared" si="1"/>
        <v>0</v>
      </c>
    </row>
    <row r="36" spans="2:26" ht="18" x14ac:dyDescent="0.35">
      <c r="B36" s="95"/>
      <c r="C36" s="96"/>
      <c r="D36" s="97"/>
      <c r="E36" s="98"/>
      <c r="F36" s="90"/>
      <c r="G36" s="91"/>
      <c r="H36" s="92"/>
      <c r="I36" s="93"/>
      <c r="J36" s="83"/>
      <c r="K36" s="83"/>
      <c r="L36" s="12"/>
      <c r="M36" s="13"/>
      <c r="N36" s="14"/>
      <c r="O36" s="11"/>
      <c r="P36" s="15"/>
      <c r="Q36" s="16"/>
      <c r="R36" s="2"/>
      <c r="S36" s="12"/>
      <c r="T36" s="17"/>
      <c r="U36" s="2"/>
      <c r="V36" s="18"/>
      <c r="W36" s="8"/>
      <c r="Y36" s="149" t="s">
        <v>30</v>
      </c>
      <c r="Z36" s="152">
        <f t="shared" si="1"/>
        <v>0</v>
      </c>
    </row>
    <row r="37" spans="2:26" ht="18" x14ac:dyDescent="0.35">
      <c r="B37" s="95"/>
      <c r="C37" s="96"/>
      <c r="D37" s="97"/>
      <c r="E37" s="98"/>
      <c r="F37" s="90"/>
      <c r="G37" s="91"/>
      <c r="H37" s="92"/>
      <c r="I37" s="93"/>
      <c r="J37" s="83"/>
      <c r="K37" s="83"/>
      <c r="L37" s="12"/>
      <c r="M37" s="13"/>
      <c r="N37" s="14"/>
      <c r="O37" s="11"/>
      <c r="P37" s="15"/>
      <c r="Q37" s="16"/>
      <c r="R37" s="2"/>
      <c r="S37" s="12"/>
      <c r="T37" s="17"/>
      <c r="U37" s="2"/>
      <c r="V37" s="18"/>
      <c r="W37" s="8"/>
      <c r="Y37" s="149" t="s">
        <v>31</v>
      </c>
      <c r="Z37" s="152">
        <f t="shared" si="1"/>
        <v>0</v>
      </c>
    </row>
    <row r="38" spans="2:26" ht="18" x14ac:dyDescent="0.35">
      <c r="B38" s="95"/>
      <c r="C38" s="96"/>
      <c r="D38" s="97"/>
      <c r="E38" s="98"/>
      <c r="F38" s="90"/>
      <c r="G38" s="91"/>
      <c r="H38" s="92"/>
      <c r="I38" s="93"/>
      <c r="J38" s="83"/>
      <c r="K38" s="83"/>
      <c r="L38" s="12"/>
      <c r="M38" s="13"/>
      <c r="N38" s="14"/>
      <c r="O38" s="11"/>
      <c r="P38" s="15"/>
      <c r="Q38" s="16"/>
      <c r="R38" s="2"/>
      <c r="S38" s="12"/>
      <c r="T38" s="17"/>
      <c r="U38" s="2"/>
      <c r="V38" s="18"/>
      <c r="W38" s="8"/>
      <c r="Y38" s="149" t="s">
        <v>84</v>
      </c>
      <c r="Z38" s="152">
        <f t="shared" si="1"/>
        <v>0</v>
      </c>
    </row>
    <row r="39" spans="2:26" ht="18" x14ac:dyDescent="0.35">
      <c r="B39" s="95"/>
      <c r="C39" s="96"/>
      <c r="D39" s="97"/>
      <c r="E39" s="98"/>
      <c r="F39" s="90"/>
      <c r="G39" s="91"/>
      <c r="H39" s="92"/>
      <c r="I39" s="93"/>
      <c r="J39" s="83"/>
      <c r="K39" s="83"/>
      <c r="L39" s="12"/>
      <c r="M39" s="13"/>
      <c r="N39" s="14"/>
      <c r="O39" s="11"/>
      <c r="P39" s="15"/>
      <c r="Q39" s="16"/>
      <c r="R39" s="2"/>
      <c r="S39" s="12"/>
      <c r="T39" s="17"/>
      <c r="U39" s="2"/>
      <c r="V39" s="18"/>
      <c r="W39" s="8"/>
      <c r="Y39" s="149" t="s">
        <v>85</v>
      </c>
      <c r="Z39" s="152">
        <f t="shared" si="1"/>
        <v>0</v>
      </c>
    </row>
    <row r="40" spans="2:26" ht="18" x14ac:dyDescent="0.35">
      <c r="B40" s="95"/>
      <c r="C40" s="96"/>
      <c r="D40" s="97"/>
      <c r="E40" s="98"/>
      <c r="F40" s="90"/>
      <c r="G40" s="91"/>
      <c r="H40" s="92"/>
      <c r="I40" s="93"/>
      <c r="J40" s="83"/>
      <c r="K40" s="83"/>
      <c r="L40" s="12"/>
      <c r="M40" s="13"/>
      <c r="N40" s="14"/>
      <c r="O40" s="11"/>
      <c r="P40" s="15"/>
      <c r="Q40" s="16"/>
      <c r="R40" s="2"/>
      <c r="S40" s="12"/>
      <c r="T40" s="17"/>
      <c r="U40" s="2"/>
      <c r="V40" s="18"/>
      <c r="W40" s="8"/>
      <c r="Y40" s="149" t="s">
        <v>86</v>
      </c>
      <c r="Z40" s="152">
        <f t="shared" si="1"/>
        <v>0</v>
      </c>
    </row>
    <row r="41" spans="2:26" ht="18" x14ac:dyDescent="0.35">
      <c r="B41" s="95"/>
      <c r="C41" s="96"/>
      <c r="D41" s="97"/>
      <c r="E41" s="98"/>
      <c r="F41" s="90"/>
      <c r="G41" s="91"/>
      <c r="H41" s="92"/>
      <c r="I41" s="93"/>
      <c r="J41" s="83"/>
      <c r="K41" s="83"/>
      <c r="L41" s="12"/>
      <c r="M41" s="13"/>
      <c r="N41" s="14"/>
      <c r="O41" s="11"/>
      <c r="P41" s="15"/>
      <c r="Q41" s="16"/>
      <c r="R41" s="2"/>
      <c r="S41" s="12"/>
      <c r="T41" s="17"/>
      <c r="U41" s="2"/>
      <c r="V41" s="18"/>
      <c r="W41" s="8"/>
      <c r="Y41" s="149" t="s">
        <v>87</v>
      </c>
      <c r="Z41" s="152">
        <f t="shared" si="1"/>
        <v>0</v>
      </c>
    </row>
    <row r="42" spans="2:26" ht="18" x14ac:dyDescent="0.35">
      <c r="B42" s="95"/>
      <c r="C42" s="96"/>
      <c r="D42" s="97"/>
      <c r="E42" s="98"/>
      <c r="F42" s="90"/>
      <c r="G42" s="91"/>
      <c r="H42" s="92"/>
      <c r="I42" s="93"/>
      <c r="J42" s="83"/>
      <c r="K42" s="83"/>
      <c r="L42" s="12"/>
      <c r="M42" s="13"/>
      <c r="N42" s="14"/>
      <c r="O42" s="11"/>
      <c r="P42" s="15"/>
      <c r="Q42" s="16"/>
      <c r="R42" s="2"/>
      <c r="S42" s="12"/>
      <c r="T42" s="17"/>
      <c r="U42" s="2"/>
      <c r="V42" s="18"/>
      <c r="W42" s="8"/>
      <c r="Y42" s="149" t="s">
        <v>46</v>
      </c>
      <c r="Z42" s="152">
        <f t="shared" si="1"/>
        <v>0</v>
      </c>
    </row>
    <row r="43" spans="2:26" ht="18" x14ac:dyDescent="0.35">
      <c r="B43" s="95"/>
      <c r="C43" s="96"/>
      <c r="D43" s="97"/>
      <c r="E43" s="98"/>
      <c r="F43" s="90"/>
      <c r="G43" s="91"/>
      <c r="H43" s="92"/>
      <c r="I43" s="93"/>
      <c r="J43" s="83"/>
      <c r="K43" s="83"/>
      <c r="L43" s="12"/>
      <c r="M43" s="13"/>
      <c r="N43" s="14"/>
      <c r="O43" s="11"/>
      <c r="P43" s="15"/>
      <c r="Q43" s="16"/>
      <c r="R43" s="2"/>
      <c r="S43" s="12"/>
      <c r="T43" s="17"/>
      <c r="U43" s="2"/>
      <c r="V43" s="18"/>
      <c r="W43" s="8"/>
      <c r="Y43" s="149" t="s">
        <v>47</v>
      </c>
      <c r="Z43" s="152">
        <f t="shared" si="1"/>
        <v>0</v>
      </c>
    </row>
    <row r="44" spans="2:26" ht="18" x14ac:dyDescent="0.35">
      <c r="B44" s="95"/>
      <c r="C44" s="96"/>
      <c r="D44" s="97"/>
      <c r="E44" s="98"/>
      <c r="F44" s="90"/>
      <c r="G44" s="91"/>
      <c r="H44" s="92"/>
      <c r="I44" s="93"/>
      <c r="J44" s="83"/>
      <c r="K44" s="83"/>
      <c r="L44" s="12"/>
      <c r="M44" s="13"/>
      <c r="N44" s="14"/>
      <c r="O44" s="11"/>
      <c r="P44" s="15"/>
      <c r="Q44" s="16"/>
      <c r="R44" s="2"/>
      <c r="S44" s="12"/>
      <c r="T44" s="17"/>
      <c r="U44" s="2"/>
      <c r="V44" s="18"/>
      <c r="W44" s="8"/>
      <c r="Y44" s="149" t="s">
        <v>48</v>
      </c>
      <c r="Z44" s="152">
        <f t="shared" si="1"/>
        <v>0</v>
      </c>
    </row>
    <row r="45" spans="2:26" ht="18" x14ac:dyDescent="0.35">
      <c r="B45" s="95"/>
      <c r="C45" s="96"/>
      <c r="D45" s="97"/>
      <c r="E45" s="98"/>
      <c r="F45" s="90"/>
      <c r="G45" s="91"/>
      <c r="H45" s="92"/>
      <c r="I45" s="93"/>
      <c r="J45" s="83"/>
      <c r="K45" s="83"/>
      <c r="L45" s="12"/>
      <c r="M45" s="13"/>
      <c r="N45" s="14"/>
      <c r="O45" s="11"/>
      <c r="P45" s="15"/>
      <c r="Q45" s="16"/>
      <c r="R45" s="2"/>
      <c r="S45" s="12"/>
      <c r="T45" s="17"/>
      <c r="U45" s="2"/>
      <c r="V45" s="18"/>
      <c r="W45" s="8"/>
      <c r="Y45" s="149" t="s">
        <v>83</v>
      </c>
      <c r="Z45" s="152">
        <f t="shared" si="1"/>
        <v>0</v>
      </c>
    </row>
    <row r="46" spans="2:26" ht="18" x14ac:dyDescent="0.35">
      <c r="B46" s="95"/>
      <c r="C46" s="96"/>
      <c r="D46" s="97"/>
      <c r="E46" s="98"/>
      <c r="F46" s="90"/>
      <c r="G46" s="91"/>
      <c r="H46" s="92"/>
      <c r="I46" s="93"/>
      <c r="J46" s="83"/>
      <c r="K46" s="83"/>
      <c r="L46" s="12"/>
      <c r="M46" s="13"/>
      <c r="N46" s="14"/>
      <c r="O46" s="11"/>
      <c r="P46" s="15"/>
      <c r="Q46" s="16"/>
      <c r="R46" s="2"/>
      <c r="S46" s="12"/>
      <c r="T46" s="17"/>
      <c r="U46" s="2"/>
      <c r="V46" s="18"/>
      <c r="W46" s="8"/>
      <c r="Y46" s="149" t="s">
        <v>96</v>
      </c>
      <c r="Z46" s="152">
        <f t="shared" si="1"/>
        <v>0</v>
      </c>
    </row>
    <row r="47" spans="2:26" ht="18" x14ac:dyDescent="0.35">
      <c r="B47" s="95"/>
      <c r="C47" s="96"/>
      <c r="D47" s="97"/>
      <c r="E47" s="98"/>
      <c r="F47" s="90"/>
      <c r="G47" s="91"/>
      <c r="H47" s="92"/>
      <c r="I47" s="93"/>
      <c r="J47" s="83"/>
      <c r="K47" s="83"/>
      <c r="L47" s="12"/>
      <c r="M47" s="13"/>
      <c r="N47" s="14"/>
      <c r="O47" s="11"/>
      <c r="P47" s="15"/>
      <c r="Q47" s="16"/>
      <c r="R47" s="2"/>
      <c r="S47" s="12"/>
      <c r="T47" s="17"/>
      <c r="U47" s="2"/>
      <c r="V47" s="18"/>
      <c r="W47" s="8"/>
      <c r="Y47" s="149" t="s">
        <v>73</v>
      </c>
      <c r="Z47" s="152">
        <f t="shared" si="1"/>
        <v>0</v>
      </c>
    </row>
    <row r="48" spans="2:26" ht="18" x14ac:dyDescent="0.35">
      <c r="B48" s="95"/>
      <c r="C48" s="96"/>
      <c r="D48" s="97"/>
      <c r="E48" s="98"/>
      <c r="F48" s="90"/>
      <c r="G48" s="91"/>
      <c r="H48" s="92"/>
      <c r="I48" s="93"/>
      <c r="J48" s="83"/>
      <c r="K48" s="83"/>
      <c r="L48" s="12"/>
      <c r="M48" s="13"/>
      <c r="N48" s="14"/>
      <c r="O48" s="11"/>
      <c r="P48" s="15"/>
      <c r="Q48" s="16"/>
      <c r="R48" s="2"/>
      <c r="S48" s="12"/>
      <c r="T48" s="17"/>
      <c r="U48" s="2"/>
      <c r="V48" s="18"/>
      <c r="W48" s="8"/>
      <c r="Y48" s="149" t="s">
        <v>74</v>
      </c>
      <c r="Z48" s="152">
        <f t="shared" si="1"/>
        <v>0</v>
      </c>
    </row>
    <row r="49" spans="2:26" ht="18" x14ac:dyDescent="0.35">
      <c r="B49" s="95"/>
      <c r="C49" s="96"/>
      <c r="D49" s="97"/>
      <c r="E49" s="98"/>
      <c r="F49" s="90"/>
      <c r="G49" s="91"/>
      <c r="H49" s="92"/>
      <c r="I49" s="93"/>
      <c r="J49" s="83"/>
      <c r="K49" s="83"/>
      <c r="L49" s="12"/>
      <c r="M49" s="13"/>
      <c r="N49" s="14"/>
      <c r="O49" s="11"/>
      <c r="P49" s="15"/>
      <c r="Q49" s="16"/>
      <c r="R49" s="2"/>
      <c r="S49" s="12"/>
      <c r="T49" s="17"/>
      <c r="U49" s="2"/>
      <c r="V49" s="18"/>
      <c r="W49" s="8"/>
      <c r="Y49" s="149" t="s">
        <v>70</v>
      </c>
      <c r="Z49" s="152">
        <f t="shared" si="1"/>
        <v>0</v>
      </c>
    </row>
    <row r="50" spans="2:26" ht="18" x14ac:dyDescent="0.35">
      <c r="B50" s="95"/>
      <c r="C50" s="96"/>
      <c r="D50" s="97"/>
      <c r="E50" s="98"/>
      <c r="F50" s="90"/>
      <c r="G50" s="91"/>
      <c r="H50" s="92"/>
      <c r="I50" s="93"/>
      <c r="J50" s="83"/>
      <c r="K50" s="83"/>
      <c r="L50" s="12"/>
      <c r="M50" s="13"/>
      <c r="N50" s="14"/>
      <c r="O50" s="11"/>
      <c r="P50" s="15"/>
      <c r="Q50" s="16"/>
      <c r="R50" s="2"/>
      <c r="S50" s="12"/>
      <c r="T50" s="17"/>
      <c r="U50" s="2"/>
      <c r="V50" s="18"/>
      <c r="W50" s="8"/>
      <c r="Y50" s="149" t="s">
        <v>64</v>
      </c>
      <c r="Z50" s="152">
        <f t="shared" si="1"/>
        <v>0</v>
      </c>
    </row>
    <row r="51" spans="2:26" ht="18" x14ac:dyDescent="0.35">
      <c r="B51" s="95"/>
      <c r="C51" s="96"/>
      <c r="D51" s="97"/>
      <c r="E51" s="98"/>
      <c r="F51" s="90"/>
      <c r="G51" s="91"/>
      <c r="H51" s="92"/>
      <c r="I51" s="93"/>
      <c r="J51" s="83"/>
      <c r="K51" s="83"/>
      <c r="L51" s="12"/>
      <c r="M51" s="13"/>
      <c r="N51" s="14"/>
      <c r="O51" s="11"/>
      <c r="P51" s="15"/>
      <c r="Q51" s="16"/>
      <c r="R51" s="2"/>
      <c r="S51" s="12"/>
      <c r="T51" s="17"/>
      <c r="U51" s="2"/>
      <c r="V51" s="18"/>
      <c r="W51" s="8"/>
      <c r="Y51" s="149" t="s">
        <v>65</v>
      </c>
      <c r="Z51" s="152">
        <f t="shared" si="1"/>
        <v>0</v>
      </c>
    </row>
    <row r="52" spans="2:26" ht="18" x14ac:dyDescent="0.35">
      <c r="B52" s="95"/>
      <c r="C52" s="96"/>
      <c r="D52" s="97"/>
      <c r="E52" s="98"/>
      <c r="F52" s="90"/>
      <c r="G52" s="91"/>
      <c r="H52" s="92"/>
      <c r="I52" s="93"/>
      <c r="J52" s="83"/>
      <c r="K52" s="83"/>
      <c r="L52" s="12"/>
      <c r="M52" s="13"/>
      <c r="N52" s="14"/>
      <c r="O52" s="11"/>
      <c r="P52" s="15"/>
      <c r="Q52" s="16"/>
      <c r="R52" s="2"/>
      <c r="S52" s="12"/>
      <c r="T52" s="17"/>
      <c r="U52" s="2"/>
      <c r="V52" s="18"/>
      <c r="W52" s="8"/>
      <c r="Y52" s="149" t="s">
        <v>66</v>
      </c>
      <c r="Z52" s="152">
        <f t="shared" si="1"/>
        <v>0</v>
      </c>
    </row>
    <row r="53" spans="2:26" ht="18" x14ac:dyDescent="0.35">
      <c r="B53" s="95"/>
      <c r="C53" s="96"/>
      <c r="D53" s="97"/>
      <c r="E53" s="98"/>
      <c r="F53" s="90"/>
      <c r="G53" s="91"/>
      <c r="H53" s="92"/>
      <c r="I53" s="93"/>
      <c r="J53" s="83"/>
      <c r="K53" s="83"/>
      <c r="L53" s="12"/>
      <c r="M53" s="13"/>
      <c r="N53" s="14"/>
      <c r="O53" s="11"/>
      <c r="P53" s="15"/>
      <c r="Q53" s="16"/>
      <c r="R53" s="2"/>
      <c r="S53" s="12"/>
      <c r="T53" s="17"/>
      <c r="U53" s="2"/>
      <c r="V53" s="18"/>
      <c r="W53" s="8"/>
      <c r="Y53" s="149" t="s">
        <v>100</v>
      </c>
      <c r="Z53" s="152">
        <f t="shared" si="1"/>
        <v>0</v>
      </c>
    </row>
    <row r="54" spans="2:26" ht="18" x14ac:dyDescent="0.35">
      <c r="B54" s="95"/>
      <c r="C54" s="96"/>
      <c r="D54" s="97"/>
      <c r="E54" s="98"/>
      <c r="F54" s="90"/>
      <c r="G54" s="91"/>
      <c r="H54" s="92"/>
      <c r="I54" s="93"/>
      <c r="J54" s="83"/>
      <c r="K54" s="83"/>
      <c r="L54" s="12"/>
      <c r="M54" s="13"/>
      <c r="N54" s="14"/>
      <c r="O54" s="11"/>
      <c r="P54" s="15"/>
      <c r="Q54" s="16"/>
      <c r="R54" s="2"/>
      <c r="S54" s="12"/>
      <c r="T54" s="17"/>
      <c r="U54" s="2"/>
      <c r="V54" s="18"/>
      <c r="W54" s="8"/>
      <c r="Y54" s="149" t="s">
        <v>101</v>
      </c>
      <c r="Z54" s="152">
        <f t="shared" si="1"/>
        <v>0</v>
      </c>
    </row>
    <row r="55" spans="2:26" ht="18" x14ac:dyDescent="0.35">
      <c r="B55" s="95"/>
      <c r="C55" s="96"/>
      <c r="D55" s="97"/>
      <c r="E55" s="98"/>
      <c r="F55" s="90"/>
      <c r="G55" s="91"/>
      <c r="H55" s="92"/>
      <c r="I55" s="93"/>
      <c r="J55" s="83"/>
      <c r="K55" s="83"/>
      <c r="L55" s="12"/>
      <c r="M55" s="13"/>
      <c r="N55" s="14"/>
      <c r="O55" s="11"/>
      <c r="P55" s="15"/>
      <c r="Q55" s="16"/>
      <c r="R55" s="2"/>
      <c r="S55" s="12"/>
      <c r="T55" s="17"/>
      <c r="U55" s="2"/>
      <c r="V55" s="18"/>
      <c r="W55" s="8"/>
      <c r="Y55" s="149" t="s">
        <v>102</v>
      </c>
      <c r="Z55" s="152">
        <f t="shared" si="1"/>
        <v>0</v>
      </c>
    </row>
    <row r="56" spans="2:26" ht="18" x14ac:dyDescent="0.35">
      <c r="B56" s="95"/>
      <c r="C56" s="96"/>
      <c r="D56" s="97"/>
      <c r="E56" s="98"/>
      <c r="F56" s="90"/>
      <c r="G56" s="91"/>
      <c r="H56" s="92"/>
      <c r="I56" s="93"/>
      <c r="J56" s="83"/>
      <c r="K56" s="83"/>
      <c r="L56" s="12"/>
      <c r="M56" s="13"/>
      <c r="N56" s="14"/>
      <c r="O56" s="11"/>
      <c r="P56" s="15"/>
      <c r="Q56" s="16"/>
      <c r="R56" s="2"/>
      <c r="S56" s="12"/>
      <c r="T56" s="17"/>
      <c r="U56" s="2"/>
      <c r="V56" s="18"/>
      <c r="W56" s="8"/>
      <c r="Y56" s="149" t="s">
        <v>26</v>
      </c>
      <c r="Z56" s="152">
        <f t="shared" si="1"/>
        <v>0</v>
      </c>
    </row>
    <row r="57" spans="2:26" ht="18" x14ac:dyDescent="0.35">
      <c r="B57" s="95"/>
      <c r="C57" s="96"/>
      <c r="D57" s="97"/>
      <c r="E57" s="98"/>
      <c r="F57" s="90"/>
      <c r="G57" s="91"/>
      <c r="H57" s="92"/>
      <c r="I57" s="93"/>
      <c r="J57" s="83"/>
      <c r="K57" s="83"/>
      <c r="L57" s="12"/>
      <c r="M57" s="13"/>
      <c r="N57" s="14"/>
      <c r="O57" s="11"/>
      <c r="P57" s="15"/>
      <c r="Q57" s="16"/>
      <c r="R57" s="2"/>
      <c r="S57" s="12"/>
      <c r="T57" s="17"/>
      <c r="U57" s="2"/>
      <c r="V57" s="18"/>
      <c r="W57" s="8"/>
      <c r="Y57" s="149" t="s">
        <v>27</v>
      </c>
      <c r="Z57" s="152">
        <f t="shared" si="1"/>
        <v>0</v>
      </c>
    </row>
    <row r="58" spans="2:26" ht="18" x14ac:dyDescent="0.35">
      <c r="B58" s="95"/>
      <c r="C58" s="96"/>
      <c r="D58" s="97"/>
      <c r="E58" s="98"/>
      <c r="F58" s="90"/>
      <c r="G58" s="91"/>
      <c r="H58" s="92"/>
      <c r="I58" s="93"/>
      <c r="J58" s="83"/>
      <c r="K58" s="83"/>
      <c r="L58" s="12"/>
      <c r="M58" s="13"/>
      <c r="N58" s="14"/>
      <c r="O58" s="11"/>
      <c r="P58" s="15"/>
      <c r="Q58" s="16"/>
      <c r="R58" s="2"/>
      <c r="S58" s="12"/>
      <c r="T58" s="17"/>
      <c r="U58" s="2"/>
      <c r="V58" s="18"/>
      <c r="W58" s="8"/>
      <c r="Y58" s="149" t="s">
        <v>28</v>
      </c>
      <c r="Z58" s="152">
        <f t="shared" si="1"/>
        <v>0</v>
      </c>
    </row>
    <row r="59" spans="2:26" ht="18" x14ac:dyDescent="0.35">
      <c r="B59" s="95"/>
      <c r="C59" s="96"/>
      <c r="D59" s="97"/>
      <c r="E59" s="98"/>
      <c r="F59" s="90"/>
      <c r="G59" s="91"/>
      <c r="H59" s="92"/>
      <c r="I59" s="93"/>
      <c r="J59" s="83"/>
      <c r="K59" s="83"/>
      <c r="L59" s="12"/>
      <c r="M59" s="13"/>
      <c r="N59" s="14"/>
      <c r="O59" s="11"/>
      <c r="P59" s="15"/>
      <c r="Q59" s="16"/>
      <c r="R59" s="2"/>
      <c r="S59" s="12"/>
      <c r="T59" s="17"/>
      <c r="U59" s="2"/>
      <c r="V59" s="18"/>
      <c r="W59" s="8"/>
      <c r="Y59" s="149" t="s">
        <v>29</v>
      </c>
      <c r="Z59" s="152">
        <f t="shared" si="1"/>
        <v>0</v>
      </c>
    </row>
    <row r="60" spans="2:26" ht="18" x14ac:dyDescent="0.35">
      <c r="B60" s="95"/>
      <c r="C60" s="96"/>
      <c r="D60" s="97"/>
      <c r="E60" s="98"/>
      <c r="F60" s="90"/>
      <c r="G60" s="91"/>
      <c r="H60" s="92"/>
      <c r="I60" s="93"/>
      <c r="J60" s="83"/>
      <c r="K60" s="83"/>
      <c r="L60" s="12"/>
      <c r="M60" s="13"/>
      <c r="N60" s="14"/>
      <c r="O60" s="11"/>
      <c r="P60" s="15"/>
      <c r="Q60" s="16"/>
      <c r="R60" s="2"/>
      <c r="S60" s="12"/>
      <c r="T60" s="17"/>
      <c r="U60" s="2"/>
      <c r="V60" s="18"/>
      <c r="W60" s="8"/>
      <c r="Y60" s="149" t="s">
        <v>34</v>
      </c>
      <c r="Z60" s="152">
        <f t="shared" si="1"/>
        <v>0</v>
      </c>
    </row>
    <row r="61" spans="2:26" ht="18" x14ac:dyDescent="0.35">
      <c r="B61" s="95"/>
      <c r="C61" s="96"/>
      <c r="D61" s="97"/>
      <c r="E61" s="98"/>
      <c r="F61" s="90"/>
      <c r="G61" s="91"/>
      <c r="H61" s="92"/>
      <c r="I61" s="93"/>
      <c r="J61" s="83"/>
      <c r="K61" s="83"/>
      <c r="L61" s="12"/>
      <c r="M61" s="13"/>
      <c r="N61" s="14"/>
      <c r="O61" s="11"/>
      <c r="P61" s="15"/>
      <c r="Q61" s="16"/>
      <c r="R61" s="2"/>
      <c r="S61" s="12"/>
      <c r="T61" s="17"/>
      <c r="U61" s="2"/>
      <c r="V61" s="18"/>
      <c r="W61" s="8"/>
      <c r="Y61" s="149" t="s">
        <v>35</v>
      </c>
      <c r="Z61" s="152">
        <f t="shared" si="1"/>
        <v>0</v>
      </c>
    </row>
    <row r="62" spans="2:26" ht="18" x14ac:dyDescent="0.35">
      <c r="B62" s="95"/>
      <c r="C62" s="96"/>
      <c r="D62" s="97"/>
      <c r="E62" s="98"/>
      <c r="F62" s="90"/>
      <c r="G62" s="91"/>
      <c r="H62" s="92"/>
      <c r="I62" s="93"/>
      <c r="J62" s="83"/>
      <c r="K62" s="83"/>
      <c r="L62" s="12"/>
      <c r="M62" s="13"/>
      <c r="N62" s="14"/>
      <c r="O62" s="11"/>
      <c r="P62" s="15"/>
      <c r="Q62" s="16"/>
      <c r="R62" s="2"/>
      <c r="S62" s="12"/>
      <c r="T62" s="17"/>
      <c r="U62" s="2"/>
      <c r="V62" s="18"/>
      <c r="W62" s="8"/>
      <c r="Y62" s="149" t="s">
        <v>36</v>
      </c>
      <c r="Z62" s="152">
        <f t="shared" si="1"/>
        <v>0</v>
      </c>
    </row>
    <row r="63" spans="2:26" ht="18" x14ac:dyDescent="0.35">
      <c r="B63" s="95"/>
      <c r="C63" s="96"/>
      <c r="D63" s="97"/>
      <c r="E63" s="98"/>
      <c r="F63" s="90"/>
      <c r="G63" s="91"/>
      <c r="H63" s="92"/>
      <c r="I63" s="93"/>
      <c r="J63" s="83"/>
      <c r="K63" s="83"/>
      <c r="L63" s="12"/>
      <c r="M63" s="13"/>
      <c r="N63" s="14"/>
      <c r="O63" s="11"/>
      <c r="P63" s="15"/>
      <c r="Q63" s="16"/>
      <c r="R63" s="2"/>
      <c r="S63" s="12"/>
      <c r="T63" s="17"/>
      <c r="U63" s="2"/>
      <c r="V63" s="18"/>
      <c r="W63" s="8"/>
      <c r="Y63" s="149" t="s">
        <v>37</v>
      </c>
      <c r="Z63" s="152">
        <f t="shared" si="1"/>
        <v>0</v>
      </c>
    </row>
    <row r="64" spans="2:26" ht="18" x14ac:dyDescent="0.35">
      <c r="B64" s="95"/>
      <c r="C64" s="96"/>
      <c r="D64" s="97"/>
      <c r="E64" s="98"/>
      <c r="F64" s="90"/>
      <c r="G64" s="91"/>
      <c r="H64" s="92"/>
      <c r="I64" s="93"/>
      <c r="J64" s="83"/>
      <c r="K64" s="83"/>
      <c r="L64" s="12"/>
      <c r="M64" s="13"/>
      <c r="N64" s="14"/>
      <c r="O64" s="11"/>
      <c r="P64" s="15"/>
      <c r="Q64" s="16"/>
      <c r="R64" s="2"/>
      <c r="S64" s="12"/>
      <c r="T64" s="17"/>
      <c r="U64" s="2"/>
      <c r="V64" s="18"/>
      <c r="W64" s="8"/>
      <c r="Y64" s="149" t="s">
        <v>38</v>
      </c>
      <c r="Z64" s="152">
        <f t="shared" si="1"/>
        <v>0</v>
      </c>
    </row>
    <row r="65" spans="2:26" ht="18" x14ac:dyDescent="0.35">
      <c r="B65" s="95"/>
      <c r="C65" s="96"/>
      <c r="D65" s="97"/>
      <c r="E65" s="98"/>
      <c r="F65" s="99"/>
      <c r="G65" s="100"/>
      <c r="H65" s="101"/>
      <c r="I65" s="102"/>
      <c r="J65" s="83"/>
      <c r="K65" s="83"/>
      <c r="L65" s="12"/>
      <c r="M65" s="13"/>
      <c r="N65" s="14"/>
      <c r="O65" s="11"/>
      <c r="P65" s="15"/>
      <c r="Q65" s="16"/>
      <c r="R65" s="2"/>
      <c r="S65" s="12"/>
      <c r="T65" s="17"/>
      <c r="U65" s="2"/>
      <c r="V65" s="18"/>
      <c r="W65" s="8"/>
      <c r="Y65" s="149" t="s">
        <v>40</v>
      </c>
      <c r="Z65" s="152">
        <f t="shared" si="1"/>
        <v>0</v>
      </c>
    </row>
    <row r="66" spans="2:26" ht="18" x14ac:dyDescent="0.35">
      <c r="B66" s="95"/>
      <c r="C66" s="96"/>
      <c r="D66" s="97"/>
      <c r="E66" s="98"/>
      <c r="F66" s="90"/>
      <c r="G66" s="91"/>
      <c r="H66" s="92"/>
      <c r="I66" s="93"/>
      <c r="J66" s="83"/>
      <c r="K66" s="83"/>
      <c r="L66" s="12"/>
      <c r="M66" s="13"/>
      <c r="N66" s="14"/>
      <c r="O66" s="11"/>
      <c r="P66" s="15"/>
      <c r="Q66" s="16"/>
      <c r="R66" s="2"/>
      <c r="S66" s="12"/>
      <c r="T66" s="17"/>
      <c r="U66" s="2"/>
      <c r="V66" s="18"/>
      <c r="W66" s="8"/>
      <c r="Y66" s="149" t="s">
        <v>41</v>
      </c>
      <c r="Z66" s="152">
        <f t="shared" si="1"/>
        <v>0</v>
      </c>
    </row>
    <row r="67" spans="2:26" ht="18" x14ac:dyDescent="0.35">
      <c r="B67" s="95"/>
      <c r="C67" s="96"/>
      <c r="D67" s="97"/>
      <c r="E67" s="98"/>
      <c r="F67" s="103"/>
      <c r="G67" s="94"/>
      <c r="H67" s="104"/>
      <c r="I67" s="105"/>
      <c r="J67" s="83"/>
      <c r="K67" s="83"/>
      <c r="L67" s="12"/>
      <c r="M67" s="13"/>
      <c r="N67" s="14"/>
      <c r="O67" s="11"/>
      <c r="P67" s="15"/>
      <c r="Q67" s="16"/>
      <c r="R67" s="2"/>
      <c r="S67" s="12"/>
      <c r="T67" s="17"/>
      <c r="U67" s="2"/>
      <c r="V67" s="18"/>
      <c r="W67" s="8"/>
      <c r="Y67" s="149" t="s">
        <v>69</v>
      </c>
      <c r="Z67" s="152">
        <f t="shared" si="1"/>
        <v>0</v>
      </c>
    </row>
    <row r="68" spans="2:26" ht="18" x14ac:dyDescent="0.35">
      <c r="B68" s="95"/>
      <c r="C68" s="96"/>
      <c r="D68" s="97"/>
      <c r="E68" s="98"/>
      <c r="F68" s="90"/>
      <c r="G68" s="91"/>
      <c r="H68" s="92"/>
      <c r="I68" s="105"/>
      <c r="J68" s="83"/>
      <c r="K68" s="83"/>
      <c r="L68" s="12"/>
      <c r="M68" s="13"/>
      <c r="N68" s="14"/>
      <c r="O68" s="11"/>
      <c r="P68" s="15"/>
      <c r="Q68" s="16"/>
      <c r="R68" s="2"/>
      <c r="S68" s="12"/>
      <c r="T68" s="17"/>
      <c r="U68" s="2"/>
      <c r="V68" s="18"/>
      <c r="W68" s="8"/>
      <c r="Y68" s="149" t="s">
        <v>108</v>
      </c>
      <c r="Z68" s="152">
        <f t="shared" si="1"/>
        <v>0</v>
      </c>
    </row>
    <row r="69" spans="2:26" ht="18" x14ac:dyDescent="0.35">
      <c r="B69" s="95"/>
      <c r="C69" s="96"/>
      <c r="D69" s="97"/>
      <c r="E69" s="98"/>
      <c r="F69" s="90"/>
      <c r="G69" s="91"/>
      <c r="H69" s="92"/>
      <c r="I69" s="105"/>
      <c r="J69" s="83"/>
      <c r="K69" s="83"/>
      <c r="L69" s="12"/>
      <c r="M69" s="13"/>
      <c r="N69" s="14"/>
      <c r="O69" s="11"/>
      <c r="P69" s="15"/>
      <c r="Q69" s="16"/>
      <c r="R69" s="2"/>
      <c r="S69" s="12"/>
      <c r="T69" s="17"/>
      <c r="U69" s="2"/>
      <c r="V69" s="18"/>
      <c r="W69" s="8"/>
      <c r="Y69" s="149" t="s">
        <v>44</v>
      </c>
      <c r="Z69" s="152">
        <f t="shared" si="1"/>
        <v>0</v>
      </c>
    </row>
    <row r="70" spans="2:26" ht="18" x14ac:dyDescent="0.35">
      <c r="B70" s="95"/>
      <c r="C70" s="96"/>
      <c r="D70" s="97"/>
      <c r="E70" s="98"/>
      <c r="F70" s="90"/>
      <c r="G70" s="91"/>
      <c r="H70" s="92"/>
      <c r="I70" s="105"/>
      <c r="J70" s="83"/>
      <c r="K70" s="83"/>
      <c r="L70" s="12"/>
      <c r="M70" s="13"/>
      <c r="N70" s="14"/>
      <c r="O70" s="11"/>
      <c r="P70" s="15"/>
      <c r="Q70" s="16"/>
      <c r="R70" s="2"/>
      <c r="S70" s="12"/>
      <c r="T70" s="17"/>
      <c r="U70" s="2"/>
      <c r="V70" s="18"/>
      <c r="W70" s="8"/>
      <c r="Y70" s="149" t="s">
        <v>45</v>
      </c>
      <c r="Z70" s="152">
        <f t="shared" si="1"/>
        <v>0</v>
      </c>
    </row>
    <row r="71" spans="2:26" ht="18" x14ac:dyDescent="0.35">
      <c r="B71" s="95"/>
      <c r="C71" s="96"/>
      <c r="D71" s="97"/>
      <c r="E71" s="98"/>
      <c r="F71" s="90"/>
      <c r="G71" s="91"/>
      <c r="H71" s="92"/>
      <c r="I71" s="105"/>
      <c r="J71" s="83"/>
      <c r="K71" s="83"/>
      <c r="L71" s="12"/>
      <c r="M71" s="13"/>
      <c r="N71" s="14"/>
      <c r="O71" s="11"/>
      <c r="P71" s="15"/>
      <c r="Q71" s="16"/>
      <c r="R71" s="2"/>
      <c r="S71" s="12"/>
      <c r="T71" s="17"/>
      <c r="U71" s="2"/>
      <c r="V71" s="18"/>
      <c r="W71" s="8"/>
      <c r="Y71" s="149" t="s">
        <v>49</v>
      </c>
      <c r="Z71" s="152">
        <f t="shared" si="1"/>
        <v>0</v>
      </c>
    </row>
    <row r="72" spans="2:26" ht="18" x14ac:dyDescent="0.35">
      <c r="B72" s="106"/>
      <c r="C72" s="107"/>
      <c r="D72" s="108"/>
      <c r="E72" s="109"/>
      <c r="F72" s="90"/>
      <c r="G72" s="91"/>
      <c r="H72" s="92"/>
      <c r="I72" s="105"/>
      <c r="J72" s="83"/>
      <c r="K72" s="83"/>
      <c r="L72" s="12"/>
      <c r="M72" s="13"/>
      <c r="N72" s="14"/>
      <c r="O72" s="11"/>
      <c r="P72" s="15"/>
      <c r="Q72" s="16"/>
      <c r="R72" s="2"/>
      <c r="S72" s="12"/>
      <c r="T72" s="17"/>
      <c r="U72" s="2"/>
      <c r="V72" s="18"/>
      <c r="W72" s="8"/>
      <c r="Y72" s="149" t="s">
        <v>50</v>
      </c>
      <c r="Z72" s="152">
        <f t="shared" si="1"/>
        <v>0</v>
      </c>
    </row>
    <row r="73" spans="2:26" ht="18" x14ac:dyDescent="0.35">
      <c r="B73" s="95"/>
      <c r="C73" s="96"/>
      <c r="D73" s="97"/>
      <c r="E73" s="98"/>
      <c r="F73" s="90"/>
      <c r="G73" s="91"/>
      <c r="H73" s="92"/>
      <c r="I73" s="105"/>
      <c r="J73" s="83"/>
      <c r="K73" s="83"/>
      <c r="L73" s="20"/>
      <c r="M73" s="21"/>
      <c r="N73" s="22"/>
      <c r="O73" s="19"/>
      <c r="P73" s="23"/>
      <c r="Q73" s="24"/>
      <c r="R73" s="2"/>
      <c r="S73" s="20"/>
      <c r="T73" s="25"/>
      <c r="U73" s="2"/>
      <c r="V73" s="26"/>
      <c r="W73" s="27"/>
      <c r="Y73" s="149" t="s">
        <v>51</v>
      </c>
      <c r="Z73" s="152">
        <f t="shared" si="1"/>
        <v>0</v>
      </c>
    </row>
    <row r="74" spans="2:26" ht="18" x14ac:dyDescent="0.35">
      <c r="B74" s="110"/>
      <c r="C74" s="111"/>
      <c r="D74" s="112"/>
      <c r="E74" s="113"/>
      <c r="F74" s="90"/>
      <c r="G74" s="91"/>
      <c r="H74" s="92"/>
      <c r="I74" s="105"/>
      <c r="J74" s="83"/>
      <c r="K74" s="83"/>
      <c r="L74" s="12"/>
      <c r="M74" s="28"/>
      <c r="N74" s="14"/>
      <c r="O74" s="11"/>
      <c r="P74" s="11"/>
      <c r="Q74" s="16"/>
      <c r="R74" s="2"/>
      <c r="S74" s="12"/>
      <c r="T74" s="17"/>
      <c r="U74" s="2"/>
      <c r="V74" s="18"/>
      <c r="W74" s="16"/>
      <c r="Y74" s="149" t="s">
        <v>52</v>
      </c>
      <c r="Z74" s="152">
        <f t="shared" si="1"/>
        <v>0</v>
      </c>
    </row>
    <row r="75" spans="2:26" ht="18" x14ac:dyDescent="0.35">
      <c r="B75" s="95"/>
      <c r="C75" s="96"/>
      <c r="D75" s="97"/>
      <c r="E75" s="113"/>
      <c r="F75" s="90"/>
      <c r="G75" s="91"/>
      <c r="H75" s="92"/>
      <c r="I75" s="105"/>
      <c r="J75" s="83"/>
      <c r="K75" s="83"/>
      <c r="L75" s="12"/>
      <c r="M75" s="28"/>
      <c r="N75" s="14"/>
      <c r="O75" s="11"/>
      <c r="P75" s="11"/>
      <c r="Q75" s="16"/>
      <c r="R75" s="2"/>
      <c r="S75" s="12"/>
      <c r="T75" s="17"/>
      <c r="U75" s="2"/>
      <c r="V75" s="18"/>
      <c r="W75" s="16"/>
      <c r="Y75" s="149" t="s">
        <v>72</v>
      </c>
      <c r="Z75" s="152">
        <f t="shared" si="1"/>
        <v>0</v>
      </c>
    </row>
    <row r="76" spans="2:26" ht="18" x14ac:dyDescent="0.35">
      <c r="B76" s="95"/>
      <c r="C76" s="96"/>
      <c r="D76" s="97"/>
      <c r="E76" s="113"/>
      <c r="F76" s="90"/>
      <c r="G76" s="91"/>
      <c r="H76" s="92"/>
      <c r="I76" s="105"/>
      <c r="J76" s="83"/>
      <c r="K76" s="83"/>
      <c r="L76" s="12"/>
      <c r="M76" s="28"/>
      <c r="N76" s="14"/>
      <c r="O76" s="11"/>
      <c r="P76" s="11"/>
      <c r="Q76" s="16"/>
      <c r="R76" s="2"/>
      <c r="S76" s="12"/>
      <c r="T76" s="17"/>
      <c r="U76" s="2"/>
      <c r="V76" s="18"/>
      <c r="W76" s="16"/>
      <c r="Y76" s="149" t="s">
        <v>71</v>
      </c>
      <c r="Z76" s="152">
        <f t="shared" si="1"/>
        <v>0</v>
      </c>
    </row>
    <row r="77" spans="2:26" ht="18" x14ac:dyDescent="0.35">
      <c r="B77" s="95"/>
      <c r="C77" s="96"/>
      <c r="D77" s="97"/>
      <c r="E77" s="113"/>
      <c r="F77" s="90"/>
      <c r="G77" s="91"/>
      <c r="H77" s="92"/>
      <c r="I77" s="105"/>
      <c r="J77" s="83"/>
      <c r="K77" s="83"/>
      <c r="L77" s="12"/>
      <c r="M77" s="28"/>
      <c r="N77" s="14"/>
      <c r="O77" s="11"/>
      <c r="P77" s="11"/>
      <c r="Q77" s="16"/>
      <c r="R77" s="2"/>
      <c r="S77" s="12"/>
      <c r="T77" s="17"/>
      <c r="U77" s="2"/>
      <c r="V77" s="18"/>
      <c r="W77" s="16"/>
      <c r="Y77" s="149" t="s">
        <v>53</v>
      </c>
      <c r="Z77" s="152">
        <f t="shared" ref="Z77:Z79" si="2">SUMIF($G$9:$G$129, Y77, $F$9:$F$129)</f>
        <v>0</v>
      </c>
    </row>
    <row r="78" spans="2:26" ht="18" x14ac:dyDescent="0.35">
      <c r="B78" s="95"/>
      <c r="C78" s="96"/>
      <c r="D78" s="97"/>
      <c r="E78" s="113"/>
      <c r="F78" s="90"/>
      <c r="G78" s="91"/>
      <c r="H78" s="92"/>
      <c r="I78" s="105"/>
      <c r="J78" s="83"/>
      <c r="K78" s="83"/>
      <c r="L78" s="12"/>
      <c r="M78" s="28"/>
      <c r="N78" s="14"/>
      <c r="O78" s="11"/>
      <c r="P78" s="11"/>
      <c r="Q78" s="16"/>
      <c r="R78" s="2"/>
      <c r="S78" s="12"/>
      <c r="T78" s="17"/>
      <c r="U78" s="2"/>
      <c r="V78" s="18"/>
      <c r="W78" s="16"/>
      <c r="Y78" s="149" t="s">
        <v>54</v>
      </c>
      <c r="Z78" s="152">
        <f t="shared" si="2"/>
        <v>0</v>
      </c>
    </row>
    <row r="79" spans="2:26" ht="18.600000000000001" thickBot="1" x14ac:dyDescent="0.4">
      <c r="B79" s="95"/>
      <c r="C79" s="96"/>
      <c r="D79" s="97"/>
      <c r="E79" s="113"/>
      <c r="F79" s="90"/>
      <c r="G79" s="91"/>
      <c r="H79" s="92"/>
      <c r="I79" s="105"/>
      <c r="J79" s="83"/>
      <c r="K79" s="83"/>
      <c r="L79" s="12"/>
      <c r="M79" s="28"/>
      <c r="N79" s="14"/>
      <c r="O79" s="11"/>
      <c r="P79" s="11"/>
      <c r="Q79" s="16"/>
      <c r="R79" s="2"/>
      <c r="S79" s="12"/>
      <c r="T79" s="17"/>
      <c r="U79" s="2"/>
      <c r="V79" s="18"/>
      <c r="W79" s="16"/>
      <c r="Y79" s="150" t="s">
        <v>55</v>
      </c>
      <c r="Z79" s="153">
        <f t="shared" si="2"/>
        <v>0</v>
      </c>
    </row>
    <row r="80" spans="2:26" ht="18" x14ac:dyDescent="0.35">
      <c r="B80" s="95"/>
      <c r="C80" s="96"/>
      <c r="D80" s="97"/>
      <c r="E80" s="113"/>
      <c r="F80" s="90"/>
      <c r="G80" s="91"/>
      <c r="H80" s="92"/>
      <c r="I80" s="105"/>
      <c r="J80" s="83"/>
      <c r="K80" s="83"/>
      <c r="L80" s="12"/>
      <c r="M80" s="28"/>
      <c r="N80" s="14"/>
      <c r="O80" s="11"/>
      <c r="P80" s="11"/>
      <c r="Q80" s="16"/>
      <c r="R80" s="2"/>
      <c r="S80" s="12"/>
      <c r="T80" s="17"/>
      <c r="U80" s="2"/>
      <c r="V80" s="18"/>
      <c r="W80" s="16"/>
    </row>
    <row r="81" spans="2:23" ht="18" x14ac:dyDescent="0.35">
      <c r="B81" s="95"/>
      <c r="C81" s="96"/>
      <c r="D81" s="97"/>
      <c r="E81" s="113"/>
      <c r="F81" s="90"/>
      <c r="G81" s="91"/>
      <c r="H81" s="92"/>
      <c r="I81" s="105"/>
      <c r="J81" s="83"/>
      <c r="K81" s="83"/>
      <c r="L81" s="12"/>
      <c r="M81" s="28"/>
      <c r="N81" s="14"/>
      <c r="O81" s="11"/>
      <c r="P81" s="11"/>
      <c r="Q81" s="16"/>
      <c r="R81" s="2"/>
      <c r="S81" s="12"/>
      <c r="T81" s="17"/>
      <c r="U81" s="2"/>
      <c r="V81" s="18"/>
      <c r="W81" s="16"/>
    </row>
    <row r="82" spans="2:23" ht="18" x14ac:dyDescent="0.35">
      <c r="B82" s="95"/>
      <c r="C82" s="96"/>
      <c r="D82" s="97"/>
      <c r="E82" s="113"/>
      <c r="F82" s="90"/>
      <c r="G82" s="91"/>
      <c r="H82" s="92"/>
      <c r="I82" s="105"/>
      <c r="J82" s="83"/>
      <c r="K82" s="83"/>
      <c r="L82" s="12"/>
      <c r="M82" s="28"/>
      <c r="N82" s="14"/>
      <c r="O82" s="11"/>
      <c r="P82" s="11"/>
      <c r="Q82" s="16"/>
      <c r="R82" s="2"/>
      <c r="S82" s="12"/>
      <c r="T82" s="17"/>
      <c r="U82" s="2"/>
      <c r="V82" s="18"/>
      <c r="W82" s="16"/>
    </row>
    <row r="83" spans="2:23" ht="18" x14ac:dyDescent="0.35">
      <c r="B83" s="95"/>
      <c r="C83" s="96"/>
      <c r="D83" s="97"/>
      <c r="E83" s="113"/>
      <c r="F83" s="90"/>
      <c r="G83" s="91"/>
      <c r="H83" s="92"/>
      <c r="I83" s="105"/>
      <c r="J83" s="83"/>
      <c r="K83" s="83"/>
      <c r="L83" s="12"/>
      <c r="M83" s="28"/>
      <c r="N83" s="14"/>
      <c r="O83" s="11"/>
      <c r="P83" s="11"/>
      <c r="Q83" s="16"/>
      <c r="R83" s="2"/>
      <c r="S83" s="12"/>
      <c r="T83" s="17"/>
      <c r="U83" s="2"/>
      <c r="V83" s="18"/>
      <c r="W83" s="16"/>
    </row>
    <row r="84" spans="2:23" ht="18" x14ac:dyDescent="0.35">
      <c r="B84" s="95"/>
      <c r="C84" s="96"/>
      <c r="D84" s="97"/>
      <c r="E84" s="113"/>
      <c r="F84" s="90"/>
      <c r="G84" s="91"/>
      <c r="H84" s="92"/>
      <c r="I84" s="105"/>
      <c r="J84" s="83"/>
      <c r="K84" s="83"/>
      <c r="L84" s="12"/>
      <c r="M84" s="28"/>
      <c r="N84" s="14"/>
      <c r="O84" s="11"/>
      <c r="P84" s="11"/>
      <c r="Q84" s="16"/>
      <c r="R84" s="2"/>
      <c r="S84" s="12"/>
      <c r="T84" s="17"/>
      <c r="U84" s="2"/>
      <c r="V84" s="18"/>
      <c r="W84" s="16"/>
    </row>
    <row r="85" spans="2:23" ht="18" x14ac:dyDescent="0.35">
      <c r="B85" s="95"/>
      <c r="C85" s="96"/>
      <c r="D85" s="97"/>
      <c r="E85" s="113"/>
      <c r="F85" s="90"/>
      <c r="G85" s="91"/>
      <c r="H85" s="92"/>
      <c r="I85" s="105"/>
      <c r="J85" s="83"/>
      <c r="K85" s="83"/>
      <c r="L85" s="12"/>
      <c r="M85" s="28"/>
      <c r="N85" s="14"/>
      <c r="O85" s="11"/>
      <c r="P85" s="11"/>
      <c r="Q85" s="16"/>
      <c r="R85" s="2"/>
      <c r="S85" s="12"/>
      <c r="T85" s="17"/>
      <c r="U85" s="2"/>
      <c r="V85" s="18"/>
      <c r="W85" s="16"/>
    </row>
    <row r="86" spans="2:23" ht="18" x14ac:dyDescent="0.35">
      <c r="B86" s="95"/>
      <c r="C86" s="96"/>
      <c r="D86" s="97"/>
      <c r="E86" s="113"/>
      <c r="F86" s="90"/>
      <c r="G86" s="91"/>
      <c r="H86" s="92"/>
      <c r="I86" s="105"/>
      <c r="J86" s="83"/>
      <c r="K86" s="83"/>
      <c r="L86" s="12"/>
      <c r="M86" s="28"/>
      <c r="N86" s="14"/>
      <c r="O86" s="11"/>
      <c r="P86" s="11"/>
      <c r="Q86" s="16"/>
      <c r="R86" s="2"/>
      <c r="S86" s="12"/>
      <c r="T86" s="17"/>
      <c r="U86" s="2"/>
      <c r="V86" s="18"/>
      <c r="W86" s="16"/>
    </row>
    <row r="87" spans="2:23" ht="18" x14ac:dyDescent="0.35">
      <c r="B87" s="95"/>
      <c r="C87" s="96"/>
      <c r="D87" s="97"/>
      <c r="E87" s="113"/>
      <c r="F87" s="90"/>
      <c r="G87" s="91"/>
      <c r="H87" s="92"/>
      <c r="I87" s="105"/>
      <c r="J87" s="83"/>
      <c r="K87" s="83"/>
      <c r="L87" s="12"/>
      <c r="M87" s="28"/>
      <c r="N87" s="14"/>
      <c r="O87" s="11"/>
      <c r="P87" s="11"/>
      <c r="Q87" s="16"/>
      <c r="R87" s="2"/>
      <c r="S87" s="12"/>
      <c r="T87" s="17"/>
      <c r="U87" s="2"/>
      <c r="V87" s="18"/>
      <c r="W87" s="16"/>
    </row>
    <row r="88" spans="2:23" ht="18" x14ac:dyDescent="0.35">
      <c r="B88" s="95"/>
      <c r="C88" s="96"/>
      <c r="D88" s="97"/>
      <c r="E88" s="113"/>
      <c r="F88" s="90"/>
      <c r="G88" s="91"/>
      <c r="H88" s="92"/>
      <c r="I88" s="105"/>
      <c r="J88" s="83"/>
      <c r="K88" s="83"/>
      <c r="L88" s="12"/>
      <c r="M88" s="28"/>
      <c r="N88" s="14"/>
      <c r="O88" s="11"/>
      <c r="P88" s="11"/>
      <c r="Q88" s="16"/>
      <c r="R88" s="2"/>
      <c r="S88" s="12"/>
      <c r="T88" s="17"/>
      <c r="U88" s="2"/>
      <c r="V88" s="18"/>
      <c r="W88" s="16"/>
    </row>
    <row r="89" spans="2:23" ht="18" x14ac:dyDescent="0.35">
      <c r="B89" s="95"/>
      <c r="C89" s="96"/>
      <c r="D89" s="97"/>
      <c r="E89" s="113"/>
      <c r="F89" s="90"/>
      <c r="G89" s="91"/>
      <c r="H89" s="92"/>
      <c r="I89" s="105"/>
      <c r="J89" s="83"/>
      <c r="K89" s="83"/>
      <c r="L89" s="12"/>
      <c r="M89" s="28"/>
      <c r="N89" s="14"/>
      <c r="O89" s="11"/>
      <c r="P89" s="11"/>
      <c r="Q89" s="16"/>
      <c r="R89" s="2"/>
      <c r="S89" s="12"/>
      <c r="T89" s="17"/>
      <c r="U89" s="2"/>
      <c r="V89" s="18"/>
      <c r="W89" s="16"/>
    </row>
    <row r="90" spans="2:23" ht="18" x14ac:dyDescent="0.35">
      <c r="B90" s="95"/>
      <c r="C90" s="96"/>
      <c r="D90" s="97"/>
      <c r="E90" s="113"/>
      <c r="F90" s="90"/>
      <c r="G90" s="91"/>
      <c r="H90" s="92"/>
      <c r="I90" s="105"/>
      <c r="J90" s="83"/>
      <c r="K90" s="83"/>
      <c r="L90" s="12"/>
      <c r="M90" s="28"/>
      <c r="N90" s="14"/>
      <c r="O90" s="11"/>
      <c r="P90" s="11"/>
      <c r="Q90" s="16"/>
      <c r="R90" s="2"/>
      <c r="S90" s="12"/>
      <c r="T90" s="17"/>
      <c r="U90" s="2"/>
      <c r="V90" s="18"/>
      <c r="W90" s="16"/>
    </row>
    <row r="91" spans="2:23" ht="18" x14ac:dyDescent="0.35">
      <c r="B91" s="95"/>
      <c r="C91" s="96"/>
      <c r="D91" s="97"/>
      <c r="E91" s="113"/>
      <c r="F91" s="90"/>
      <c r="G91" s="91"/>
      <c r="H91" s="92"/>
      <c r="I91" s="105"/>
      <c r="J91" s="83"/>
      <c r="K91" s="83"/>
      <c r="L91" s="12"/>
      <c r="M91" s="28"/>
      <c r="N91" s="14"/>
      <c r="O91" s="11"/>
      <c r="P91" s="11"/>
      <c r="Q91" s="16"/>
      <c r="R91" s="2"/>
      <c r="S91" s="12"/>
      <c r="T91" s="17"/>
      <c r="U91" s="2"/>
      <c r="V91" s="18"/>
      <c r="W91" s="16"/>
    </row>
    <row r="92" spans="2:23" ht="18" x14ac:dyDescent="0.35">
      <c r="B92" s="95"/>
      <c r="C92" s="96"/>
      <c r="D92" s="97"/>
      <c r="E92" s="113"/>
      <c r="F92" s="90"/>
      <c r="G92" s="91"/>
      <c r="H92" s="92"/>
      <c r="I92" s="105"/>
      <c r="J92" s="83"/>
      <c r="K92" s="83"/>
      <c r="L92" s="12"/>
      <c r="M92" s="28"/>
      <c r="N92" s="14"/>
      <c r="O92" s="11"/>
      <c r="P92" s="11"/>
      <c r="Q92" s="16"/>
      <c r="R92" s="2"/>
      <c r="S92" s="12"/>
      <c r="T92" s="17"/>
      <c r="U92" s="2"/>
      <c r="V92" s="18"/>
      <c r="W92" s="16"/>
    </row>
    <row r="93" spans="2:23" ht="18" x14ac:dyDescent="0.35">
      <c r="B93" s="95"/>
      <c r="C93" s="96"/>
      <c r="D93" s="97"/>
      <c r="E93" s="113"/>
      <c r="F93" s="90"/>
      <c r="G93" s="91"/>
      <c r="H93" s="92"/>
      <c r="I93" s="105"/>
      <c r="J93" s="83"/>
      <c r="K93" s="83"/>
      <c r="L93" s="12"/>
      <c r="M93" s="28"/>
      <c r="N93" s="14"/>
      <c r="O93" s="11"/>
      <c r="P93" s="11"/>
      <c r="Q93" s="16"/>
      <c r="R93" s="2"/>
      <c r="S93" s="12"/>
      <c r="T93" s="17"/>
      <c r="U93" s="2"/>
      <c r="V93" s="18"/>
      <c r="W93" s="16"/>
    </row>
    <row r="94" spans="2:23" ht="18" x14ac:dyDescent="0.35">
      <c r="B94" s="95"/>
      <c r="C94" s="96"/>
      <c r="D94" s="97"/>
      <c r="E94" s="113"/>
      <c r="F94" s="90"/>
      <c r="G94" s="91"/>
      <c r="H94" s="92"/>
      <c r="I94" s="105"/>
      <c r="J94" s="83"/>
      <c r="K94" s="83"/>
      <c r="L94" s="12"/>
      <c r="M94" s="28"/>
      <c r="N94" s="14"/>
      <c r="O94" s="11"/>
      <c r="P94" s="11"/>
      <c r="Q94" s="16"/>
      <c r="R94" s="2"/>
      <c r="S94" s="12"/>
      <c r="T94" s="17"/>
      <c r="U94" s="2"/>
      <c r="V94" s="18"/>
      <c r="W94" s="16"/>
    </row>
    <row r="95" spans="2:23" ht="18" x14ac:dyDescent="0.35">
      <c r="B95" s="95"/>
      <c r="C95" s="96"/>
      <c r="D95" s="97"/>
      <c r="E95" s="113"/>
      <c r="F95" s="90"/>
      <c r="G95" s="91"/>
      <c r="H95" s="92"/>
      <c r="I95" s="105"/>
      <c r="J95" s="83"/>
      <c r="K95" s="83"/>
      <c r="L95" s="12"/>
      <c r="M95" s="28"/>
      <c r="N95" s="14"/>
      <c r="O95" s="11"/>
      <c r="P95" s="11"/>
      <c r="Q95" s="16"/>
      <c r="R95" s="2"/>
      <c r="S95" s="12"/>
      <c r="T95" s="17"/>
      <c r="U95" s="2"/>
      <c r="V95" s="18"/>
      <c r="W95" s="16"/>
    </row>
    <row r="96" spans="2:23" ht="18" x14ac:dyDescent="0.35">
      <c r="B96" s="95"/>
      <c r="C96" s="96"/>
      <c r="D96" s="97"/>
      <c r="E96" s="113"/>
      <c r="F96" s="90"/>
      <c r="G96" s="91"/>
      <c r="H96" s="92"/>
      <c r="I96" s="105"/>
      <c r="J96" s="83"/>
      <c r="K96" s="83"/>
      <c r="L96" s="12"/>
      <c r="M96" s="28"/>
      <c r="N96" s="14"/>
      <c r="O96" s="11"/>
      <c r="P96" s="11"/>
      <c r="Q96" s="16"/>
      <c r="R96" s="2"/>
      <c r="S96" s="12"/>
      <c r="T96" s="17"/>
      <c r="U96" s="2"/>
      <c r="V96" s="18"/>
      <c r="W96" s="16"/>
    </row>
    <row r="97" spans="2:23" ht="18" x14ac:dyDescent="0.35">
      <c r="B97" s="95"/>
      <c r="C97" s="96"/>
      <c r="D97" s="97"/>
      <c r="E97" s="113"/>
      <c r="F97" s="90"/>
      <c r="G97" s="91"/>
      <c r="H97" s="92"/>
      <c r="I97" s="105"/>
      <c r="J97" s="83"/>
      <c r="K97" s="83"/>
      <c r="L97" s="12"/>
      <c r="M97" s="28"/>
      <c r="N97" s="14"/>
      <c r="O97" s="11"/>
      <c r="P97" s="11"/>
      <c r="Q97" s="16"/>
      <c r="R97" s="2"/>
      <c r="S97" s="12"/>
      <c r="T97" s="17"/>
      <c r="U97" s="2"/>
      <c r="V97" s="18"/>
      <c r="W97" s="16"/>
    </row>
    <row r="98" spans="2:23" ht="18" x14ac:dyDescent="0.35">
      <c r="B98" s="95"/>
      <c r="C98" s="96"/>
      <c r="D98" s="97"/>
      <c r="E98" s="113"/>
      <c r="F98" s="90"/>
      <c r="G98" s="91"/>
      <c r="H98" s="92"/>
      <c r="I98" s="105"/>
      <c r="J98" s="83"/>
      <c r="K98" s="83"/>
      <c r="L98" s="12"/>
      <c r="M98" s="28"/>
      <c r="N98" s="14"/>
      <c r="O98" s="11"/>
      <c r="P98" s="11"/>
      <c r="Q98" s="16"/>
      <c r="R98" s="2"/>
      <c r="S98" s="12"/>
      <c r="T98" s="17"/>
      <c r="U98" s="2"/>
      <c r="V98" s="18"/>
      <c r="W98" s="16"/>
    </row>
    <row r="99" spans="2:23" ht="18" x14ac:dyDescent="0.35">
      <c r="B99" s="95"/>
      <c r="C99" s="96"/>
      <c r="D99" s="97"/>
      <c r="E99" s="113"/>
      <c r="F99" s="90"/>
      <c r="G99" s="91"/>
      <c r="H99" s="92"/>
      <c r="I99" s="105"/>
      <c r="J99" s="83"/>
      <c r="K99" s="83"/>
      <c r="L99" s="12"/>
      <c r="M99" s="28"/>
      <c r="N99" s="14"/>
      <c r="O99" s="11"/>
      <c r="P99" s="11"/>
      <c r="Q99" s="16"/>
      <c r="R99" s="2"/>
      <c r="S99" s="12"/>
      <c r="T99" s="17"/>
      <c r="U99" s="2"/>
      <c r="V99" s="18"/>
      <c r="W99" s="16"/>
    </row>
    <row r="100" spans="2:23" ht="18" x14ac:dyDescent="0.35">
      <c r="B100" s="95"/>
      <c r="C100" s="96"/>
      <c r="D100" s="97"/>
      <c r="E100" s="113"/>
      <c r="F100" s="90"/>
      <c r="G100" s="91"/>
      <c r="H100" s="92"/>
      <c r="I100" s="105"/>
      <c r="J100" s="83"/>
      <c r="K100" s="83"/>
      <c r="L100" s="12"/>
      <c r="M100" s="28"/>
      <c r="N100" s="14"/>
      <c r="O100" s="11"/>
      <c r="P100" s="11"/>
      <c r="Q100" s="16"/>
      <c r="R100" s="2"/>
      <c r="S100" s="12"/>
      <c r="T100" s="17"/>
      <c r="U100" s="2"/>
      <c r="V100" s="18"/>
      <c r="W100" s="16"/>
    </row>
    <row r="101" spans="2:23" ht="18" x14ac:dyDescent="0.35">
      <c r="B101" s="95"/>
      <c r="C101" s="96"/>
      <c r="D101" s="97"/>
      <c r="E101" s="113"/>
      <c r="F101" s="90"/>
      <c r="G101" s="91"/>
      <c r="H101" s="92"/>
      <c r="I101" s="105"/>
      <c r="J101" s="83"/>
      <c r="K101" s="83"/>
      <c r="L101" s="12"/>
      <c r="M101" s="28"/>
      <c r="N101" s="14"/>
      <c r="O101" s="11"/>
      <c r="P101" s="11"/>
      <c r="Q101" s="16"/>
      <c r="R101" s="2"/>
      <c r="S101" s="12"/>
      <c r="T101" s="17"/>
      <c r="U101" s="2"/>
      <c r="V101" s="18"/>
      <c r="W101" s="16"/>
    </row>
    <row r="102" spans="2:23" ht="18" x14ac:dyDescent="0.35">
      <c r="B102" s="95"/>
      <c r="C102" s="96"/>
      <c r="D102" s="97"/>
      <c r="E102" s="113"/>
      <c r="F102" s="90"/>
      <c r="G102" s="91"/>
      <c r="H102" s="92"/>
      <c r="I102" s="105"/>
      <c r="J102" s="83"/>
      <c r="K102" s="83"/>
      <c r="L102" s="12"/>
      <c r="M102" s="28"/>
      <c r="N102" s="14"/>
      <c r="O102" s="11"/>
      <c r="P102" s="11"/>
      <c r="Q102" s="16"/>
      <c r="R102" s="2"/>
      <c r="S102" s="12"/>
      <c r="T102" s="17"/>
      <c r="U102" s="2"/>
      <c r="V102" s="18"/>
      <c r="W102" s="16"/>
    </row>
    <row r="103" spans="2:23" ht="18" x14ac:dyDescent="0.35">
      <c r="B103" s="95"/>
      <c r="C103" s="96"/>
      <c r="D103" s="97"/>
      <c r="E103" s="113"/>
      <c r="F103" s="90"/>
      <c r="G103" s="91"/>
      <c r="H103" s="92"/>
      <c r="I103" s="105"/>
      <c r="J103" s="83"/>
      <c r="K103" s="83"/>
      <c r="L103" s="12"/>
      <c r="M103" s="28"/>
      <c r="N103" s="14"/>
      <c r="O103" s="11"/>
      <c r="P103" s="11"/>
      <c r="Q103" s="16"/>
      <c r="R103" s="2"/>
      <c r="S103" s="12"/>
      <c r="T103" s="17"/>
      <c r="U103" s="2"/>
      <c r="V103" s="18"/>
      <c r="W103" s="16"/>
    </row>
    <row r="104" spans="2:23" ht="18" x14ac:dyDescent="0.35">
      <c r="B104" s="95"/>
      <c r="C104" s="96"/>
      <c r="D104" s="97"/>
      <c r="E104" s="113"/>
      <c r="F104" s="90"/>
      <c r="G104" s="91"/>
      <c r="H104" s="92"/>
      <c r="I104" s="105"/>
      <c r="J104" s="83"/>
      <c r="K104" s="83"/>
      <c r="L104" s="12"/>
      <c r="M104" s="28"/>
      <c r="N104" s="14"/>
      <c r="O104" s="11"/>
      <c r="P104" s="11"/>
      <c r="Q104" s="16"/>
      <c r="R104" s="2"/>
      <c r="S104" s="12"/>
      <c r="T104" s="17"/>
      <c r="U104" s="2"/>
      <c r="V104" s="18"/>
      <c r="W104" s="16"/>
    </row>
    <row r="105" spans="2:23" ht="18" x14ac:dyDescent="0.35">
      <c r="B105" s="95"/>
      <c r="C105" s="96"/>
      <c r="D105" s="97"/>
      <c r="E105" s="113"/>
      <c r="F105" s="90"/>
      <c r="G105" s="91"/>
      <c r="H105" s="92"/>
      <c r="I105" s="105"/>
      <c r="J105" s="83"/>
      <c r="K105" s="83"/>
      <c r="L105" s="12"/>
      <c r="M105" s="28"/>
      <c r="N105" s="14"/>
      <c r="O105" s="11"/>
      <c r="P105" s="11"/>
      <c r="Q105" s="16"/>
      <c r="R105" s="2"/>
      <c r="S105" s="12"/>
      <c r="T105" s="17"/>
      <c r="U105" s="2"/>
      <c r="V105" s="18"/>
      <c r="W105" s="16"/>
    </row>
    <row r="106" spans="2:23" ht="18" x14ac:dyDescent="0.35">
      <c r="B106" s="95"/>
      <c r="C106" s="96"/>
      <c r="D106" s="97"/>
      <c r="E106" s="113"/>
      <c r="F106" s="90"/>
      <c r="G106" s="91"/>
      <c r="H106" s="92"/>
      <c r="I106" s="105"/>
      <c r="J106" s="83"/>
      <c r="K106" s="83"/>
      <c r="L106" s="12"/>
      <c r="M106" s="28"/>
      <c r="N106" s="14"/>
      <c r="O106" s="11"/>
      <c r="P106" s="11"/>
      <c r="Q106" s="16"/>
      <c r="R106" s="2"/>
      <c r="S106" s="12"/>
      <c r="T106" s="17"/>
      <c r="U106" s="2"/>
      <c r="V106" s="18"/>
      <c r="W106" s="16"/>
    </row>
    <row r="107" spans="2:23" ht="18" x14ac:dyDescent="0.35">
      <c r="B107" s="95"/>
      <c r="C107" s="96"/>
      <c r="D107" s="97"/>
      <c r="E107" s="113"/>
      <c r="F107" s="90"/>
      <c r="G107" s="91"/>
      <c r="H107" s="92"/>
      <c r="I107" s="105"/>
      <c r="J107" s="83"/>
      <c r="K107" s="83"/>
      <c r="L107" s="12"/>
      <c r="M107" s="28"/>
      <c r="N107" s="14"/>
      <c r="O107" s="11"/>
      <c r="P107" s="11"/>
      <c r="Q107" s="16"/>
      <c r="R107" s="2"/>
      <c r="S107" s="12"/>
      <c r="T107" s="17"/>
      <c r="U107" s="2"/>
      <c r="V107" s="18"/>
      <c r="W107" s="16"/>
    </row>
    <row r="108" spans="2:23" ht="18" x14ac:dyDescent="0.35">
      <c r="B108" s="95"/>
      <c r="C108" s="96"/>
      <c r="D108" s="97"/>
      <c r="E108" s="113"/>
      <c r="F108" s="90"/>
      <c r="G108" s="91"/>
      <c r="H108" s="92"/>
      <c r="I108" s="105"/>
      <c r="J108" s="83"/>
      <c r="K108" s="83"/>
      <c r="L108" s="12"/>
      <c r="M108" s="28"/>
      <c r="N108" s="14"/>
      <c r="O108" s="11"/>
      <c r="P108" s="11"/>
      <c r="Q108" s="16"/>
      <c r="R108" s="2"/>
      <c r="S108" s="12"/>
      <c r="T108" s="17"/>
      <c r="U108" s="2"/>
      <c r="V108" s="18"/>
      <c r="W108" s="16"/>
    </row>
    <row r="109" spans="2:23" ht="18" x14ac:dyDescent="0.35">
      <c r="B109" s="95"/>
      <c r="C109" s="96"/>
      <c r="D109" s="97"/>
      <c r="E109" s="113"/>
      <c r="F109" s="90"/>
      <c r="G109" s="91"/>
      <c r="H109" s="92"/>
      <c r="I109" s="105"/>
      <c r="J109" s="83"/>
      <c r="K109" s="83"/>
      <c r="L109" s="12"/>
      <c r="M109" s="28"/>
      <c r="N109" s="14"/>
      <c r="O109" s="11"/>
      <c r="P109" s="11"/>
      <c r="Q109" s="16"/>
      <c r="R109" s="2"/>
      <c r="S109" s="12"/>
      <c r="T109" s="17"/>
      <c r="U109" s="2"/>
      <c r="V109" s="18"/>
      <c r="W109" s="16"/>
    </row>
    <row r="110" spans="2:23" ht="18" x14ac:dyDescent="0.35">
      <c r="B110" s="95"/>
      <c r="C110" s="96"/>
      <c r="D110" s="97"/>
      <c r="E110" s="113"/>
      <c r="F110" s="90"/>
      <c r="G110" s="91"/>
      <c r="H110" s="92"/>
      <c r="I110" s="105"/>
      <c r="J110" s="83"/>
      <c r="K110" s="83"/>
      <c r="L110" s="12"/>
      <c r="M110" s="28"/>
      <c r="N110" s="14"/>
      <c r="O110" s="11"/>
      <c r="P110" s="11"/>
      <c r="Q110" s="16"/>
      <c r="R110" s="2"/>
      <c r="S110" s="12"/>
      <c r="T110" s="17"/>
      <c r="U110" s="2"/>
      <c r="V110" s="18"/>
      <c r="W110" s="16"/>
    </row>
    <row r="111" spans="2:23" ht="18" x14ac:dyDescent="0.35">
      <c r="B111" s="95"/>
      <c r="C111" s="96"/>
      <c r="D111" s="97"/>
      <c r="E111" s="113"/>
      <c r="F111" s="90"/>
      <c r="G111" s="91"/>
      <c r="H111" s="92"/>
      <c r="I111" s="105"/>
      <c r="J111" s="83"/>
      <c r="K111" s="83"/>
      <c r="L111" s="12"/>
      <c r="M111" s="28"/>
      <c r="N111" s="14"/>
      <c r="O111" s="11"/>
      <c r="P111" s="11"/>
      <c r="Q111" s="16"/>
      <c r="R111" s="2"/>
      <c r="S111" s="12"/>
      <c r="T111" s="17"/>
      <c r="U111" s="2"/>
      <c r="V111" s="18"/>
      <c r="W111" s="16"/>
    </row>
    <row r="112" spans="2:23" ht="18" x14ac:dyDescent="0.35">
      <c r="B112" s="95"/>
      <c r="C112" s="96"/>
      <c r="D112" s="97"/>
      <c r="E112" s="113"/>
      <c r="F112" s="90"/>
      <c r="G112" s="91"/>
      <c r="H112" s="92"/>
      <c r="I112" s="105"/>
      <c r="J112" s="83"/>
      <c r="K112" s="83"/>
      <c r="L112" s="12"/>
      <c r="M112" s="28"/>
      <c r="N112" s="14"/>
      <c r="O112" s="11"/>
      <c r="P112" s="11"/>
      <c r="Q112" s="16"/>
      <c r="R112" s="2"/>
      <c r="S112" s="12"/>
      <c r="T112" s="17"/>
      <c r="U112" s="2"/>
      <c r="V112" s="18"/>
      <c r="W112" s="16"/>
    </row>
    <row r="113" spans="2:23" ht="18" x14ac:dyDescent="0.35">
      <c r="B113" s="95"/>
      <c r="C113" s="96"/>
      <c r="D113" s="97"/>
      <c r="E113" s="113"/>
      <c r="F113" s="90"/>
      <c r="G113" s="91"/>
      <c r="H113" s="92"/>
      <c r="I113" s="105"/>
      <c r="J113" s="83"/>
      <c r="K113" s="83"/>
      <c r="L113" s="12"/>
      <c r="M113" s="28"/>
      <c r="N113" s="14"/>
      <c r="O113" s="11"/>
      <c r="P113" s="11"/>
      <c r="Q113" s="16"/>
      <c r="R113" s="2"/>
      <c r="S113" s="12"/>
      <c r="T113" s="17"/>
      <c r="U113" s="2"/>
      <c r="V113" s="18"/>
      <c r="W113" s="16"/>
    </row>
    <row r="114" spans="2:23" ht="18" x14ac:dyDescent="0.35">
      <c r="B114" s="95"/>
      <c r="C114" s="96"/>
      <c r="D114" s="97"/>
      <c r="E114" s="113"/>
      <c r="F114" s="90"/>
      <c r="G114" s="91"/>
      <c r="H114" s="92"/>
      <c r="I114" s="105"/>
      <c r="J114" s="83"/>
      <c r="K114" s="83"/>
      <c r="L114" s="12"/>
      <c r="M114" s="28"/>
      <c r="N114" s="14"/>
      <c r="O114" s="11"/>
      <c r="P114" s="11"/>
      <c r="Q114" s="16"/>
      <c r="R114" s="2"/>
      <c r="S114" s="12"/>
      <c r="T114" s="17"/>
      <c r="U114" s="2"/>
      <c r="V114" s="18"/>
      <c r="W114" s="16"/>
    </row>
    <row r="115" spans="2:23" ht="18" x14ac:dyDescent="0.35">
      <c r="B115" s="95"/>
      <c r="C115" s="96"/>
      <c r="D115" s="97"/>
      <c r="E115" s="113"/>
      <c r="F115" s="90"/>
      <c r="G115" s="91"/>
      <c r="H115" s="92"/>
      <c r="I115" s="105"/>
      <c r="J115" s="83"/>
      <c r="K115" s="83"/>
      <c r="L115" s="12"/>
      <c r="M115" s="28"/>
      <c r="N115" s="14"/>
      <c r="O115" s="11"/>
      <c r="P115" s="11"/>
      <c r="Q115" s="16"/>
      <c r="R115" s="2"/>
      <c r="S115" s="12"/>
      <c r="T115" s="17"/>
      <c r="U115" s="2"/>
      <c r="V115" s="18"/>
      <c r="W115" s="16"/>
    </row>
    <row r="116" spans="2:23" ht="18" x14ac:dyDescent="0.35">
      <c r="B116" s="95"/>
      <c r="C116" s="96"/>
      <c r="D116" s="97"/>
      <c r="E116" s="113"/>
      <c r="F116" s="90"/>
      <c r="G116" s="91"/>
      <c r="H116" s="92"/>
      <c r="I116" s="105"/>
      <c r="J116" s="83"/>
      <c r="K116" s="83"/>
      <c r="L116" s="12"/>
      <c r="M116" s="28"/>
      <c r="N116" s="14"/>
      <c r="O116" s="11"/>
      <c r="P116" s="11"/>
      <c r="Q116" s="16"/>
      <c r="R116" s="2"/>
      <c r="S116" s="12"/>
      <c r="T116" s="17"/>
      <c r="U116" s="2"/>
      <c r="V116" s="18"/>
      <c r="W116" s="16"/>
    </row>
    <row r="117" spans="2:23" ht="18" x14ac:dyDescent="0.35">
      <c r="B117" s="95"/>
      <c r="C117" s="96"/>
      <c r="D117" s="97"/>
      <c r="E117" s="113"/>
      <c r="F117" s="90"/>
      <c r="G117" s="91"/>
      <c r="H117" s="92"/>
      <c r="I117" s="105"/>
      <c r="J117" s="83"/>
      <c r="K117" s="83"/>
      <c r="L117" s="12"/>
      <c r="M117" s="28"/>
      <c r="N117" s="14"/>
      <c r="O117" s="11"/>
      <c r="P117" s="11"/>
      <c r="Q117" s="16"/>
      <c r="R117" s="2"/>
      <c r="S117" s="12"/>
      <c r="T117" s="17"/>
      <c r="U117" s="2"/>
      <c r="V117" s="18"/>
      <c r="W117" s="16"/>
    </row>
    <row r="118" spans="2:23" ht="18" x14ac:dyDescent="0.35">
      <c r="B118" s="95"/>
      <c r="C118" s="96"/>
      <c r="D118" s="97"/>
      <c r="E118" s="113"/>
      <c r="F118" s="90"/>
      <c r="G118" s="91"/>
      <c r="H118" s="92"/>
      <c r="I118" s="105"/>
      <c r="J118" s="83"/>
      <c r="K118" s="83"/>
      <c r="L118" s="12"/>
      <c r="M118" s="28"/>
      <c r="N118" s="14"/>
      <c r="O118" s="11"/>
      <c r="P118" s="11"/>
      <c r="Q118" s="16"/>
      <c r="R118" s="2"/>
      <c r="S118" s="12"/>
      <c r="T118" s="17"/>
      <c r="U118" s="2"/>
      <c r="V118" s="18"/>
      <c r="W118" s="16"/>
    </row>
    <row r="119" spans="2:23" ht="18" x14ac:dyDescent="0.35">
      <c r="B119" s="95"/>
      <c r="C119" s="96"/>
      <c r="D119" s="97"/>
      <c r="E119" s="113"/>
      <c r="F119" s="90"/>
      <c r="G119" s="91"/>
      <c r="H119" s="92"/>
      <c r="I119" s="105"/>
      <c r="J119" s="83"/>
      <c r="K119" s="83"/>
      <c r="L119" s="12"/>
      <c r="M119" s="28"/>
      <c r="N119" s="14"/>
      <c r="O119" s="11"/>
      <c r="P119" s="11"/>
      <c r="Q119" s="16"/>
      <c r="R119" s="2"/>
      <c r="S119" s="12"/>
      <c r="T119" s="17"/>
      <c r="U119" s="2"/>
      <c r="V119" s="18"/>
      <c r="W119" s="16"/>
    </row>
    <row r="120" spans="2:23" ht="18" x14ac:dyDescent="0.35">
      <c r="B120" s="95"/>
      <c r="C120" s="96"/>
      <c r="D120" s="97"/>
      <c r="E120" s="113"/>
      <c r="F120" s="90"/>
      <c r="G120" s="91"/>
      <c r="H120" s="92"/>
      <c r="I120" s="105"/>
      <c r="J120" s="83"/>
      <c r="K120" s="83"/>
      <c r="L120" s="12"/>
      <c r="M120" s="28"/>
      <c r="N120" s="14"/>
      <c r="O120" s="11"/>
      <c r="P120" s="11"/>
      <c r="Q120" s="16"/>
      <c r="R120" s="2"/>
      <c r="S120" s="12"/>
      <c r="T120" s="17"/>
      <c r="U120" s="2"/>
      <c r="V120" s="18"/>
      <c r="W120" s="16"/>
    </row>
    <row r="121" spans="2:23" ht="18" x14ac:dyDescent="0.35">
      <c r="B121" s="95"/>
      <c r="C121" s="96"/>
      <c r="D121" s="97"/>
      <c r="E121" s="113"/>
      <c r="F121" s="90"/>
      <c r="G121" s="91"/>
      <c r="H121" s="92"/>
      <c r="I121" s="105"/>
      <c r="J121" s="83"/>
      <c r="K121" s="83"/>
      <c r="L121" s="12"/>
      <c r="M121" s="28"/>
      <c r="N121" s="14"/>
      <c r="O121" s="11"/>
      <c r="P121" s="11"/>
      <c r="Q121" s="16"/>
      <c r="R121" s="2"/>
      <c r="S121" s="12"/>
      <c r="T121" s="17"/>
      <c r="U121" s="2"/>
      <c r="V121" s="18"/>
      <c r="W121" s="16"/>
    </row>
    <row r="122" spans="2:23" ht="18" x14ac:dyDescent="0.35">
      <c r="B122" s="95"/>
      <c r="C122" s="96"/>
      <c r="D122" s="97"/>
      <c r="E122" s="113"/>
      <c r="F122" s="99"/>
      <c r="G122" s="100"/>
      <c r="H122" s="101"/>
      <c r="I122" s="105"/>
      <c r="J122" s="83"/>
      <c r="K122" s="83"/>
      <c r="L122" s="12"/>
      <c r="M122" s="28"/>
      <c r="N122" s="14"/>
      <c r="O122" s="11"/>
      <c r="P122" s="11"/>
      <c r="Q122" s="16"/>
      <c r="R122" s="2"/>
      <c r="S122" s="12"/>
      <c r="T122" s="17"/>
      <c r="U122" s="2"/>
      <c r="V122" s="18"/>
      <c r="W122" s="16"/>
    </row>
    <row r="123" spans="2:23" ht="18" x14ac:dyDescent="0.35">
      <c r="B123" s="95"/>
      <c r="C123" s="96"/>
      <c r="D123" s="97"/>
      <c r="E123" s="113"/>
      <c r="F123" s="99"/>
      <c r="G123" s="100"/>
      <c r="H123" s="101"/>
      <c r="I123" s="105"/>
      <c r="J123" s="83"/>
      <c r="K123" s="83"/>
      <c r="L123" s="12"/>
      <c r="M123" s="28"/>
      <c r="N123" s="14"/>
      <c r="O123" s="11"/>
      <c r="P123" s="11"/>
      <c r="Q123" s="16"/>
      <c r="R123" s="2"/>
      <c r="S123" s="12"/>
      <c r="T123" s="17"/>
      <c r="U123" s="2"/>
      <c r="V123" s="18"/>
      <c r="W123" s="16"/>
    </row>
    <row r="124" spans="2:23" ht="18" x14ac:dyDescent="0.35">
      <c r="B124" s="95"/>
      <c r="C124" s="96"/>
      <c r="D124" s="97"/>
      <c r="E124" s="113"/>
      <c r="F124" s="99"/>
      <c r="G124" s="100"/>
      <c r="H124" s="101"/>
      <c r="I124" s="105"/>
      <c r="J124" s="83"/>
      <c r="K124" s="83"/>
      <c r="L124" s="12"/>
      <c r="M124" s="28"/>
      <c r="N124" s="14"/>
      <c r="O124" s="11"/>
      <c r="P124" s="11"/>
      <c r="Q124" s="16"/>
      <c r="R124" s="2"/>
      <c r="S124" s="12"/>
      <c r="T124" s="17"/>
      <c r="U124" s="2"/>
      <c r="V124" s="18"/>
      <c r="W124" s="16"/>
    </row>
    <row r="125" spans="2:23" ht="18" x14ac:dyDescent="0.35">
      <c r="B125" s="95"/>
      <c r="C125" s="96"/>
      <c r="D125" s="97"/>
      <c r="E125" s="113"/>
      <c r="F125" s="99"/>
      <c r="G125" s="100"/>
      <c r="H125" s="101"/>
      <c r="I125" s="105"/>
      <c r="J125" s="83"/>
      <c r="K125" s="83"/>
      <c r="L125" s="12"/>
      <c r="M125" s="28"/>
      <c r="N125" s="14"/>
      <c r="O125" s="11"/>
      <c r="P125" s="11"/>
      <c r="Q125" s="16"/>
      <c r="R125" s="2"/>
      <c r="S125" s="12"/>
      <c r="T125" s="17"/>
      <c r="U125" s="2"/>
      <c r="V125" s="18"/>
      <c r="W125" s="16"/>
    </row>
    <row r="126" spans="2:23" ht="18" x14ac:dyDescent="0.35">
      <c r="B126" s="95"/>
      <c r="C126" s="96"/>
      <c r="D126" s="97"/>
      <c r="E126" s="113"/>
      <c r="F126" s="99"/>
      <c r="G126" s="100"/>
      <c r="H126" s="101"/>
      <c r="I126" s="105"/>
      <c r="J126" s="83"/>
      <c r="K126" s="83"/>
      <c r="L126" s="12"/>
      <c r="M126" s="28"/>
      <c r="N126" s="14"/>
      <c r="O126" s="11"/>
      <c r="P126" s="11"/>
      <c r="Q126" s="16"/>
      <c r="R126" s="2"/>
      <c r="S126" s="12"/>
      <c r="T126" s="17"/>
      <c r="U126" s="2"/>
      <c r="V126" s="18"/>
      <c r="W126" s="16"/>
    </row>
    <row r="127" spans="2:23" ht="18" x14ac:dyDescent="0.35">
      <c r="B127" s="95"/>
      <c r="C127" s="96"/>
      <c r="D127" s="97"/>
      <c r="E127" s="113"/>
      <c r="F127" s="99"/>
      <c r="G127" s="100"/>
      <c r="H127" s="101"/>
      <c r="I127" s="105"/>
      <c r="J127" s="83"/>
      <c r="K127" s="83"/>
      <c r="L127" s="12"/>
      <c r="M127" s="28"/>
      <c r="N127" s="14"/>
      <c r="O127" s="11"/>
      <c r="P127" s="11"/>
      <c r="Q127" s="16"/>
      <c r="R127" s="2"/>
      <c r="S127" s="12"/>
      <c r="T127" s="17"/>
      <c r="U127" s="2"/>
      <c r="V127" s="18"/>
      <c r="W127" s="16"/>
    </row>
    <row r="128" spans="2:23" ht="18" x14ac:dyDescent="0.35">
      <c r="B128" s="95"/>
      <c r="C128" s="96"/>
      <c r="D128" s="97"/>
      <c r="E128" s="113"/>
      <c r="F128" s="99"/>
      <c r="G128" s="100"/>
      <c r="H128" s="101"/>
      <c r="I128" s="105"/>
      <c r="J128" s="83"/>
      <c r="K128" s="83"/>
      <c r="L128" s="12"/>
      <c r="M128" s="28"/>
      <c r="N128" s="14"/>
      <c r="O128" s="11"/>
      <c r="P128" s="11"/>
      <c r="Q128" s="16"/>
      <c r="R128" s="2"/>
      <c r="S128" s="12"/>
      <c r="T128" s="17"/>
      <c r="U128" s="2"/>
      <c r="V128" s="18"/>
      <c r="W128" s="16"/>
    </row>
    <row r="129" spans="1:23" ht="18.600000000000001" thickBot="1" x14ac:dyDescent="0.4">
      <c r="B129" s="114"/>
      <c r="C129" s="115"/>
      <c r="D129" s="116"/>
      <c r="E129" s="113"/>
      <c r="F129" s="117"/>
      <c r="G129" s="118"/>
      <c r="H129" s="119"/>
      <c r="I129" s="105"/>
      <c r="J129" s="83"/>
      <c r="K129" s="83"/>
      <c r="L129" s="30"/>
      <c r="M129" s="31"/>
      <c r="N129" s="32"/>
      <c r="O129" s="29"/>
      <c r="P129" s="29"/>
      <c r="Q129" s="33"/>
      <c r="R129" s="2"/>
      <c r="S129" s="30"/>
      <c r="T129" s="34"/>
      <c r="U129" s="2"/>
      <c r="V129" s="35"/>
      <c r="W129" s="33"/>
    </row>
    <row r="130" spans="1:23" ht="18.600000000000001" thickBot="1" x14ac:dyDescent="0.4">
      <c r="A130" s="120" t="s">
        <v>15</v>
      </c>
      <c r="B130" s="121">
        <f>SUM(B9:B129)</f>
        <v>0</v>
      </c>
      <c r="C130" s="122"/>
      <c r="D130" s="121"/>
      <c r="E130" s="123">
        <f>SUM(E9:E129)</f>
        <v>0</v>
      </c>
      <c r="F130" s="124">
        <f>SUM(F9:F129)</f>
        <v>0</v>
      </c>
      <c r="G130" s="82"/>
      <c r="H130" s="125"/>
      <c r="I130" s="125">
        <f>SUM(I9:I129)</f>
        <v>0</v>
      </c>
      <c r="J130" s="83"/>
      <c r="K130" s="83"/>
      <c r="L130" s="126"/>
      <c r="M130" s="126">
        <f>SUM(M9:M129)</f>
        <v>0</v>
      </c>
      <c r="N130" s="127">
        <f>SUM(N9:N129)</f>
        <v>0</v>
      </c>
      <c r="O130" s="82"/>
      <c r="P130" s="82">
        <f>SUM(P9:P129)</f>
        <v>0</v>
      </c>
      <c r="Q130" s="128">
        <f>SUM(Q9:Q129)</f>
        <v>0</v>
      </c>
      <c r="R130" s="83"/>
      <c r="S130" s="84"/>
      <c r="T130" s="129">
        <f>SUM(T9:T129)</f>
        <v>0</v>
      </c>
      <c r="U130" s="83"/>
      <c r="V130" s="82"/>
      <c r="W130" s="130">
        <f>SUM(W9:W129)</f>
        <v>0</v>
      </c>
    </row>
  </sheetData>
  <mergeCells count="8">
    <mergeCell ref="V5:W5"/>
    <mergeCell ref="Y5:Z5"/>
    <mergeCell ref="E1:G1"/>
    <mergeCell ref="B2:C2"/>
    <mergeCell ref="B3:C3"/>
    <mergeCell ref="B5:I5"/>
    <mergeCell ref="L5:Q5"/>
    <mergeCell ref="S5:T5"/>
  </mergeCells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0F095-1F76-4ED6-9199-C7D6F3328AA9}">
  <sheetPr codeName="Sheet59"/>
  <dimension ref="A1:Z130"/>
  <sheetViews>
    <sheetView zoomScale="80" zoomScaleNormal="80" workbookViewId="0">
      <selection activeCell="L5" sqref="L5:Q9"/>
    </sheetView>
  </sheetViews>
  <sheetFormatPr defaultColWidth="9.109375" defaultRowHeight="14.4" x14ac:dyDescent="0.3"/>
  <cols>
    <col min="1" max="1" width="15.5546875" style="36" customWidth="1"/>
    <col min="2" max="2" width="15.88671875" style="36" customWidth="1"/>
    <col min="3" max="3" width="20" style="76" customWidth="1"/>
    <col min="4" max="4" width="20.33203125" style="36" customWidth="1"/>
    <col min="5" max="5" width="22.33203125" style="36" customWidth="1"/>
    <col min="6" max="6" width="14.6640625" style="36" customWidth="1"/>
    <col min="7" max="7" width="22" style="76" customWidth="1"/>
    <col min="8" max="8" width="18.88671875" style="36" customWidth="1"/>
    <col min="9" max="9" width="23" style="36" customWidth="1"/>
    <col min="10" max="11" width="9.109375" style="36"/>
    <col min="12" max="12" width="20.6640625" style="76" customWidth="1"/>
    <col min="13" max="13" width="15.44140625" style="76" customWidth="1"/>
    <col min="14" max="14" width="22.6640625" style="36" customWidth="1"/>
    <col min="15" max="15" width="20.5546875" style="76" customWidth="1"/>
    <col min="16" max="16" width="13.33203125" style="76" customWidth="1"/>
    <col min="17" max="17" width="21.5546875" style="76" customWidth="1"/>
    <col min="18" max="18" width="9.109375" style="36"/>
    <col min="19" max="19" width="22" style="76" customWidth="1"/>
    <col min="20" max="20" width="22.33203125" style="76" customWidth="1"/>
    <col min="21" max="21" width="9.109375" style="36"/>
    <col min="22" max="22" width="21.88671875" style="76" customWidth="1"/>
    <col min="23" max="23" width="23.109375" style="76" customWidth="1"/>
    <col min="24" max="24" width="9.109375" style="36"/>
    <col min="25" max="25" width="21.33203125" style="36" customWidth="1"/>
    <col min="26" max="26" width="21.88671875" style="36" customWidth="1"/>
    <col min="27" max="16384" width="9.109375" style="36"/>
  </cols>
  <sheetData>
    <row r="1" spans="2:26" ht="21" x14ac:dyDescent="0.4">
      <c r="E1" s="189">
        <v>44195</v>
      </c>
      <c r="F1" s="189"/>
      <c r="G1" s="189"/>
    </row>
    <row r="2" spans="2:26" ht="18" x14ac:dyDescent="0.35">
      <c r="B2" s="190" t="s">
        <v>0</v>
      </c>
      <c r="C2" s="190"/>
      <c r="D2" s="1"/>
    </row>
    <row r="3" spans="2:26" ht="18" x14ac:dyDescent="0.35">
      <c r="B3" s="190" t="s">
        <v>1</v>
      </c>
      <c r="C3" s="190"/>
      <c r="D3" s="77">
        <f>(D2-E130-I130)</f>
        <v>0</v>
      </c>
    </row>
    <row r="5" spans="2:26" ht="36.6" x14ac:dyDescent="0.7">
      <c r="B5" s="187" t="s">
        <v>2</v>
      </c>
      <c r="C5" s="187"/>
      <c r="D5" s="187"/>
      <c r="E5" s="187"/>
      <c r="F5" s="187"/>
      <c r="G5" s="187"/>
      <c r="H5" s="187"/>
      <c r="I5" s="187"/>
      <c r="L5" s="187" t="s">
        <v>3</v>
      </c>
      <c r="M5" s="187"/>
      <c r="N5" s="187"/>
      <c r="O5" s="187"/>
      <c r="P5" s="187"/>
      <c r="Q5" s="187"/>
      <c r="S5" s="191" t="s">
        <v>4</v>
      </c>
      <c r="T5" s="191"/>
      <c r="V5" s="187" t="s">
        <v>5</v>
      </c>
      <c r="W5" s="187"/>
      <c r="Y5" s="188" t="s">
        <v>105</v>
      </c>
      <c r="Z5" s="187"/>
    </row>
    <row r="7" spans="2:26" ht="15" thickBot="1" x14ac:dyDescent="0.35"/>
    <row r="8" spans="2:26" ht="18.600000000000001" thickBot="1" x14ac:dyDescent="0.4">
      <c r="B8" s="78" t="s">
        <v>6</v>
      </c>
      <c r="C8" s="79" t="s">
        <v>7</v>
      </c>
      <c r="D8" s="78" t="s">
        <v>8</v>
      </c>
      <c r="E8" s="80" t="s">
        <v>9</v>
      </c>
      <c r="F8" s="81" t="s">
        <v>6</v>
      </c>
      <c r="G8" s="81" t="s">
        <v>10</v>
      </c>
      <c r="H8" s="81" t="s">
        <v>8</v>
      </c>
      <c r="I8" s="82" t="s">
        <v>9</v>
      </c>
      <c r="J8" s="83"/>
      <c r="K8" s="83"/>
      <c r="L8" s="84" t="s">
        <v>11</v>
      </c>
      <c r="M8" s="84" t="s">
        <v>6</v>
      </c>
      <c r="N8" s="84" t="s">
        <v>9</v>
      </c>
      <c r="O8" s="82" t="s">
        <v>12</v>
      </c>
      <c r="P8" s="82" t="s">
        <v>6</v>
      </c>
      <c r="Q8" s="82" t="s">
        <v>9</v>
      </c>
      <c r="R8" s="83"/>
      <c r="S8" s="84" t="s">
        <v>13</v>
      </c>
      <c r="T8" s="85" t="s">
        <v>9</v>
      </c>
      <c r="U8" s="83"/>
      <c r="V8" s="82" t="s">
        <v>14</v>
      </c>
      <c r="W8" s="82" t="s">
        <v>9</v>
      </c>
      <c r="Y8" s="146" t="s">
        <v>106</v>
      </c>
      <c r="Z8" s="147" t="s">
        <v>107</v>
      </c>
    </row>
    <row r="9" spans="2:26" ht="18" x14ac:dyDescent="0.35">
      <c r="B9" s="86"/>
      <c r="C9" s="87"/>
      <c r="D9" s="88"/>
      <c r="E9" s="89"/>
      <c r="F9" s="90"/>
      <c r="G9" s="91"/>
      <c r="H9" s="92"/>
      <c r="I9" s="93"/>
      <c r="J9" s="83"/>
      <c r="K9" s="83"/>
      <c r="L9" s="3"/>
      <c r="M9" s="4"/>
      <c r="N9" s="5"/>
      <c r="O9" s="6"/>
      <c r="P9" s="7"/>
      <c r="Q9" s="8"/>
      <c r="R9" s="2"/>
      <c r="S9" s="3"/>
      <c r="T9" s="9"/>
      <c r="U9" s="2"/>
      <c r="V9" s="10"/>
      <c r="W9" s="8"/>
      <c r="Y9" s="148" t="s">
        <v>88</v>
      </c>
      <c r="Z9" s="151">
        <f>SUMIF($C$9:$C$129, Y9, $B$9:$B$129)</f>
        <v>0</v>
      </c>
    </row>
    <row r="10" spans="2:26" ht="18" x14ac:dyDescent="0.35">
      <c r="B10" s="95"/>
      <c r="C10" s="96"/>
      <c r="D10" s="97"/>
      <c r="E10" s="98"/>
      <c r="F10" s="90"/>
      <c r="G10" s="91"/>
      <c r="H10" s="92"/>
      <c r="I10" s="93"/>
      <c r="J10" s="83"/>
      <c r="K10" s="83"/>
      <c r="L10" s="12"/>
      <c r="M10" s="13"/>
      <c r="N10" s="14"/>
      <c r="O10" s="11"/>
      <c r="P10" s="15"/>
      <c r="Q10" s="16"/>
      <c r="R10" s="2"/>
      <c r="S10" s="12"/>
      <c r="T10" s="17"/>
      <c r="U10" s="2"/>
      <c r="V10" s="18"/>
      <c r="W10" s="8"/>
      <c r="Y10" s="149" t="s">
        <v>76</v>
      </c>
      <c r="Z10" s="151">
        <f t="shared" ref="Z10:Z11" si="0">SUMIF($C$9:$C$129, Y10, $B$9:$B$129)</f>
        <v>0</v>
      </c>
    </row>
    <row r="11" spans="2:26" ht="18" x14ac:dyDescent="0.35">
      <c r="B11" s="95"/>
      <c r="C11" s="96"/>
      <c r="D11" s="97"/>
      <c r="E11" s="98"/>
      <c r="F11" s="90"/>
      <c r="G11" s="91"/>
      <c r="H11" s="92"/>
      <c r="I11" s="93"/>
      <c r="J11" s="83"/>
      <c r="K11" s="83"/>
      <c r="L11" s="12"/>
      <c r="M11" s="13"/>
      <c r="N11" s="14"/>
      <c r="O11" s="11"/>
      <c r="P11" s="15"/>
      <c r="Q11" s="16"/>
      <c r="R11" s="2"/>
      <c r="S11" s="12"/>
      <c r="T11" s="17"/>
      <c r="U11" s="2"/>
      <c r="V11" s="18"/>
      <c r="W11" s="8"/>
      <c r="Y11" s="149" t="s">
        <v>77</v>
      </c>
      <c r="Z11" s="151">
        <f t="shared" si="0"/>
        <v>0</v>
      </c>
    </row>
    <row r="12" spans="2:26" ht="18" x14ac:dyDescent="0.35">
      <c r="B12" s="95"/>
      <c r="C12" s="96"/>
      <c r="D12" s="97"/>
      <c r="E12" s="98"/>
      <c r="F12" s="90"/>
      <c r="G12" s="91"/>
      <c r="H12" s="92"/>
      <c r="I12" s="93"/>
      <c r="J12" s="83"/>
      <c r="K12" s="83"/>
      <c r="L12" s="12"/>
      <c r="M12" s="13"/>
      <c r="N12" s="14"/>
      <c r="O12" s="11"/>
      <c r="P12" s="15"/>
      <c r="Q12" s="16"/>
      <c r="R12" s="2"/>
      <c r="S12" s="12"/>
      <c r="T12" s="17"/>
      <c r="U12" s="2"/>
      <c r="V12" s="18"/>
      <c r="W12" s="8"/>
      <c r="Y12" s="149" t="s">
        <v>89</v>
      </c>
      <c r="Z12" s="152">
        <f>SUMIF($G$9:$G$129, Y12, $F$9:$F$129)</f>
        <v>0</v>
      </c>
    </row>
    <row r="13" spans="2:26" ht="18" x14ac:dyDescent="0.35">
      <c r="B13" s="95"/>
      <c r="C13" s="96"/>
      <c r="D13" s="97"/>
      <c r="E13" s="98"/>
      <c r="F13" s="90"/>
      <c r="G13" s="91"/>
      <c r="H13" s="92"/>
      <c r="I13" s="93"/>
      <c r="J13" s="83"/>
      <c r="K13" s="83"/>
      <c r="L13" s="12"/>
      <c r="M13" s="13"/>
      <c r="N13" s="14"/>
      <c r="O13" s="11"/>
      <c r="P13" s="15"/>
      <c r="Q13" s="16"/>
      <c r="R13" s="2"/>
      <c r="S13" s="12"/>
      <c r="T13" s="17"/>
      <c r="U13" s="2"/>
      <c r="V13" s="18"/>
      <c r="W13" s="8"/>
      <c r="Y13" s="149" t="s">
        <v>20</v>
      </c>
      <c r="Z13" s="152">
        <f t="shared" ref="Z13:Z76" si="1">SUMIF($G$9:$G$129, Y13, $F$9:$F$129)</f>
        <v>0</v>
      </c>
    </row>
    <row r="14" spans="2:26" ht="18" x14ac:dyDescent="0.35">
      <c r="B14" s="95"/>
      <c r="C14" s="96"/>
      <c r="D14" s="97"/>
      <c r="E14" s="98"/>
      <c r="F14" s="90"/>
      <c r="G14" s="91"/>
      <c r="H14" s="92"/>
      <c r="I14" s="93"/>
      <c r="J14" s="83"/>
      <c r="K14" s="83"/>
      <c r="L14" s="12"/>
      <c r="M14" s="13"/>
      <c r="N14" s="14"/>
      <c r="O14" s="11"/>
      <c r="P14" s="15"/>
      <c r="Q14" s="16"/>
      <c r="R14" s="2"/>
      <c r="S14" s="12"/>
      <c r="T14" s="17"/>
      <c r="U14" s="2"/>
      <c r="V14" s="18"/>
      <c r="W14" s="8"/>
      <c r="Y14" s="149" t="s">
        <v>19</v>
      </c>
      <c r="Z14" s="152">
        <f t="shared" si="1"/>
        <v>0</v>
      </c>
    </row>
    <row r="15" spans="2:26" ht="18" x14ac:dyDescent="0.35">
      <c r="B15" s="95"/>
      <c r="C15" s="96"/>
      <c r="D15" s="97"/>
      <c r="E15" s="98"/>
      <c r="F15" s="90"/>
      <c r="G15" s="91"/>
      <c r="H15" s="92"/>
      <c r="I15" s="93"/>
      <c r="J15" s="83"/>
      <c r="K15" s="83"/>
      <c r="L15" s="12"/>
      <c r="M15" s="13"/>
      <c r="N15" s="14"/>
      <c r="O15" s="11"/>
      <c r="P15" s="15"/>
      <c r="Q15" s="16"/>
      <c r="R15" s="2"/>
      <c r="S15" s="12"/>
      <c r="T15" s="17"/>
      <c r="U15" s="2"/>
      <c r="V15" s="18"/>
      <c r="W15" s="8"/>
      <c r="Y15" s="149" t="s">
        <v>18</v>
      </c>
      <c r="Z15" s="152">
        <f t="shared" si="1"/>
        <v>0</v>
      </c>
    </row>
    <row r="16" spans="2:26" ht="18" x14ac:dyDescent="0.35">
      <c r="B16" s="95"/>
      <c r="C16" s="96"/>
      <c r="D16" s="97"/>
      <c r="E16" s="98"/>
      <c r="F16" s="90"/>
      <c r="G16" s="91"/>
      <c r="H16" s="92"/>
      <c r="I16" s="93"/>
      <c r="J16" s="83"/>
      <c r="K16" s="83"/>
      <c r="L16" s="12"/>
      <c r="M16" s="13"/>
      <c r="N16" s="14"/>
      <c r="O16" s="11"/>
      <c r="P16" s="15"/>
      <c r="Q16" s="16"/>
      <c r="R16" s="2"/>
      <c r="S16" s="12"/>
      <c r="T16" s="17"/>
      <c r="U16" s="2"/>
      <c r="V16" s="18"/>
      <c r="W16" s="8"/>
      <c r="Y16" s="149" t="s">
        <v>22</v>
      </c>
      <c r="Z16" s="152">
        <f t="shared" si="1"/>
        <v>0</v>
      </c>
    </row>
    <row r="17" spans="2:26" ht="18" x14ac:dyDescent="0.35">
      <c r="B17" s="95"/>
      <c r="C17" s="96"/>
      <c r="D17" s="97"/>
      <c r="E17" s="98"/>
      <c r="F17" s="90"/>
      <c r="G17" s="91"/>
      <c r="H17" s="92"/>
      <c r="I17" s="93"/>
      <c r="J17" s="83"/>
      <c r="K17" s="83"/>
      <c r="L17" s="12"/>
      <c r="M17" s="13"/>
      <c r="N17" s="14"/>
      <c r="O17" s="11"/>
      <c r="P17" s="15"/>
      <c r="Q17" s="16"/>
      <c r="R17" s="2"/>
      <c r="S17" s="12"/>
      <c r="T17" s="17"/>
      <c r="U17" s="2"/>
      <c r="V17" s="18"/>
      <c r="W17" s="8"/>
      <c r="Y17" s="149" t="s">
        <v>67</v>
      </c>
      <c r="Z17" s="152">
        <f t="shared" si="1"/>
        <v>0</v>
      </c>
    </row>
    <row r="18" spans="2:26" ht="18" x14ac:dyDescent="0.35">
      <c r="B18" s="95"/>
      <c r="C18" s="96"/>
      <c r="D18" s="97"/>
      <c r="E18" s="98"/>
      <c r="F18" s="90"/>
      <c r="G18" s="91"/>
      <c r="H18" s="92"/>
      <c r="I18" s="93"/>
      <c r="J18" s="83"/>
      <c r="K18" s="83"/>
      <c r="L18" s="12"/>
      <c r="M18" s="13"/>
      <c r="N18" s="14"/>
      <c r="O18" s="11"/>
      <c r="P18" s="15"/>
      <c r="Q18" s="16"/>
      <c r="R18" s="2"/>
      <c r="S18" s="12"/>
      <c r="T18" s="17"/>
      <c r="U18" s="2"/>
      <c r="V18" s="18"/>
      <c r="W18" s="8"/>
      <c r="Y18" s="149" t="s">
        <v>90</v>
      </c>
      <c r="Z18" s="152">
        <f t="shared" si="1"/>
        <v>0</v>
      </c>
    </row>
    <row r="19" spans="2:26" ht="18" x14ac:dyDescent="0.35">
      <c r="B19" s="95"/>
      <c r="C19" s="96"/>
      <c r="D19" s="97"/>
      <c r="E19" s="98"/>
      <c r="F19" s="90"/>
      <c r="G19" s="91"/>
      <c r="H19" s="92"/>
      <c r="I19" s="93"/>
      <c r="J19" s="83"/>
      <c r="K19" s="83"/>
      <c r="L19" s="12"/>
      <c r="M19" s="13"/>
      <c r="N19" s="14"/>
      <c r="O19" s="11"/>
      <c r="P19" s="15"/>
      <c r="Q19" s="16"/>
      <c r="R19" s="2"/>
      <c r="S19" s="12"/>
      <c r="T19" s="17"/>
      <c r="U19" s="2"/>
      <c r="V19" s="18"/>
      <c r="W19" s="8"/>
      <c r="Y19" s="149" t="s">
        <v>91</v>
      </c>
      <c r="Z19" s="152">
        <f t="shared" si="1"/>
        <v>0</v>
      </c>
    </row>
    <row r="20" spans="2:26" ht="18" x14ac:dyDescent="0.35">
      <c r="B20" s="95"/>
      <c r="C20" s="96"/>
      <c r="D20" s="97"/>
      <c r="E20" s="98"/>
      <c r="F20" s="90"/>
      <c r="G20" s="91"/>
      <c r="H20" s="92"/>
      <c r="I20" s="93"/>
      <c r="J20" s="83"/>
      <c r="K20" s="83"/>
      <c r="L20" s="12"/>
      <c r="M20" s="13"/>
      <c r="N20" s="14"/>
      <c r="O20" s="11"/>
      <c r="P20" s="15"/>
      <c r="Q20" s="16"/>
      <c r="R20" s="2"/>
      <c r="S20" s="12"/>
      <c r="T20" s="17"/>
      <c r="U20" s="2"/>
      <c r="V20" s="18"/>
      <c r="W20" s="8"/>
      <c r="Y20" s="149" t="s">
        <v>92</v>
      </c>
      <c r="Z20" s="152">
        <f t="shared" si="1"/>
        <v>0</v>
      </c>
    </row>
    <row r="21" spans="2:26" ht="18" x14ac:dyDescent="0.35">
      <c r="B21" s="95"/>
      <c r="C21" s="96"/>
      <c r="D21" s="97"/>
      <c r="E21" s="98"/>
      <c r="F21" s="90"/>
      <c r="G21" s="91"/>
      <c r="H21" s="92"/>
      <c r="I21" s="93"/>
      <c r="J21" s="83"/>
      <c r="K21" s="83"/>
      <c r="L21" s="12"/>
      <c r="M21" s="13"/>
      <c r="N21" s="14"/>
      <c r="O21" s="11"/>
      <c r="P21" s="15"/>
      <c r="Q21" s="16"/>
      <c r="R21" s="2"/>
      <c r="S21" s="12"/>
      <c r="T21" s="17"/>
      <c r="U21" s="2"/>
      <c r="V21" s="18"/>
      <c r="W21" s="8"/>
      <c r="Y21" s="149" t="s">
        <v>68</v>
      </c>
      <c r="Z21" s="152">
        <f t="shared" si="1"/>
        <v>0</v>
      </c>
    </row>
    <row r="22" spans="2:26" ht="18" x14ac:dyDescent="0.35">
      <c r="B22" s="95"/>
      <c r="C22" s="96"/>
      <c r="D22" s="97"/>
      <c r="E22" s="98"/>
      <c r="F22" s="90"/>
      <c r="G22" s="91"/>
      <c r="H22" s="92"/>
      <c r="I22" s="93"/>
      <c r="J22" s="83"/>
      <c r="K22" s="83"/>
      <c r="L22" s="12"/>
      <c r="M22" s="13"/>
      <c r="N22" s="14"/>
      <c r="O22" s="11"/>
      <c r="P22" s="15"/>
      <c r="Q22" s="16"/>
      <c r="R22" s="2"/>
      <c r="S22" s="12"/>
      <c r="T22" s="17"/>
      <c r="U22" s="2"/>
      <c r="V22" s="18"/>
      <c r="W22" s="8"/>
      <c r="Y22" s="149" t="s">
        <v>93</v>
      </c>
      <c r="Z22" s="152">
        <f t="shared" si="1"/>
        <v>0</v>
      </c>
    </row>
    <row r="23" spans="2:26" ht="18" x14ac:dyDescent="0.35">
      <c r="B23" s="95"/>
      <c r="C23" s="96"/>
      <c r="D23" s="97"/>
      <c r="E23" s="98"/>
      <c r="F23" s="90"/>
      <c r="G23" s="91"/>
      <c r="H23" s="92"/>
      <c r="I23" s="93"/>
      <c r="J23" s="83"/>
      <c r="K23" s="83"/>
      <c r="L23" s="12"/>
      <c r="M23" s="13"/>
      <c r="N23" s="14"/>
      <c r="O23" s="11"/>
      <c r="P23" s="15"/>
      <c r="Q23" s="16"/>
      <c r="R23" s="2"/>
      <c r="S23" s="12"/>
      <c r="T23" s="17"/>
      <c r="U23" s="2"/>
      <c r="V23" s="18"/>
      <c r="W23" s="8"/>
      <c r="Y23" s="149" t="s">
        <v>23</v>
      </c>
      <c r="Z23" s="152">
        <f t="shared" si="1"/>
        <v>0</v>
      </c>
    </row>
    <row r="24" spans="2:26" ht="18" x14ac:dyDescent="0.35">
      <c r="B24" s="95"/>
      <c r="C24" s="96"/>
      <c r="D24" s="97"/>
      <c r="E24" s="98"/>
      <c r="F24" s="90"/>
      <c r="G24" s="91"/>
      <c r="H24" s="92"/>
      <c r="I24" s="93"/>
      <c r="J24" s="83"/>
      <c r="K24" s="83"/>
      <c r="L24" s="12"/>
      <c r="M24" s="13"/>
      <c r="N24" s="14"/>
      <c r="O24" s="11"/>
      <c r="P24" s="15"/>
      <c r="Q24" s="16"/>
      <c r="R24" s="2"/>
      <c r="S24" s="12"/>
      <c r="T24" s="17"/>
      <c r="U24" s="2"/>
      <c r="V24" s="18"/>
      <c r="W24" s="8"/>
      <c r="Y24" s="149" t="s">
        <v>24</v>
      </c>
      <c r="Z24" s="152">
        <f t="shared" si="1"/>
        <v>0</v>
      </c>
    </row>
    <row r="25" spans="2:26" ht="18" x14ac:dyDescent="0.35">
      <c r="B25" s="95"/>
      <c r="C25" s="96"/>
      <c r="D25" s="97"/>
      <c r="E25" s="98"/>
      <c r="F25" s="90"/>
      <c r="G25" s="91"/>
      <c r="H25" s="92"/>
      <c r="I25" s="93"/>
      <c r="J25" s="83"/>
      <c r="K25" s="83"/>
      <c r="L25" s="12"/>
      <c r="M25" s="13"/>
      <c r="N25" s="14"/>
      <c r="O25" s="11"/>
      <c r="P25" s="15"/>
      <c r="Q25" s="16"/>
      <c r="R25" s="2"/>
      <c r="S25" s="12"/>
      <c r="T25" s="17"/>
      <c r="U25" s="2"/>
      <c r="V25" s="18"/>
      <c r="W25" s="8"/>
      <c r="Y25" s="149" t="s">
        <v>25</v>
      </c>
      <c r="Z25" s="152">
        <f t="shared" si="1"/>
        <v>0</v>
      </c>
    </row>
    <row r="26" spans="2:26" ht="18" x14ac:dyDescent="0.35">
      <c r="B26" s="95"/>
      <c r="C26" s="96"/>
      <c r="D26" s="97"/>
      <c r="E26" s="98"/>
      <c r="F26" s="90"/>
      <c r="G26" s="91"/>
      <c r="H26" s="92"/>
      <c r="I26" s="93"/>
      <c r="J26" s="83"/>
      <c r="K26" s="83"/>
      <c r="L26" s="12"/>
      <c r="M26" s="13"/>
      <c r="N26" s="14"/>
      <c r="O26" s="11"/>
      <c r="P26" s="15"/>
      <c r="Q26" s="16"/>
      <c r="R26" s="2"/>
      <c r="S26" s="12"/>
      <c r="T26" s="17"/>
      <c r="U26" s="2"/>
      <c r="V26" s="18"/>
      <c r="W26" s="8"/>
      <c r="Y26" s="149" t="s">
        <v>98</v>
      </c>
      <c r="Z26" s="152">
        <f t="shared" si="1"/>
        <v>0</v>
      </c>
    </row>
    <row r="27" spans="2:26" ht="18" x14ac:dyDescent="0.35">
      <c r="B27" s="95"/>
      <c r="C27" s="96"/>
      <c r="D27" s="97"/>
      <c r="E27" s="98"/>
      <c r="F27" s="90"/>
      <c r="G27" s="91"/>
      <c r="H27" s="92"/>
      <c r="I27" s="93"/>
      <c r="J27" s="83"/>
      <c r="K27" s="83"/>
      <c r="L27" s="12"/>
      <c r="M27" s="13"/>
      <c r="N27" s="14"/>
      <c r="O27" s="11"/>
      <c r="P27" s="15"/>
      <c r="Q27" s="16"/>
      <c r="R27" s="2"/>
      <c r="S27" s="12"/>
      <c r="T27" s="17"/>
      <c r="U27" s="2"/>
      <c r="V27" s="18"/>
      <c r="W27" s="8"/>
      <c r="Y27" s="149" t="s">
        <v>94</v>
      </c>
      <c r="Z27" s="152">
        <f t="shared" si="1"/>
        <v>0</v>
      </c>
    </row>
    <row r="28" spans="2:26" ht="18" x14ac:dyDescent="0.35">
      <c r="B28" s="95"/>
      <c r="C28" s="96"/>
      <c r="D28" s="97"/>
      <c r="E28" s="98"/>
      <c r="F28" s="90"/>
      <c r="G28" s="91"/>
      <c r="H28" s="92"/>
      <c r="I28" s="93"/>
      <c r="J28" s="83"/>
      <c r="K28" s="83"/>
      <c r="L28" s="12"/>
      <c r="M28" s="13"/>
      <c r="N28" s="14"/>
      <c r="O28" s="11"/>
      <c r="P28" s="15"/>
      <c r="Q28" s="16"/>
      <c r="R28" s="2"/>
      <c r="S28" s="12"/>
      <c r="T28" s="17"/>
      <c r="U28" s="2"/>
      <c r="V28" s="18"/>
      <c r="W28" s="8"/>
      <c r="Y28" s="149" t="s">
        <v>42</v>
      </c>
      <c r="Z28" s="152">
        <f t="shared" si="1"/>
        <v>0</v>
      </c>
    </row>
    <row r="29" spans="2:26" ht="18" x14ac:dyDescent="0.35">
      <c r="B29" s="95"/>
      <c r="C29" s="96"/>
      <c r="D29" s="97"/>
      <c r="E29" s="98"/>
      <c r="F29" s="90"/>
      <c r="G29" s="91"/>
      <c r="H29" s="92"/>
      <c r="I29" s="93"/>
      <c r="J29" s="83"/>
      <c r="K29" s="83"/>
      <c r="L29" s="12"/>
      <c r="M29" s="13"/>
      <c r="N29" s="14"/>
      <c r="O29" s="11"/>
      <c r="P29" s="15"/>
      <c r="Q29" s="16"/>
      <c r="R29" s="2"/>
      <c r="S29" s="12"/>
      <c r="T29" s="17"/>
      <c r="U29" s="2"/>
      <c r="V29" s="18"/>
      <c r="W29" s="8"/>
      <c r="Y29" s="149" t="s">
        <v>39</v>
      </c>
      <c r="Z29" s="152">
        <f t="shared" si="1"/>
        <v>0</v>
      </c>
    </row>
    <row r="30" spans="2:26" ht="18" x14ac:dyDescent="0.35">
      <c r="B30" s="95"/>
      <c r="C30" s="96"/>
      <c r="D30" s="97"/>
      <c r="E30" s="98"/>
      <c r="F30" s="90"/>
      <c r="G30" s="91"/>
      <c r="H30" s="92"/>
      <c r="I30" s="93"/>
      <c r="J30" s="83"/>
      <c r="K30" s="83"/>
      <c r="L30" s="12"/>
      <c r="M30" s="13"/>
      <c r="N30" s="14"/>
      <c r="O30" s="11"/>
      <c r="P30" s="15"/>
      <c r="Q30" s="16"/>
      <c r="R30" s="2"/>
      <c r="S30" s="12"/>
      <c r="T30" s="17"/>
      <c r="U30" s="2"/>
      <c r="V30" s="18"/>
      <c r="W30" s="8"/>
      <c r="Y30" s="149" t="s">
        <v>99</v>
      </c>
      <c r="Z30" s="152">
        <f t="shared" si="1"/>
        <v>0</v>
      </c>
    </row>
    <row r="31" spans="2:26" ht="18" x14ac:dyDescent="0.35">
      <c r="B31" s="95"/>
      <c r="C31" s="96"/>
      <c r="D31" s="97"/>
      <c r="E31" s="98"/>
      <c r="F31" s="90"/>
      <c r="G31" s="91"/>
      <c r="H31" s="92"/>
      <c r="I31" s="93"/>
      <c r="J31" s="83"/>
      <c r="K31" s="83"/>
      <c r="L31" s="12"/>
      <c r="M31" s="13"/>
      <c r="N31" s="14"/>
      <c r="O31" s="11"/>
      <c r="P31" s="15"/>
      <c r="Q31" s="16"/>
      <c r="R31" s="2"/>
      <c r="S31" s="12"/>
      <c r="T31" s="17"/>
      <c r="U31" s="2"/>
      <c r="V31" s="18"/>
      <c r="W31" s="8"/>
      <c r="Y31" s="149" t="s">
        <v>95</v>
      </c>
      <c r="Z31" s="152">
        <f t="shared" si="1"/>
        <v>0</v>
      </c>
    </row>
    <row r="32" spans="2:26" ht="18" x14ac:dyDescent="0.35">
      <c r="B32" s="95"/>
      <c r="C32" s="96"/>
      <c r="D32" s="97"/>
      <c r="E32" s="98"/>
      <c r="F32" s="90"/>
      <c r="G32" s="91"/>
      <c r="H32" s="92"/>
      <c r="I32" s="93"/>
      <c r="J32" s="83"/>
      <c r="K32" s="83"/>
      <c r="L32" s="12"/>
      <c r="M32" s="13"/>
      <c r="N32" s="14"/>
      <c r="O32" s="11"/>
      <c r="P32" s="15"/>
      <c r="Q32" s="16"/>
      <c r="R32" s="2"/>
      <c r="S32" s="12"/>
      <c r="T32" s="17"/>
      <c r="U32" s="2"/>
      <c r="V32" s="18"/>
      <c r="W32" s="8"/>
      <c r="Y32" s="149" t="s">
        <v>97</v>
      </c>
      <c r="Z32" s="152">
        <f t="shared" si="1"/>
        <v>0</v>
      </c>
    </row>
    <row r="33" spans="2:26" ht="18" x14ac:dyDescent="0.35">
      <c r="B33" s="95"/>
      <c r="C33" s="96"/>
      <c r="D33" s="97"/>
      <c r="E33" s="98"/>
      <c r="F33" s="90"/>
      <c r="G33" s="91"/>
      <c r="H33" s="92"/>
      <c r="I33" s="93"/>
      <c r="J33" s="83"/>
      <c r="K33" s="83"/>
      <c r="L33" s="12"/>
      <c r="M33" s="13"/>
      <c r="N33" s="14"/>
      <c r="O33" s="11"/>
      <c r="P33" s="15"/>
      <c r="Q33" s="16"/>
      <c r="R33" s="2"/>
      <c r="S33" s="12"/>
      <c r="T33" s="17"/>
      <c r="U33" s="2"/>
      <c r="V33" s="18"/>
      <c r="W33" s="8"/>
      <c r="Y33" s="149" t="s">
        <v>43</v>
      </c>
      <c r="Z33" s="152">
        <f t="shared" si="1"/>
        <v>0</v>
      </c>
    </row>
    <row r="34" spans="2:26" ht="18" x14ac:dyDescent="0.35">
      <c r="B34" s="95"/>
      <c r="C34" s="96"/>
      <c r="D34" s="97"/>
      <c r="E34" s="98"/>
      <c r="F34" s="90"/>
      <c r="G34" s="91"/>
      <c r="H34" s="92"/>
      <c r="I34" s="93"/>
      <c r="J34" s="83"/>
      <c r="K34" s="83"/>
      <c r="L34" s="12"/>
      <c r="M34" s="13"/>
      <c r="N34" s="14"/>
      <c r="O34" s="11"/>
      <c r="P34" s="15"/>
      <c r="Q34" s="16"/>
      <c r="R34" s="2"/>
      <c r="S34" s="12"/>
      <c r="T34" s="17"/>
      <c r="U34" s="2"/>
      <c r="V34" s="18"/>
      <c r="W34" s="8"/>
      <c r="Y34" s="149" t="s">
        <v>32</v>
      </c>
      <c r="Z34" s="152">
        <f t="shared" si="1"/>
        <v>0</v>
      </c>
    </row>
    <row r="35" spans="2:26" ht="18" x14ac:dyDescent="0.35">
      <c r="B35" s="95"/>
      <c r="C35" s="96"/>
      <c r="D35" s="97"/>
      <c r="E35" s="98"/>
      <c r="F35" s="90"/>
      <c r="G35" s="91"/>
      <c r="H35" s="92"/>
      <c r="I35" s="93"/>
      <c r="J35" s="83"/>
      <c r="K35" s="83"/>
      <c r="L35" s="12"/>
      <c r="M35" s="13"/>
      <c r="N35" s="14"/>
      <c r="O35" s="11"/>
      <c r="P35" s="15"/>
      <c r="Q35" s="16"/>
      <c r="R35" s="2"/>
      <c r="S35" s="12"/>
      <c r="T35" s="17"/>
      <c r="U35" s="2"/>
      <c r="V35" s="18"/>
      <c r="W35" s="8"/>
      <c r="Y35" s="149" t="s">
        <v>33</v>
      </c>
      <c r="Z35" s="152">
        <f t="shared" si="1"/>
        <v>0</v>
      </c>
    </row>
    <row r="36" spans="2:26" ht="18" x14ac:dyDescent="0.35">
      <c r="B36" s="95"/>
      <c r="C36" s="96"/>
      <c r="D36" s="97"/>
      <c r="E36" s="98"/>
      <c r="F36" s="90"/>
      <c r="G36" s="91"/>
      <c r="H36" s="92"/>
      <c r="I36" s="93"/>
      <c r="J36" s="83"/>
      <c r="K36" s="83"/>
      <c r="L36" s="12"/>
      <c r="M36" s="13"/>
      <c r="N36" s="14"/>
      <c r="O36" s="11"/>
      <c r="P36" s="15"/>
      <c r="Q36" s="16"/>
      <c r="R36" s="2"/>
      <c r="S36" s="12"/>
      <c r="T36" s="17"/>
      <c r="U36" s="2"/>
      <c r="V36" s="18"/>
      <c r="W36" s="8"/>
      <c r="Y36" s="149" t="s">
        <v>30</v>
      </c>
      <c r="Z36" s="152">
        <f t="shared" si="1"/>
        <v>0</v>
      </c>
    </row>
    <row r="37" spans="2:26" ht="18" x14ac:dyDescent="0.35">
      <c r="B37" s="95"/>
      <c r="C37" s="96"/>
      <c r="D37" s="97"/>
      <c r="E37" s="98"/>
      <c r="F37" s="90"/>
      <c r="G37" s="91"/>
      <c r="H37" s="92"/>
      <c r="I37" s="93"/>
      <c r="J37" s="83"/>
      <c r="K37" s="83"/>
      <c r="L37" s="12"/>
      <c r="M37" s="13"/>
      <c r="N37" s="14"/>
      <c r="O37" s="11"/>
      <c r="P37" s="15"/>
      <c r="Q37" s="16"/>
      <c r="R37" s="2"/>
      <c r="S37" s="12"/>
      <c r="T37" s="17"/>
      <c r="U37" s="2"/>
      <c r="V37" s="18"/>
      <c r="W37" s="8"/>
      <c r="Y37" s="149" t="s">
        <v>31</v>
      </c>
      <c r="Z37" s="152">
        <f t="shared" si="1"/>
        <v>0</v>
      </c>
    </row>
    <row r="38" spans="2:26" ht="18" x14ac:dyDescent="0.35">
      <c r="B38" s="95"/>
      <c r="C38" s="96"/>
      <c r="D38" s="97"/>
      <c r="E38" s="98"/>
      <c r="F38" s="90"/>
      <c r="G38" s="91"/>
      <c r="H38" s="92"/>
      <c r="I38" s="93"/>
      <c r="J38" s="83"/>
      <c r="K38" s="83"/>
      <c r="L38" s="12"/>
      <c r="M38" s="13"/>
      <c r="N38" s="14"/>
      <c r="O38" s="11"/>
      <c r="P38" s="15"/>
      <c r="Q38" s="16"/>
      <c r="R38" s="2"/>
      <c r="S38" s="12"/>
      <c r="T38" s="17"/>
      <c r="U38" s="2"/>
      <c r="V38" s="18"/>
      <c r="W38" s="8"/>
      <c r="Y38" s="149" t="s">
        <v>84</v>
      </c>
      <c r="Z38" s="152">
        <f t="shared" si="1"/>
        <v>0</v>
      </c>
    </row>
    <row r="39" spans="2:26" ht="18" x14ac:dyDescent="0.35">
      <c r="B39" s="95"/>
      <c r="C39" s="96"/>
      <c r="D39" s="97"/>
      <c r="E39" s="98"/>
      <c r="F39" s="90"/>
      <c r="G39" s="91"/>
      <c r="H39" s="92"/>
      <c r="I39" s="93"/>
      <c r="J39" s="83"/>
      <c r="K39" s="83"/>
      <c r="L39" s="12"/>
      <c r="M39" s="13"/>
      <c r="N39" s="14"/>
      <c r="O39" s="11"/>
      <c r="P39" s="15"/>
      <c r="Q39" s="16"/>
      <c r="R39" s="2"/>
      <c r="S39" s="12"/>
      <c r="T39" s="17"/>
      <c r="U39" s="2"/>
      <c r="V39" s="18"/>
      <c r="W39" s="8"/>
      <c r="Y39" s="149" t="s">
        <v>85</v>
      </c>
      <c r="Z39" s="152">
        <f t="shared" si="1"/>
        <v>0</v>
      </c>
    </row>
    <row r="40" spans="2:26" ht="18" x14ac:dyDescent="0.35">
      <c r="B40" s="95"/>
      <c r="C40" s="96"/>
      <c r="D40" s="97"/>
      <c r="E40" s="98"/>
      <c r="F40" s="90"/>
      <c r="G40" s="91"/>
      <c r="H40" s="92"/>
      <c r="I40" s="93"/>
      <c r="J40" s="83"/>
      <c r="K40" s="83"/>
      <c r="L40" s="12"/>
      <c r="M40" s="13"/>
      <c r="N40" s="14"/>
      <c r="O40" s="11"/>
      <c r="P40" s="15"/>
      <c r="Q40" s="16"/>
      <c r="R40" s="2"/>
      <c r="S40" s="12"/>
      <c r="T40" s="17"/>
      <c r="U40" s="2"/>
      <c r="V40" s="18"/>
      <c r="W40" s="8"/>
      <c r="Y40" s="149" t="s">
        <v>86</v>
      </c>
      <c r="Z40" s="152">
        <f t="shared" si="1"/>
        <v>0</v>
      </c>
    </row>
    <row r="41" spans="2:26" ht="18" x14ac:dyDescent="0.35">
      <c r="B41" s="95"/>
      <c r="C41" s="96"/>
      <c r="D41" s="97"/>
      <c r="E41" s="98"/>
      <c r="F41" s="90"/>
      <c r="G41" s="91"/>
      <c r="H41" s="92"/>
      <c r="I41" s="93"/>
      <c r="J41" s="83"/>
      <c r="K41" s="83"/>
      <c r="L41" s="12"/>
      <c r="M41" s="13"/>
      <c r="N41" s="14"/>
      <c r="O41" s="11"/>
      <c r="P41" s="15"/>
      <c r="Q41" s="16"/>
      <c r="R41" s="2"/>
      <c r="S41" s="12"/>
      <c r="T41" s="17"/>
      <c r="U41" s="2"/>
      <c r="V41" s="18"/>
      <c r="W41" s="8"/>
      <c r="Y41" s="149" t="s">
        <v>87</v>
      </c>
      <c r="Z41" s="152">
        <f t="shared" si="1"/>
        <v>0</v>
      </c>
    </row>
    <row r="42" spans="2:26" ht="18" x14ac:dyDescent="0.35">
      <c r="B42" s="95"/>
      <c r="C42" s="96"/>
      <c r="D42" s="97"/>
      <c r="E42" s="98"/>
      <c r="F42" s="90"/>
      <c r="G42" s="91"/>
      <c r="H42" s="92"/>
      <c r="I42" s="93"/>
      <c r="J42" s="83"/>
      <c r="K42" s="83"/>
      <c r="L42" s="12"/>
      <c r="M42" s="13"/>
      <c r="N42" s="14"/>
      <c r="O42" s="11"/>
      <c r="P42" s="15"/>
      <c r="Q42" s="16"/>
      <c r="R42" s="2"/>
      <c r="S42" s="12"/>
      <c r="T42" s="17"/>
      <c r="U42" s="2"/>
      <c r="V42" s="18"/>
      <c r="W42" s="8"/>
      <c r="Y42" s="149" t="s">
        <v>46</v>
      </c>
      <c r="Z42" s="152">
        <f t="shared" si="1"/>
        <v>0</v>
      </c>
    </row>
    <row r="43" spans="2:26" ht="18" x14ac:dyDescent="0.35">
      <c r="B43" s="95"/>
      <c r="C43" s="96"/>
      <c r="D43" s="97"/>
      <c r="E43" s="98"/>
      <c r="F43" s="90"/>
      <c r="G43" s="91"/>
      <c r="H43" s="92"/>
      <c r="I43" s="93"/>
      <c r="J43" s="83"/>
      <c r="K43" s="83"/>
      <c r="L43" s="12"/>
      <c r="M43" s="13"/>
      <c r="N43" s="14"/>
      <c r="O43" s="11"/>
      <c r="P43" s="15"/>
      <c r="Q43" s="16"/>
      <c r="R43" s="2"/>
      <c r="S43" s="12"/>
      <c r="T43" s="17"/>
      <c r="U43" s="2"/>
      <c r="V43" s="18"/>
      <c r="W43" s="8"/>
      <c r="Y43" s="149" t="s">
        <v>47</v>
      </c>
      <c r="Z43" s="152">
        <f t="shared" si="1"/>
        <v>0</v>
      </c>
    </row>
    <row r="44" spans="2:26" ht="18" x14ac:dyDescent="0.35">
      <c r="B44" s="95"/>
      <c r="C44" s="96"/>
      <c r="D44" s="97"/>
      <c r="E44" s="98"/>
      <c r="F44" s="90"/>
      <c r="G44" s="91"/>
      <c r="H44" s="92"/>
      <c r="I44" s="93"/>
      <c r="J44" s="83"/>
      <c r="K44" s="83"/>
      <c r="L44" s="12"/>
      <c r="M44" s="13"/>
      <c r="N44" s="14"/>
      <c r="O44" s="11"/>
      <c r="P44" s="15"/>
      <c r="Q44" s="16"/>
      <c r="R44" s="2"/>
      <c r="S44" s="12"/>
      <c r="T44" s="17"/>
      <c r="U44" s="2"/>
      <c r="V44" s="18"/>
      <c r="W44" s="8"/>
      <c r="Y44" s="149" t="s">
        <v>48</v>
      </c>
      <c r="Z44" s="152">
        <f t="shared" si="1"/>
        <v>0</v>
      </c>
    </row>
    <row r="45" spans="2:26" ht="18" x14ac:dyDescent="0.35">
      <c r="B45" s="95"/>
      <c r="C45" s="96"/>
      <c r="D45" s="97"/>
      <c r="E45" s="98"/>
      <c r="F45" s="90"/>
      <c r="G45" s="91"/>
      <c r="H45" s="92"/>
      <c r="I45" s="93"/>
      <c r="J45" s="83"/>
      <c r="K45" s="83"/>
      <c r="L45" s="12"/>
      <c r="M45" s="13"/>
      <c r="N45" s="14"/>
      <c r="O45" s="11"/>
      <c r="P45" s="15"/>
      <c r="Q45" s="16"/>
      <c r="R45" s="2"/>
      <c r="S45" s="12"/>
      <c r="T45" s="17"/>
      <c r="U45" s="2"/>
      <c r="V45" s="18"/>
      <c r="W45" s="8"/>
      <c r="Y45" s="149" t="s">
        <v>83</v>
      </c>
      <c r="Z45" s="152">
        <f t="shared" si="1"/>
        <v>0</v>
      </c>
    </row>
    <row r="46" spans="2:26" ht="18" x14ac:dyDescent="0.35">
      <c r="B46" s="95"/>
      <c r="C46" s="96"/>
      <c r="D46" s="97"/>
      <c r="E46" s="98"/>
      <c r="F46" s="90"/>
      <c r="G46" s="91"/>
      <c r="H46" s="92"/>
      <c r="I46" s="93"/>
      <c r="J46" s="83"/>
      <c r="K46" s="83"/>
      <c r="L46" s="12"/>
      <c r="M46" s="13"/>
      <c r="N46" s="14"/>
      <c r="O46" s="11"/>
      <c r="P46" s="15"/>
      <c r="Q46" s="16"/>
      <c r="R46" s="2"/>
      <c r="S46" s="12"/>
      <c r="T46" s="17"/>
      <c r="U46" s="2"/>
      <c r="V46" s="18"/>
      <c r="W46" s="8"/>
      <c r="Y46" s="149" t="s">
        <v>96</v>
      </c>
      <c r="Z46" s="152">
        <f t="shared" si="1"/>
        <v>0</v>
      </c>
    </row>
    <row r="47" spans="2:26" ht="18" x14ac:dyDescent="0.35">
      <c r="B47" s="95"/>
      <c r="C47" s="96"/>
      <c r="D47" s="97"/>
      <c r="E47" s="98"/>
      <c r="F47" s="90"/>
      <c r="G47" s="91"/>
      <c r="H47" s="92"/>
      <c r="I47" s="93"/>
      <c r="J47" s="83"/>
      <c r="K47" s="83"/>
      <c r="L47" s="12"/>
      <c r="M47" s="13"/>
      <c r="N47" s="14"/>
      <c r="O47" s="11"/>
      <c r="P47" s="15"/>
      <c r="Q47" s="16"/>
      <c r="R47" s="2"/>
      <c r="S47" s="12"/>
      <c r="T47" s="17"/>
      <c r="U47" s="2"/>
      <c r="V47" s="18"/>
      <c r="W47" s="8"/>
      <c r="Y47" s="149" t="s">
        <v>73</v>
      </c>
      <c r="Z47" s="152">
        <f t="shared" si="1"/>
        <v>0</v>
      </c>
    </row>
    <row r="48" spans="2:26" ht="18" x14ac:dyDescent="0.35">
      <c r="B48" s="95"/>
      <c r="C48" s="96"/>
      <c r="D48" s="97"/>
      <c r="E48" s="98"/>
      <c r="F48" s="90"/>
      <c r="G48" s="91"/>
      <c r="H48" s="92"/>
      <c r="I48" s="93"/>
      <c r="J48" s="83"/>
      <c r="K48" s="83"/>
      <c r="L48" s="12"/>
      <c r="M48" s="13"/>
      <c r="N48" s="14"/>
      <c r="O48" s="11"/>
      <c r="P48" s="15"/>
      <c r="Q48" s="16"/>
      <c r="R48" s="2"/>
      <c r="S48" s="12"/>
      <c r="T48" s="17"/>
      <c r="U48" s="2"/>
      <c r="V48" s="18"/>
      <c r="W48" s="8"/>
      <c r="Y48" s="149" t="s">
        <v>74</v>
      </c>
      <c r="Z48" s="152">
        <f t="shared" si="1"/>
        <v>0</v>
      </c>
    </row>
    <row r="49" spans="2:26" ht="18" x14ac:dyDescent="0.35">
      <c r="B49" s="95"/>
      <c r="C49" s="96"/>
      <c r="D49" s="97"/>
      <c r="E49" s="98"/>
      <c r="F49" s="90"/>
      <c r="G49" s="91"/>
      <c r="H49" s="92"/>
      <c r="I49" s="93"/>
      <c r="J49" s="83"/>
      <c r="K49" s="83"/>
      <c r="L49" s="12"/>
      <c r="M49" s="13"/>
      <c r="N49" s="14"/>
      <c r="O49" s="11"/>
      <c r="P49" s="15"/>
      <c r="Q49" s="16"/>
      <c r="R49" s="2"/>
      <c r="S49" s="12"/>
      <c r="T49" s="17"/>
      <c r="U49" s="2"/>
      <c r="V49" s="18"/>
      <c r="W49" s="8"/>
      <c r="Y49" s="149" t="s">
        <v>70</v>
      </c>
      <c r="Z49" s="152">
        <f t="shared" si="1"/>
        <v>0</v>
      </c>
    </row>
    <row r="50" spans="2:26" ht="18" x14ac:dyDescent="0.35">
      <c r="B50" s="95"/>
      <c r="C50" s="96"/>
      <c r="D50" s="97"/>
      <c r="E50" s="98"/>
      <c r="F50" s="90"/>
      <c r="G50" s="91"/>
      <c r="H50" s="92"/>
      <c r="I50" s="93"/>
      <c r="J50" s="83"/>
      <c r="K50" s="83"/>
      <c r="L50" s="12"/>
      <c r="M50" s="13"/>
      <c r="N50" s="14"/>
      <c r="O50" s="11"/>
      <c r="P50" s="15"/>
      <c r="Q50" s="16"/>
      <c r="R50" s="2"/>
      <c r="S50" s="12"/>
      <c r="T50" s="17"/>
      <c r="U50" s="2"/>
      <c r="V50" s="18"/>
      <c r="W50" s="8"/>
      <c r="Y50" s="149" t="s">
        <v>64</v>
      </c>
      <c r="Z50" s="152">
        <f t="shared" si="1"/>
        <v>0</v>
      </c>
    </row>
    <row r="51" spans="2:26" ht="18" x14ac:dyDescent="0.35">
      <c r="B51" s="95"/>
      <c r="C51" s="96"/>
      <c r="D51" s="97"/>
      <c r="E51" s="98"/>
      <c r="F51" s="90"/>
      <c r="G51" s="91"/>
      <c r="H51" s="92"/>
      <c r="I51" s="93"/>
      <c r="J51" s="83"/>
      <c r="K51" s="83"/>
      <c r="L51" s="12"/>
      <c r="M51" s="13"/>
      <c r="N51" s="14"/>
      <c r="O51" s="11"/>
      <c r="P51" s="15"/>
      <c r="Q51" s="16"/>
      <c r="R51" s="2"/>
      <c r="S51" s="12"/>
      <c r="T51" s="17"/>
      <c r="U51" s="2"/>
      <c r="V51" s="18"/>
      <c r="W51" s="8"/>
      <c r="Y51" s="149" t="s">
        <v>65</v>
      </c>
      <c r="Z51" s="152">
        <f t="shared" si="1"/>
        <v>0</v>
      </c>
    </row>
    <row r="52" spans="2:26" ht="18" x14ac:dyDescent="0.35">
      <c r="B52" s="95"/>
      <c r="C52" s="96"/>
      <c r="D52" s="97"/>
      <c r="E52" s="98"/>
      <c r="F52" s="90"/>
      <c r="G52" s="91"/>
      <c r="H52" s="92"/>
      <c r="I52" s="93"/>
      <c r="J52" s="83"/>
      <c r="K52" s="83"/>
      <c r="L52" s="12"/>
      <c r="M52" s="13"/>
      <c r="N52" s="14"/>
      <c r="O52" s="11"/>
      <c r="P52" s="15"/>
      <c r="Q52" s="16"/>
      <c r="R52" s="2"/>
      <c r="S52" s="12"/>
      <c r="T52" s="17"/>
      <c r="U52" s="2"/>
      <c r="V52" s="18"/>
      <c r="W52" s="8"/>
      <c r="Y52" s="149" t="s">
        <v>66</v>
      </c>
      <c r="Z52" s="152">
        <f t="shared" si="1"/>
        <v>0</v>
      </c>
    </row>
    <row r="53" spans="2:26" ht="18" x14ac:dyDescent="0.35">
      <c r="B53" s="95"/>
      <c r="C53" s="96"/>
      <c r="D53" s="97"/>
      <c r="E53" s="98"/>
      <c r="F53" s="90"/>
      <c r="G53" s="91"/>
      <c r="H53" s="92"/>
      <c r="I53" s="93"/>
      <c r="J53" s="83"/>
      <c r="K53" s="83"/>
      <c r="L53" s="12"/>
      <c r="M53" s="13"/>
      <c r="N53" s="14"/>
      <c r="O53" s="11"/>
      <c r="P53" s="15"/>
      <c r="Q53" s="16"/>
      <c r="R53" s="2"/>
      <c r="S53" s="12"/>
      <c r="T53" s="17"/>
      <c r="U53" s="2"/>
      <c r="V53" s="18"/>
      <c r="W53" s="8"/>
      <c r="Y53" s="149" t="s">
        <v>100</v>
      </c>
      <c r="Z53" s="152">
        <f t="shared" si="1"/>
        <v>0</v>
      </c>
    </row>
    <row r="54" spans="2:26" ht="18" x14ac:dyDescent="0.35">
      <c r="B54" s="95"/>
      <c r="C54" s="96"/>
      <c r="D54" s="97"/>
      <c r="E54" s="98"/>
      <c r="F54" s="90"/>
      <c r="G54" s="91"/>
      <c r="H54" s="92"/>
      <c r="I54" s="93"/>
      <c r="J54" s="83"/>
      <c r="K54" s="83"/>
      <c r="L54" s="12"/>
      <c r="M54" s="13"/>
      <c r="N54" s="14"/>
      <c r="O54" s="11"/>
      <c r="P54" s="15"/>
      <c r="Q54" s="16"/>
      <c r="R54" s="2"/>
      <c r="S54" s="12"/>
      <c r="T54" s="17"/>
      <c r="U54" s="2"/>
      <c r="V54" s="18"/>
      <c r="W54" s="8"/>
      <c r="Y54" s="149" t="s">
        <v>101</v>
      </c>
      <c r="Z54" s="152">
        <f t="shared" si="1"/>
        <v>0</v>
      </c>
    </row>
    <row r="55" spans="2:26" ht="18" x14ac:dyDescent="0.35">
      <c r="B55" s="95"/>
      <c r="C55" s="96"/>
      <c r="D55" s="97"/>
      <c r="E55" s="98"/>
      <c r="F55" s="90"/>
      <c r="G55" s="91"/>
      <c r="H55" s="92"/>
      <c r="I55" s="93"/>
      <c r="J55" s="83"/>
      <c r="K55" s="83"/>
      <c r="L55" s="12"/>
      <c r="M55" s="13"/>
      <c r="N55" s="14"/>
      <c r="O55" s="11"/>
      <c r="P55" s="15"/>
      <c r="Q55" s="16"/>
      <c r="R55" s="2"/>
      <c r="S55" s="12"/>
      <c r="T55" s="17"/>
      <c r="U55" s="2"/>
      <c r="V55" s="18"/>
      <c r="W55" s="8"/>
      <c r="Y55" s="149" t="s">
        <v>102</v>
      </c>
      <c r="Z55" s="152">
        <f t="shared" si="1"/>
        <v>0</v>
      </c>
    </row>
    <row r="56" spans="2:26" ht="18" x14ac:dyDescent="0.35">
      <c r="B56" s="95"/>
      <c r="C56" s="96"/>
      <c r="D56" s="97"/>
      <c r="E56" s="98"/>
      <c r="F56" s="90"/>
      <c r="G56" s="91"/>
      <c r="H56" s="92"/>
      <c r="I56" s="93"/>
      <c r="J56" s="83"/>
      <c r="K56" s="83"/>
      <c r="L56" s="12"/>
      <c r="M56" s="13"/>
      <c r="N56" s="14"/>
      <c r="O56" s="11"/>
      <c r="P56" s="15"/>
      <c r="Q56" s="16"/>
      <c r="R56" s="2"/>
      <c r="S56" s="12"/>
      <c r="T56" s="17"/>
      <c r="U56" s="2"/>
      <c r="V56" s="18"/>
      <c r="W56" s="8"/>
      <c r="Y56" s="149" t="s">
        <v>26</v>
      </c>
      <c r="Z56" s="152">
        <f t="shared" si="1"/>
        <v>0</v>
      </c>
    </row>
    <row r="57" spans="2:26" ht="18" x14ac:dyDescent="0.35">
      <c r="B57" s="95"/>
      <c r="C57" s="96"/>
      <c r="D57" s="97"/>
      <c r="E57" s="98"/>
      <c r="F57" s="90"/>
      <c r="G57" s="91"/>
      <c r="H57" s="92"/>
      <c r="I57" s="93"/>
      <c r="J57" s="83"/>
      <c r="K57" s="83"/>
      <c r="L57" s="12"/>
      <c r="M57" s="13"/>
      <c r="N57" s="14"/>
      <c r="O57" s="11"/>
      <c r="P57" s="15"/>
      <c r="Q57" s="16"/>
      <c r="R57" s="2"/>
      <c r="S57" s="12"/>
      <c r="T57" s="17"/>
      <c r="U57" s="2"/>
      <c r="V57" s="18"/>
      <c r="W57" s="8"/>
      <c r="Y57" s="149" t="s">
        <v>27</v>
      </c>
      <c r="Z57" s="152">
        <f t="shared" si="1"/>
        <v>0</v>
      </c>
    </row>
    <row r="58" spans="2:26" ht="18" x14ac:dyDescent="0.35">
      <c r="B58" s="95"/>
      <c r="C58" s="96"/>
      <c r="D58" s="97"/>
      <c r="E58" s="98"/>
      <c r="F58" s="90"/>
      <c r="G58" s="91"/>
      <c r="H58" s="92"/>
      <c r="I58" s="93"/>
      <c r="J58" s="83"/>
      <c r="K58" s="83"/>
      <c r="L58" s="12"/>
      <c r="M58" s="13"/>
      <c r="N58" s="14"/>
      <c r="O58" s="11"/>
      <c r="P58" s="15"/>
      <c r="Q58" s="16"/>
      <c r="R58" s="2"/>
      <c r="S58" s="12"/>
      <c r="T58" s="17"/>
      <c r="U58" s="2"/>
      <c r="V58" s="18"/>
      <c r="W58" s="8"/>
      <c r="Y58" s="149" t="s">
        <v>28</v>
      </c>
      <c r="Z58" s="152">
        <f t="shared" si="1"/>
        <v>0</v>
      </c>
    </row>
    <row r="59" spans="2:26" ht="18" x14ac:dyDescent="0.35">
      <c r="B59" s="95"/>
      <c r="C59" s="96"/>
      <c r="D59" s="97"/>
      <c r="E59" s="98"/>
      <c r="F59" s="90"/>
      <c r="G59" s="91"/>
      <c r="H59" s="92"/>
      <c r="I59" s="93"/>
      <c r="J59" s="83"/>
      <c r="K59" s="83"/>
      <c r="L59" s="12"/>
      <c r="M59" s="13"/>
      <c r="N59" s="14"/>
      <c r="O59" s="11"/>
      <c r="P59" s="15"/>
      <c r="Q59" s="16"/>
      <c r="R59" s="2"/>
      <c r="S59" s="12"/>
      <c r="T59" s="17"/>
      <c r="U59" s="2"/>
      <c r="V59" s="18"/>
      <c r="W59" s="8"/>
      <c r="Y59" s="149" t="s">
        <v>29</v>
      </c>
      <c r="Z59" s="152">
        <f t="shared" si="1"/>
        <v>0</v>
      </c>
    </row>
    <row r="60" spans="2:26" ht="18" x14ac:dyDescent="0.35">
      <c r="B60" s="95"/>
      <c r="C60" s="96"/>
      <c r="D60" s="97"/>
      <c r="E60" s="98"/>
      <c r="F60" s="90"/>
      <c r="G60" s="91"/>
      <c r="H60" s="92"/>
      <c r="I60" s="93"/>
      <c r="J60" s="83"/>
      <c r="K60" s="83"/>
      <c r="L60" s="12"/>
      <c r="M60" s="13"/>
      <c r="N60" s="14"/>
      <c r="O60" s="11"/>
      <c r="P60" s="15"/>
      <c r="Q60" s="16"/>
      <c r="R60" s="2"/>
      <c r="S60" s="12"/>
      <c r="T60" s="17"/>
      <c r="U60" s="2"/>
      <c r="V60" s="18"/>
      <c r="W60" s="8"/>
      <c r="Y60" s="149" t="s">
        <v>34</v>
      </c>
      <c r="Z60" s="152">
        <f t="shared" si="1"/>
        <v>0</v>
      </c>
    </row>
    <row r="61" spans="2:26" ht="18" x14ac:dyDescent="0.35">
      <c r="B61" s="95"/>
      <c r="C61" s="96"/>
      <c r="D61" s="97"/>
      <c r="E61" s="98"/>
      <c r="F61" s="90"/>
      <c r="G61" s="91"/>
      <c r="H61" s="92"/>
      <c r="I61" s="93"/>
      <c r="J61" s="83"/>
      <c r="K61" s="83"/>
      <c r="L61" s="12"/>
      <c r="M61" s="13"/>
      <c r="N61" s="14"/>
      <c r="O61" s="11"/>
      <c r="P61" s="15"/>
      <c r="Q61" s="16"/>
      <c r="R61" s="2"/>
      <c r="S61" s="12"/>
      <c r="T61" s="17"/>
      <c r="U61" s="2"/>
      <c r="V61" s="18"/>
      <c r="W61" s="8"/>
      <c r="Y61" s="149" t="s">
        <v>35</v>
      </c>
      <c r="Z61" s="152">
        <f t="shared" si="1"/>
        <v>0</v>
      </c>
    </row>
    <row r="62" spans="2:26" ht="18" x14ac:dyDescent="0.35">
      <c r="B62" s="95"/>
      <c r="C62" s="96"/>
      <c r="D62" s="97"/>
      <c r="E62" s="98"/>
      <c r="F62" s="90"/>
      <c r="G62" s="91"/>
      <c r="H62" s="92"/>
      <c r="I62" s="93"/>
      <c r="J62" s="83"/>
      <c r="K62" s="83"/>
      <c r="L62" s="12"/>
      <c r="M62" s="13"/>
      <c r="N62" s="14"/>
      <c r="O62" s="11"/>
      <c r="P62" s="15"/>
      <c r="Q62" s="16"/>
      <c r="R62" s="2"/>
      <c r="S62" s="12"/>
      <c r="T62" s="17"/>
      <c r="U62" s="2"/>
      <c r="V62" s="18"/>
      <c r="W62" s="8"/>
      <c r="Y62" s="149" t="s">
        <v>36</v>
      </c>
      <c r="Z62" s="152">
        <f t="shared" si="1"/>
        <v>0</v>
      </c>
    </row>
    <row r="63" spans="2:26" ht="18" x14ac:dyDescent="0.35">
      <c r="B63" s="95"/>
      <c r="C63" s="96"/>
      <c r="D63" s="97"/>
      <c r="E63" s="98"/>
      <c r="F63" s="90"/>
      <c r="G63" s="91"/>
      <c r="H63" s="92"/>
      <c r="I63" s="93"/>
      <c r="J63" s="83"/>
      <c r="K63" s="83"/>
      <c r="L63" s="12"/>
      <c r="M63" s="13"/>
      <c r="N63" s="14"/>
      <c r="O63" s="11"/>
      <c r="P63" s="15"/>
      <c r="Q63" s="16"/>
      <c r="R63" s="2"/>
      <c r="S63" s="12"/>
      <c r="T63" s="17"/>
      <c r="U63" s="2"/>
      <c r="V63" s="18"/>
      <c r="W63" s="8"/>
      <c r="Y63" s="149" t="s">
        <v>37</v>
      </c>
      <c r="Z63" s="152">
        <f t="shared" si="1"/>
        <v>0</v>
      </c>
    </row>
    <row r="64" spans="2:26" ht="18" x14ac:dyDescent="0.35">
      <c r="B64" s="95"/>
      <c r="C64" s="96"/>
      <c r="D64" s="97"/>
      <c r="E64" s="98"/>
      <c r="F64" s="90"/>
      <c r="G64" s="91"/>
      <c r="H64" s="92"/>
      <c r="I64" s="93"/>
      <c r="J64" s="83"/>
      <c r="K64" s="83"/>
      <c r="L64" s="12"/>
      <c r="M64" s="13"/>
      <c r="N64" s="14"/>
      <c r="O64" s="11"/>
      <c r="P64" s="15"/>
      <c r="Q64" s="16"/>
      <c r="R64" s="2"/>
      <c r="S64" s="12"/>
      <c r="T64" s="17"/>
      <c r="U64" s="2"/>
      <c r="V64" s="18"/>
      <c r="W64" s="8"/>
      <c r="Y64" s="149" t="s">
        <v>38</v>
      </c>
      <c r="Z64" s="152">
        <f t="shared" si="1"/>
        <v>0</v>
      </c>
    </row>
    <row r="65" spans="2:26" ht="18" x14ac:dyDescent="0.35">
      <c r="B65" s="95"/>
      <c r="C65" s="96"/>
      <c r="D65" s="97"/>
      <c r="E65" s="98"/>
      <c r="F65" s="99"/>
      <c r="G65" s="100"/>
      <c r="H65" s="101"/>
      <c r="I65" s="102"/>
      <c r="J65" s="83"/>
      <c r="K65" s="83"/>
      <c r="L65" s="12"/>
      <c r="M65" s="13"/>
      <c r="N65" s="14"/>
      <c r="O65" s="11"/>
      <c r="P65" s="15"/>
      <c r="Q65" s="16"/>
      <c r="R65" s="2"/>
      <c r="S65" s="12"/>
      <c r="T65" s="17"/>
      <c r="U65" s="2"/>
      <c r="V65" s="18"/>
      <c r="W65" s="8"/>
      <c r="Y65" s="149" t="s">
        <v>40</v>
      </c>
      <c r="Z65" s="152">
        <f t="shared" si="1"/>
        <v>0</v>
      </c>
    </row>
    <row r="66" spans="2:26" ht="18" x14ac:dyDescent="0.35">
      <c r="B66" s="95"/>
      <c r="C66" s="96"/>
      <c r="D66" s="97"/>
      <c r="E66" s="98"/>
      <c r="F66" s="90"/>
      <c r="G66" s="91"/>
      <c r="H66" s="92"/>
      <c r="I66" s="93"/>
      <c r="J66" s="83"/>
      <c r="K66" s="83"/>
      <c r="L66" s="12"/>
      <c r="M66" s="13"/>
      <c r="N66" s="14"/>
      <c r="O66" s="11"/>
      <c r="P66" s="15"/>
      <c r="Q66" s="16"/>
      <c r="R66" s="2"/>
      <c r="S66" s="12"/>
      <c r="T66" s="17"/>
      <c r="U66" s="2"/>
      <c r="V66" s="18"/>
      <c r="W66" s="8"/>
      <c r="Y66" s="149" t="s">
        <v>41</v>
      </c>
      <c r="Z66" s="152">
        <f t="shared" si="1"/>
        <v>0</v>
      </c>
    </row>
    <row r="67" spans="2:26" ht="18" x14ac:dyDescent="0.35">
      <c r="B67" s="95"/>
      <c r="C67" s="96"/>
      <c r="D67" s="97"/>
      <c r="E67" s="98"/>
      <c r="F67" s="103"/>
      <c r="G67" s="94"/>
      <c r="H67" s="104"/>
      <c r="I67" s="105"/>
      <c r="J67" s="83"/>
      <c r="K67" s="83"/>
      <c r="L67" s="12"/>
      <c r="M67" s="13"/>
      <c r="N67" s="14"/>
      <c r="O67" s="11"/>
      <c r="P67" s="15"/>
      <c r="Q67" s="16"/>
      <c r="R67" s="2"/>
      <c r="S67" s="12"/>
      <c r="T67" s="17"/>
      <c r="U67" s="2"/>
      <c r="V67" s="18"/>
      <c r="W67" s="8"/>
      <c r="Y67" s="149" t="s">
        <v>69</v>
      </c>
      <c r="Z67" s="152">
        <f t="shared" si="1"/>
        <v>0</v>
      </c>
    </row>
    <row r="68" spans="2:26" ht="18" x14ac:dyDescent="0.35">
      <c r="B68" s="95"/>
      <c r="C68" s="96"/>
      <c r="D68" s="97"/>
      <c r="E68" s="98"/>
      <c r="F68" s="90"/>
      <c r="G68" s="91"/>
      <c r="H68" s="92"/>
      <c r="I68" s="105"/>
      <c r="J68" s="83"/>
      <c r="K68" s="83"/>
      <c r="L68" s="12"/>
      <c r="M68" s="13"/>
      <c r="N68" s="14"/>
      <c r="O68" s="11"/>
      <c r="P68" s="15"/>
      <c r="Q68" s="16"/>
      <c r="R68" s="2"/>
      <c r="S68" s="12"/>
      <c r="T68" s="17"/>
      <c r="U68" s="2"/>
      <c r="V68" s="18"/>
      <c r="W68" s="8"/>
      <c r="Y68" s="149" t="s">
        <v>108</v>
      </c>
      <c r="Z68" s="152">
        <f t="shared" si="1"/>
        <v>0</v>
      </c>
    </row>
    <row r="69" spans="2:26" ht="18" x14ac:dyDescent="0.35">
      <c r="B69" s="95"/>
      <c r="C69" s="96"/>
      <c r="D69" s="97"/>
      <c r="E69" s="98"/>
      <c r="F69" s="90"/>
      <c r="G69" s="91"/>
      <c r="H69" s="92"/>
      <c r="I69" s="105"/>
      <c r="J69" s="83"/>
      <c r="K69" s="83"/>
      <c r="L69" s="12"/>
      <c r="M69" s="13"/>
      <c r="N69" s="14"/>
      <c r="O69" s="11"/>
      <c r="P69" s="15"/>
      <c r="Q69" s="16"/>
      <c r="R69" s="2"/>
      <c r="S69" s="12"/>
      <c r="T69" s="17"/>
      <c r="U69" s="2"/>
      <c r="V69" s="18"/>
      <c r="W69" s="8"/>
      <c r="Y69" s="149" t="s">
        <v>44</v>
      </c>
      <c r="Z69" s="152">
        <f t="shared" si="1"/>
        <v>0</v>
      </c>
    </row>
    <row r="70" spans="2:26" ht="18" x14ac:dyDescent="0.35">
      <c r="B70" s="95"/>
      <c r="C70" s="96"/>
      <c r="D70" s="97"/>
      <c r="E70" s="98"/>
      <c r="F70" s="90"/>
      <c r="G70" s="91"/>
      <c r="H70" s="92"/>
      <c r="I70" s="105"/>
      <c r="J70" s="83"/>
      <c r="K70" s="83"/>
      <c r="L70" s="12"/>
      <c r="M70" s="13"/>
      <c r="N70" s="14"/>
      <c r="O70" s="11"/>
      <c r="P70" s="15"/>
      <c r="Q70" s="16"/>
      <c r="R70" s="2"/>
      <c r="S70" s="12"/>
      <c r="T70" s="17"/>
      <c r="U70" s="2"/>
      <c r="V70" s="18"/>
      <c r="W70" s="8"/>
      <c r="Y70" s="149" t="s">
        <v>45</v>
      </c>
      <c r="Z70" s="152">
        <f t="shared" si="1"/>
        <v>0</v>
      </c>
    </row>
    <row r="71" spans="2:26" ht="18" x14ac:dyDescent="0.35">
      <c r="B71" s="95"/>
      <c r="C71" s="96"/>
      <c r="D71" s="97"/>
      <c r="E71" s="98"/>
      <c r="F71" s="90"/>
      <c r="G71" s="91"/>
      <c r="H71" s="92"/>
      <c r="I71" s="105"/>
      <c r="J71" s="83"/>
      <c r="K71" s="83"/>
      <c r="L71" s="12"/>
      <c r="M71" s="13"/>
      <c r="N71" s="14"/>
      <c r="O71" s="11"/>
      <c r="P71" s="15"/>
      <c r="Q71" s="16"/>
      <c r="R71" s="2"/>
      <c r="S71" s="12"/>
      <c r="T71" s="17"/>
      <c r="U71" s="2"/>
      <c r="V71" s="18"/>
      <c r="W71" s="8"/>
      <c r="Y71" s="149" t="s">
        <v>49</v>
      </c>
      <c r="Z71" s="152">
        <f t="shared" si="1"/>
        <v>0</v>
      </c>
    </row>
    <row r="72" spans="2:26" ht="18" x14ac:dyDescent="0.35">
      <c r="B72" s="106"/>
      <c r="C72" s="107"/>
      <c r="D72" s="108"/>
      <c r="E72" s="109"/>
      <c r="F72" s="90"/>
      <c r="G72" s="91"/>
      <c r="H72" s="92"/>
      <c r="I72" s="105"/>
      <c r="J72" s="83"/>
      <c r="K72" s="83"/>
      <c r="L72" s="12"/>
      <c r="M72" s="13"/>
      <c r="N72" s="14"/>
      <c r="O72" s="11"/>
      <c r="P72" s="15"/>
      <c r="Q72" s="16"/>
      <c r="R72" s="2"/>
      <c r="S72" s="12"/>
      <c r="T72" s="17"/>
      <c r="U72" s="2"/>
      <c r="V72" s="18"/>
      <c r="W72" s="8"/>
      <c r="Y72" s="149" t="s">
        <v>50</v>
      </c>
      <c r="Z72" s="152">
        <f t="shared" si="1"/>
        <v>0</v>
      </c>
    </row>
    <row r="73" spans="2:26" ht="18" x14ac:dyDescent="0.35">
      <c r="B73" s="95"/>
      <c r="C73" s="96"/>
      <c r="D73" s="97"/>
      <c r="E73" s="98"/>
      <c r="F73" s="90"/>
      <c r="G73" s="91"/>
      <c r="H73" s="92"/>
      <c r="I73" s="105"/>
      <c r="J73" s="83"/>
      <c r="K73" s="83"/>
      <c r="L73" s="20"/>
      <c r="M73" s="21"/>
      <c r="N73" s="22"/>
      <c r="O73" s="19"/>
      <c r="P73" s="23"/>
      <c r="Q73" s="24"/>
      <c r="R73" s="2"/>
      <c r="S73" s="20"/>
      <c r="T73" s="25"/>
      <c r="U73" s="2"/>
      <c r="V73" s="26"/>
      <c r="W73" s="27"/>
      <c r="Y73" s="149" t="s">
        <v>51</v>
      </c>
      <c r="Z73" s="152">
        <f t="shared" si="1"/>
        <v>0</v>
      </c>
    </row>
    <row r="74" spans="2:26" ht="18" x14ac:dyDescent="0.35">
      <c r="B74" s="110"/>
      <c r="C74" s="111"/>
      <c r="D74" s="112"/>
      <c r="E74" s="113"/>
      <c r="F74" s="90"/>
      <c r="G74" s="91"/>
      <c r="H74" s="92"/>
      <c r="I74" s="105"/>
      <c r="J74" s="83"/>
      <c r="K74" s="83"/>
      <c r="L74" s="12"/>
      <c r="M74" s="28"/>
      <c r="N74" s="14"/>
      <c r="O74" s="11"/>
      <c r="P74" s="11"/>
      <c r="Q74" s="16"/>
      <c r="R74" s="2"/>
      <c r="S74" s="12"/>
      <c r="T74" s="17"/>
      <c r="U74" s="2"/>
      <c r="V74" s="18"/>
      <c r="W74" s="16"/>
      <c r="Y74" s="149" t="s">
        <v>52</v>
      </c>
      <c r="Z74" s="152">
        <f t="shared" si="1"/>
        <v>0</v>
      </c>
    </row>
    <row r="75" spans="2:26" ht="18" x14ac:dyDescent="0.35">
      <c r="B75" s="95"/>
      <c r="C75" s="96"/>
      <c r="D75" s="97"/>
      <c r="E75" s="113"/>
      <c r="F75" s="90"/>
      <c r="G75" s="91"/>
      <c r="H75" s="92"/>
      <c r="I75" s="105"/>
      <c r="J75" s="83"/>
      <c r="K75" s="83"/>
      <c r="L75" s="12"/>
      <c r="M75" s="28"/>
      <c r="N75" s="14"/>
      <c r="O75" s="11"/>
      <c r="P75" s="11"/>
      <c r="Q75" s="16"/>
      <c r="R75" s="2"/>
      <c r="S75" s="12"/>
      <c r="T75" s="17"/>
      <c r="U75" s="2"/>
      <c r="V75" s="18"/>
      <c r="W75" s="16"/>
      <c r="Y75" s="149" t="s">
        <v>72</v>
      </c>
      <c r="Z75" s="152">
        <f t="shared" si="1"/>
        <v>0</v>
      </c>
    </row>
    <row r="76" spans="2:26" ht="18" x14ac:dyDescent="0.35">
      <c r="B76" s="95"/>
      <c r="C76" s="96"/>
      <c r="D76" s="97"/>
      <c r="E76" s="113"/>
      <c r="F76" s="90"/>
      <c r="G76" s="91"/>
      <c r="H76" s="92"/>
      <c r="I76" s="105"/>
      <c r="J76" s="83"/>
      <c r="K76" s="83"/>
      <c r="L76" s="12"/>
      <c r="M76" s="28"/>
      <c r="N76" s="14"/>
      <c r="O76" s="11"/>
      <c r="P76" s="11"/>
      <c r="Q76" s="16"/>
      <c r="R76" s="2"/>
      <c r="S76" s="12"/>
      <c r="T76" s="17"/>
      <c r="U76" s="2"/>
      <c r="V76" s="18"/>
      <c r="W76" s="16"/>
      <c r="Y76" s="149" t="s">
        <v>71</v>
      </c>
      <c r="Z76" s="152">
        <f t="shared" si="1"/>
        <v>0</v>
      </c>
    </row>
    <row r="77" spans="2:26" ht="18" x14ac:dyDescent="0.35">
      <c r="B77" s="95"/>
      <c r="C77" s="96"/>
      <c r="D77" s="97"/>
      <c r="E77" s="113"/>
      <c r="F77" s="90"/>
      <c r="G77" s="91"/>
      <c r="H77" s="92"/>
      <c r="I77" s="105"/>
      <c r="J77" s="83"/>
      <c r="K77" s="83"/>
      <c r="L77" s="12"/>
      <c r="M77" s="28"/>
      <c r="N77" s="14"/>
      <c r="O77" s="11"/>
      <c r="P77" s="11"/>
      <c r="Q77" s="16"/>
      <c r="R77" s="2"/>
      <c r="S77" s="12"/>
      <c r="T77" s="17"/>
      <c r="U77" s="2"/>
      <c r="V77" s="18"/>
      <c r="W77" s="16"/>
      <c r="Y77" s="149" t="s">
        <v>53</v>
      </c>
      <c r="Z77" s="152">
        <f t="shared" ref="Z77:Z79" si="2">SUMIF($G$9:$G$129, Y77, $F$9:$F$129)</f>
        <v>0</v>
      </c>
    </row>
    <row r="78" spans="2:26" ht="18" x14ac:dyDescent="0.35">
      <c r="B78" s="95"/>
      <c r="C78" s="96"/>
      <c r="D78" s="97"/>
      <c r="E78" s="113"/>
      <c r="F78" s="90"/>
      <c r="G78" s="91"/>
      <c r="H78" s="92"/>
      <c r="I78" s="105"/>
      <c r="J78" s="83"/>
      <c r="K78" s="83"/>
      <c r="L78" s="12"/>
      <c r="M78" s="28"/>
      <c r="N78" s="14"/>
      <c r="O78" s="11"/>
      <c r="P78" s="11"/>
      <c r="Q78" s="16"/>
      <c r="R78" s="2"/>
      <c r="S78" s="12"/>
      <c r="T78" s="17"/>
      <c r="U78" s="2"/>
      <c r="V78" s="18"/>
      <c r="W78" s="16"/>
      <c r="Y78" s="149" t="s">
        <v>54</v>
      </c>
      <c r="Z78" s="152">
        <f t="shared" si="2"/>
        <v>0</v>
      </c>
    </row>
    <row r="79" spans="2:26" ht="18.600000000000001" thickBot="1" x14ac:dyDescent="0.4">
      <c r="B79" s="95"/>
      <c r="C79" s="96"/>
      <c r="D79" s="97"/>
      <c r="E79" s="113"/>
      <c r="F79" s="90"/>
      <c r="G79" s="91"/>
      <c r="H79" s="92"/>
      <c r="I79" s="105"/>
      <c r="J79" s="83"/>
      <c r="K79" s="83"/>
      <c r="L79" s="12"/>
      <c r="M79" s="28"/>
      <c r="N79" s="14"/>
      <c r="O79" s="11"/>
      <c r="P79" s="11"/>
      <c r="Q79" s="16"/>
      <c r="R79" s="2"/>
      <c r="S79" s="12"/>
      <c r="T79" s="17"/>
      <c r="U79" s="2"/>
      <c r="V79" s="18"/>
      <c r="W79" s="16"/>
      <c r="Y79" s="150" t="s">
        <v>55</v>
      </c>
      <c r="Z79" s="153">
        <f t="shared" si="2"/>
        <v>0</v>
      </c>
    </row>
    <row r="80" spans="2:26" ht="18" x14ac:dyDescent="0.35">
      <c r="B80" s="95"/>
      <c r="C80" s="96"/>
      <c r="D80" s="97"/>
      <c r="E80" s="113"/>
      <c r="F80" s="90"/>
      <c r="G80" s="91"/>
      <c r="H80" s="92"/>
      <c r="I80" s="105"/>
      <c r="J80" s="83"/>
      <c r="K80" s="83"/>
      <c r="L80" s="12"/>
      <c r="M80" s="28"/>
      <c r="N80" s="14"/>
      <c r="O80" s="11"/>
      <c r="P80" s="11"/>
      <c r="Q80" s="16"/>
      <c r="R80" s="2"/>
      <c r="S80" s="12"/>
      <c r="T80" s="17"/>
      <c r="U80" s="2"/>
      <c r="V80" s="18"/>
      <c r="W80" s="16"/>
    </row>
    <row r="81" spans="2:23" ht="18" x14ac:dyDescent="0.35">
      <c r="B81" s="95"/>
      <c r="C81" s="96"/>
      <c r="D81" s="97"/>
      <c r="E81" s="113"/>
      <c r="F81" s="90"/>
      <c r="G81" s="91"/>
      <c r="H81" s="92"/>
      <c r="I81" s="105"/>
      <c r="J81" s="83"/>
      <c r="K81" s="83"/>
      <c r="L81" s="12"/>
      <c r="M81" s="28"/>
      <c r="N81" s="14"/>
      <c r="O81" s="11"/>
      <c r="P81" s="11"/>
      <c r="Q81" s="16"/>
      <c r="R81" s="2"/>
      <c r="S81" s="12"/>
      <c r="T81" s="17"/>
      <c r="U81" s="2"/>
      <c r="V81" s="18"/>
      <c r="W81" s="16"/>
    </row>
    <row r="82" spans="2:23" ht="18" x14ac:dyDescent="0.35">
      <c r="B82" s="95"/>
      <c r="C82" s="96"/>
      <c r="D82" s="97"/>
      <c r="E82" s="113"/>
      <c r="F82" s="90"/>
      <c r="G82" s="91"/>
      <c r="H82" s="92"/>
      <c r="I82" s="105"/>
      <c r="J82" s="83"/>
      <c r="K82" s="83"/>
      <c r="L82" s="12"/>
      <c r="M82" s="28"/>
      <c r="N82" s="14"/>
      <c r="O82" s="11"/>
      <c r="P82" s="11"/>
      <c r="Q82" s="16"/>
      <c r="R82" s="2"/>
      <c r="S82" s="12"/>
      <c r="T82" s="17"/>
      <c r="U82" s="2"/>
      <c r="V82" s="18"/>
      <c r="W82" s="16"/>
    </row>
    <row r="83" spans="2:23" ht="18" x14ac:dyDescent="0.35">
      <c r="B83" s="95"/>
      <c r="C83" s="96"/>
      <c r="D83" s="97"/>
      <c r="E83" s="113"/>
      <c r="F83" s="90"/>
      <c r="G83" s="91"/>
      <c r="H83" s="92"/>
      <c r="I83" s="105"/>
      <c r="J83" s="83"/>
      <c r="K83" s="83"/>
      <c r="L83" s="12"/>
      <c r="M83" s="28"/>
      <c r="N83" s="14"/>
      <c r="O83" s="11"/>
      <c r="P83" s="11"/>
      <c r="Q83" s="16"/>
      <c r="R83" s="2"/>
      <c r="S83" s="12"/>
      <c r="T83" s="17"/>
      <c r="U83" s="2"/>
      <c r="V83" s="18"/>
      <c r="W83" s="16"/>
    </row>
    <row r="84" spans="2:23" ht="18" x14ac:dyDescent="0.35">
      <c r="B84" s="95"/>
      <c r="C84" s="96"/>
      <c r="D84" s="97"/>
      <c r="E84" s="113"/>
      <c r="F84" s="90"/>
      <c r="G84" s="91"/>
      <c r="H84" s="92"/>
      <c r="I84" s="105"/>
      <c r="J84" s="83"/>
      <c r="K84" s="83"/>
      <c r="L84" s="12"/>
      <c r="M84" s="28"/>
      <c r="N84" s="14"/>
      <c r="O84" s="11"/>
      <c r="P84" s="11"/>
      <c r="Q84" s="16"/>
      <c r="R84" s="2"/>
      <c r="S84" s="12"/>
      <c r="T84" s="17"/>
      <c r="U84" s="2"/>
      <c r="V84" s="18"/>
      <c r="W84" s="16"/>
    </row>
    <row r="85" spans="2:23" ht="18" x14ac:dyDescent="0.35">
      <c r="B85" s="95"/>
      <c r="C85" s="96"/>
      <c r="D85" s="97"/>
      <c r="E85" s="113"/>
      <c r="F85" s="90"/>
      <c r="G85" s="91"/>
      <c r="H85" s="92"/>
      <c r="I85" s="105"/>
      <c r="J85" s="83"/>
      <c r="K85" s="83"/>
      <c r="L85" s="12"/>
      <c r="M85" s="28"/>
      <c r="N85" s="14"/>
      <c r="O85" s="11"/>
      <c r="P85" s="11"/>
      <c r="Q85" s="16"/>
      <c r="R85" s="2"/>
      <c r="S85" s="12"/>
      <c r="T85" s="17"/>
      <c r="U85" s="2"/>
      <c r="V85" s="18"/>
      <c r="W85" s="16"/>
    </row>
    <row r="86" spans="2:23" ht="18" x14ac:dyDescent="0.35">
      <c r="B86" s="95"/>
      <c r="C86" s="96"/>
      <c r="D86" s="97"/>
      <c r="E86" s="113"/>
      <c r="F86" s="90"/>
      <c r="G86" s="91"/>
      <c r="H86" s="92"/>
      <c r="I86" s="105"/>
      <c r="J86" s="83"/>
      <c r="K86" s="83"/>
      <c r="L86" s="12"/>
      <c r="M86" s="28"/>
      <c r="N86" s="14"/>
      <c r="O86" s="11"/>
      <c r="P86" s="11"/>
      <c r="Q86" s="16"/>
      <c r="R86" s="2"/>
      <c r="S86" s="12"/>
      <c r="T86" s="17"/>
      <c r="U86" s="2"/>
      <c r="V86" s="18"/>
      <c r="W86" s="16"/>
    </row>
    <row r="87" spans="2:23" ht="18" x14ac:dyDescent="0.35">
      <c r="B87" s="95"/>
      <c r="C87" s="96"/>
      <c r="D87" s="97"/>
      <c r="E87" s="113"/>
      <c r="F87" s="90"/>
      <c r="G87" s="91"/>
      <c r="H87" s="92"/>
      <c r="I87" s="105"/>
      <c r="J87" s="83"/>
      <c r="K87" s="83"/>
      <c r="L87" s="12"/>
      <c r="M87" s="28"/>
      <c r="N87" s="14"/>
      <c r="O87" s="11"/>
      <c r="P87" s="11"/>
      <c r="Q87" s="16"/>
      <c r="R87" s="2"/>
      <c r="S87" s="12"/>
      <c r="T87" s="17"/>
      <c r="U87" s="2"/>
      <c r="V87" s="18"/>
      <c r="W87" s="16"/>
    </row>
    <row r="88" spans="2:23" ht="18" x14ac:dyDescent="0.35">
      <c r="B88" s="95"/>
      <c r="C88" s="96"/>
      <c r="D88" s="97"/>
      <c r="E88" s="113"/>
      <c r="F88" s="90"/>
      <c r="G88" s="91"/>
      <c r="H88" s="92"/>
      <c r="I88" s="105"/>
      <c r="J88" s="83"/>
      <c r="K88" s="83"/>
      <c r="L88" s="12"/>
      <c r="M88" s="28"/>
      <c r="N88" s="14"/>
      <c r="O88" s="11"/>
      <c r="P88" s="11"/>
      <c r="Q88" s="16"/>
      <c r="R88" s="2"/>
      <c r="S88" s="12"/>
      <c r="T88" s="17"/>
      <c r="U88" s="2"/>
      <c r="V88" s="18"/>
      <c r="W88" s="16"/>
    </row>
    <row r="89" spans="2:23" ht="18" x14ac:dyDescent="0.35">
      <c r="B89" s="95"/>
      <c r="C89" s="96"/>
      <c r="D89" s="97"/>
      <c r="E89" s="113"/>
      <c r="F89" s="90"/>
      <c r="G89" s="91"/>
      <c r="H89" s="92"/>
      <c r="I89" s="105"/>
      <c r="J89" s="83"/>
      <c r="K89" s="83"/>
      <c r="L89" s="12"/>
      <c r="M89" s="28"/>
      <c r="N89" s="14"/>
      <c r="O89" s="11"/>
      <c r="P89" s="11"/>
      <c r="Q89" s="16"/>
      <c r="R89" s="2"/>
      <c r="S89" s="12"/>
      <c r="T89" s="17"/>
      <c r="U89" s="2"/>
      <c r="V89" s="18"/>
      <c r="W89" s="16"/>
    </row>
    <row r="90" spans="2:23" ht="18" x14ac:dyDescent="0.35">
      <c r="B90" s="95"/>
      <c r="C90" s="96"/>
      <c r="D90" s="97"/>
      <c r="E90" s="113"/>
      <c r="F90" s="90"/>
      <c r="G90" s="91"/>
      <c r="H90" s="92"/>
      <c r="I90" s="105"/>
      <c r="J90" s="83"/>
      <c r="K90" s="83"/>
      <c r="L90" s="12"/>
      <c r="M90" s="28"/>
      <c r="N90" s="14"/>
      <c r="O90" s="11"/>
      <c r="P90" s="11"/>
      <c r="Q90" s="16"/>
      <c r="R90" s="2"/>
      <c r="S90" s="12"/>
      <c r="T90" s="17"/>
      <c r="U90" s="2"/>
      <c r="V90" s="18"/>
      <c r="W90" s="16"/>
    </row>
    <row r="91" spans="2:23" ht="18" x14ac:dyDescent="0.35">
      <c r="B91" s="95"/>
      <c r="C91" s="96"/>
      <c r="D91" s="97"/>
      <c r="E91" s="113"/>
      <c r="F91" s="90"/>
      <c r="G91" s="91"/>
      <c r="H91" s="92"/>
      <c r="I91" s="105"/>
      <c r="J91" s="83"/>
      <c r="K91" s="83"/>
      <c r="L91" s="12"/>
      <c r="M91" s="28"/>
      <c r="N91" s="14"/>
      <c r="O91" s="11"/>
      <c r="P91" s="11"/>
      <c r="Q91" s="16"/>
      <c r="R91" s="2"/>
      <c r="S91" s="12"/>
      <c r="T91" s="17"/>
      <c r="U91" s="2"/>
      <c r="V91" s="18"/>
      <c r="W91" s="16"/>
    </row>
    <row r="92" spans="2:23" ht="18" x14ac:dyDescent="0.35">
      <c r="B92" s="95"/>
      <c r="C92" s="96"/>
      <c r="D92" s="97"/>
      <c r="E92" s="113"/>
      <c r="F92" s="90"/>
      <c r="G92" s="91"/>
      <c r="H92" s="92"/>
      <c r="I92" s="105"/>
      <c r="J92" s="83"/>
      <c r="K92" s="83"/>
      <c r="L92" s="12"/>
      <c r="M92" s="28"/>
      <c r="N92" s="14"/>
      <c r="O92" s="11"/>
      <c r="P92" s="11"/>
      <c r="Q92" s="16"/>
      <c r="R92" s="2"/>
      <c r="S92" s="12"/>
      <c r="T92" s="17"/>
      <c r="U92" s="2"/>
      <c r="V92" s="18"/>
      <c r="W92" s="16"/>
    </row>
    <row r="93" spans="2:23" ht="18" x14ac:dyDescent="0.35">
      <c r="B93" s="95"/>
      <c r="C93" s="96"/>
      <c r="D93" s="97"/>
      <c r="E93" s="113"/>
      <c r="F93" s="90"/>
      <c r="G93" s="91"/>
      <c r="H93" s="92"/>
      <c r="I93" s="105"/>
      <c r="J93" s="83"/>
      <c r="K93" s="83"/>
      <c r="L93" s="12"/>
      <c r="M93" s="28"/>
      <c r="N93" s="14"/>
      <c r="O93" s="11"/>
      <c r="P93" s="11"/>
      <c r="Q93" s="16"/>
      <c r="R93" s="2"/>
      <c r="S93" s="12"/>
      <c r="T93" s="17"/>
      <c r="U93" s="2"/>
      <c r="V93" s="18"/>
      <c r="W93" s="16"/>
    </row>
    <row r="94" spans="2:23" ht="18" x14ac:dyDescent="0.35">
      <c r="B94" s="95"/>
      <c r="C94" s="96"/>
      <c r="D94" s="97"/>
      <c r="E94" s="113"/>
      <c r="F94" s="90"/>
      <c r="G94" s="91"/>
      <c r="H94" s="92"/>
      <c r="I94" s="105"/>
      <c r="J94" s="83"/>
      <c r="K94" s="83"/>
      <c r="L94" s="12"/>
      <c r="M94" s="28"/>
      <c r="N94" s="14"/>
      <c r="O94" s="11"/>
      <c r="P94" s="11"/>
      <c r="Q94" s="16"/>
      <c r="R94" s="2"/>
      <c r="S94" s="12"/>
      <c r="T94" s="17"/>
      <c r="U94" s="2"/>
      <c r="V94" s="18"/>
      <c r="W94" s="16"/>
    </row>
    <row r="95" spans="2:23" ht="18" x14ac:dyDescent="0.35">
      <c r="B95" s="95"/>
      <c r="C95" s="96"/>
      <c r="D95" s="97"/>
      <c r="E95" s="113"/>
      <c r="F95" s="90"/>
      <c r="G95" s="91"/>
      <c r="H95" s="92"/>
      <c r="I95" s="105"/>
      <c r="J95" s="83"/>
      <c r="K95" s="83"/>
      <c r="L95" s="12"/>
      <c r="M95" s="28"/>
      <c r="N95" s="14"/>
      <c r="O95" s="11"/>
      <c r="P95" s="11"/>
      <c r="Q95" s="16"/>
      <c r="R95" s="2"/>
      <c r="S95" s="12"/>
      <c r="T95" s="17"/>
      <c r="U95" s="2"/>
      <c r="V95" s="18"/>
      <c r="W95" s="16"/>
    </row>
    <row r="96" spans="2:23" ht="18" x14ac:dyDescent="0.35">
      <c r="B96" s="95"/>
      <c r="C96" s="96"/>
      <c r="D96" s="97"/>
      <c r="E96" s="113"/>
      <c r="F96" s="90"/>
      <c r="G96" s="91"/>
      <c r="H96" s="92"/>
      <c r="I96" s="105"/>
      <c r="J96" s="83"/>
      <c r="K96" s="83"/>
      <c r="L96" s="12"/>
      <c r="M96" s="28"/>
      <c r="N96" s="14"/>
      <c r="O96" s="11"/>
      <c r="P96" s="11"/>
      <c r="Q96" s="16"/>
      <c r="R96" s="2"/>
      <c r="S96" s="12"/>
      <c r="T96" s="17"/>
      <c r="U96" s="2"/>
      <c r="V96" s="18"/>
      <c r="W96" s="16"/>
    </row>
    <row r="97" spans="2:23" ht="18" x14ac:dyDescent="0.35">
      <c r="B97" s="95"/>
      <c r="C97" s="96"/>
      <c r="D97" s="97"/>
      <c r="E97" s="113"/>
      <c r="F97" s="90"/>
      <c r="G97" s="91"/>
      <c r="H97" s="92"/>
      <c r="I97" s="105"/>
      <c r="J97" s="83"/>
      <c r="K97" s="83"/>
      <c r="L97" s="12"/>
      <c r="M97" s="28"/>
      <c r="N97" s="14"/>
      <c r="O97" s="11"/>
      <c r="P97" s="11"/>
      <c r="Q97" s="16"/>
      <c r="R97" s="2"/>
      <c r="S97" s="12"/>
      <c r="T97" s="17"/>
      <c r="U97" s="2"/>
      <c r="V97" s="18"/>
      <c r="W97" s="16"/>
    </row>
    <row r="98" spans="2:23" ht="18" x14ac:dyDescent="0.35">
      <c r="B98" s="95"/>
      <c r="C98" s="96"/>
      <c r="D98" s="97"/>
      <c r="E98" s="113"/>
      <c r="F98" s="90"/>
      <c r="G98" s="91"/>
      <c r="H98" s="92"/>
      <c r="I98" s="105"/>
      <c r="J98" s="83"/>
      <c r="K98" s="83"/>
      <c r="L98" s="12"/>
      <c r="M98" s="28"/>
      <c r="N98" s="14"/>
      <c r="O98" s="11"/>
      <c r="P98" s="11"/>
      <c r="Q98" s="16"/>
      <c r="R98" s="2"/>
      <c r="S98" s="12"/>
      <c r="T98" s="17"/>
      <c r="U98" s="2"/>
      <c r="V98" s="18"/>
      <c r="W98" s="16"/>
    </row>
    <row r="99" spans="2:23" ht="18" x14ac:dyDescent="0.35">
      <c r="B99" s="95"/>
      <c r="C99" s="96"/>
      <c r="D99" s="97"/>
      <c r="E99" s="113"/>
      <c r="F99" s="90"/>
      <c r="G99" s="91"/>
      <c r="H99" s="92"/>
      <c r="I99" s="105"/>
      <c r="J99" s="83"/>
      <c r="K99" s="83"/>
      <c r="L99" s="12"/>
      <c r="M99" s="28"/>
      <c r="N99" s="14"/>
      <c r="O99" s="11"/>
      <c r="P99" s="11"/>
      <c r="Q99" s="16"/>
      <c r="R99" s="2"/>
      <c r="S99" s="12"/>
      <c r="T99" s="17"/>
      <c r="U99" s="2"/>
      <c r="V99" s="18"/>
      <c r="W99" s="16"/>
    </row>
    <row r="100" spans="2:23" ht="18" x14ac:dyDescent="0.35">
      <c r="B100" s="95"/>
      <c r="C100" s="96"/>
      <c r="D100" s="97"/>
      <c r="E100" s="113"/>
      <c r="F100" s="90"/>
      <c r="G100" s="91"/>
      <c r="H100" s="92"/>
      <c r="I100" s="105"/>
      <c r="J100" s="83"/>
      <c r="K100" s="83"/>
      <c r="L100" s="12"/>
      <c r="M100" s="28"/>
      <c r="N100" s="14"/>
      <c r="O100" s="11"/>
      <c r="P100" s="11"/>
      <c r="Q100" s="16"/>
      <c r="R100" s="2"/>
      <c r="S100" s="12"/>
      <c r="T100" s="17"/>
      <c r="U100" s="2"/>
      <c r="V100" s="18"/>
      <c r="W100" s="16"/>
    </row>
    <row r="101" spans="2:23" ht="18" x14ac:dyDescent="0.35">
      <c r="B101" s="95"/>
      <c r="C101" s="96"/>
      <c r="D101" s="97"/>
      <c r="E101" s="113"/>
      <c r="F101" s="90"/>
      <c r="G101" s="91"/>
      <c r="H101" s="92"/>
      <c r="I101" s="105"/>
      <c r="J101" s="83"/>
      <c r="K101" s="83"/>
      <c r="L101" s="12"/>
      <c r="M101" s="28"/>
      <c r="N101" s="14"/>
      <c r="O101" s="11"/>
      <c r="P101" s="11"/>
      <c r="Q101" s="16"/>
      <c r="R101" s="2"/>
      <c r="S101" s="12"/>
      <c r="T101" s="17"/>
      <c r="U101" s="2"/>
      <c r="V101" s="18"/>
      <c r="W101" s="16"/>
    </row>
    <row r="102" spans="2:23" ht="18" x14ac:dyDescent="0.35">
      <c r="B102" s="95"/>
      <c r="C102" s="96"/>
      <c r="D102" s="97"/>
      <c r="E102" s="113"/>
      <c r="F102" s="90"/>
      <c r="G102" s="91"/>
      <c r="H102" s="92"/>
      <c r="I102" s="105"/>
      <c r="J102" s="83"/>
      <c r="K102" s="83"/>
      <c r="L102" s="12"/>
      <c r="M102" s="28"/>
      <c r="N102" s="14"/>
      <c r="O102" s="11"/>
      <c r="P102" s="11"/>
      <c r="Q102" s="16"/>
      <c r="R102" s="2"/>
      <c r="S102" s="12"/>
      <c r="T102" s="17"/>
      <c r="U102" s="2"/>
      <c r="V102" s="18"/>
      <c r="W102" s="16"/>
    </row>
    <row r="103" spans="2:23" ht="18" x14ac:dyDescent="0.35">
      <c r="B103" s="95"/>
      <c r="C103" s="96"/>
      <c r="D103" s="97"/>
      <c r="E103" s="113"/>
      <c r="F103" s="90"/>
      <c r="G103" s="91"/>
      <c r="H103" s="92"/>
      <c r="I103" s="105"/>
      <c r="J103" s="83"/>
      <c r="K103" s="83"/>
      <c r="L103" s="12"/>
      <c r="M103" s="28"/>
      <c r="N103" s="14"/>
      <c r="O103" s="11"/>
      <c r="P103" s="11"/>
      <c r="Q103" s="16"/>
      <c r="R103" s="2"/>
      <c r="S103" s="12"/>
      <c r="T103" s="17"/>
      <c r="U103" s="2"/>
      <c r="V103" s="18"/>
      <c r="W103" s="16"/>
    </row>
    <row r="104" spans="2:23" ht="18" x14ac:dyDescent="0.35">
      <c r="B104" s="95"/>
      <c r="C104" s="96"/>
      <c r="D104" s="97"/>
      <c r="E104" s="113"/>
      <c r="F104" s="90"/>
      <c r="G104" s="91"/>
      <c r="H104" s="92"/>
      <c r="I104" s="105"/>
      <c r="J104" s="83"/>
      <c r="K104" s="83"/>
      <c r="L104" s="12"/>
      <c r="M104" s="28"/>
      <c r="N104" s="14"/>
      <c r="O104" s="11"/>
      <c r="P104" s="11"/>
      <c r="Q104" s="16"/>
      <c r="R104" s="2"/>
      <c r="S104" s="12"/>
      <c r="T104" s="17"/>
      <c r="U104" s="2"/>
      <c r="V104" s="18"/>
      <c r="W104" s="16"/>
    </row>
    <row r="105" spans="2:23" ht="18" x14ac:dyDescent="0.35">
      <c r="B105" s="95"/>
      <c r="C105" s="96"/>
      <c r="D105" s="97"/>
      <c r="E105" s="113"/>
      <c r="F105" s="90"/>
      <c r="G105" s="91"/>
      <c r="H105" s="92"/>
      <c r="I105" s="105"/>
      <c r="J105" s="83"/>
      <c r="K105" s="83"/>
      <c r="L105" s="12"/>
      <c r="M105" s="28"/>
      <c r="N105" s="14"/>
      <c r="O105" s="11"/>
      <c r="P105" s="11"/>
      <c r="Q105" s="16"/>
      <c r="R105" s="2"/>
      <c r="S105" s="12"/>
      <c r="T105" s="17"/>
      <c r="U105" s="2"/>
      <c r="V105" s="18"/>
      <c r="W105" s="16"/>
    </row>
    <row r="106" spans="2:23" ht="18" x14ac:dyDescent="0.35">
      <c r="B106" s="95"/>
      <c r="C106" s="96"/>
      <c r="D106" s="97"/>
      <c r="E106" s="113"/>
      <c r="F106" s="90"/>
      <c r="G106" s="91"/>
      <c r="H106" s="92"/>
      <c r="I106" s="105"/>
      <c r="J106" s="83"/>
      <c r="K106" s="83"/>
      <c r="L106" s="12"/>
      <c r="M106" s="28"/>
      <c r="N106" s="14"/>
      <c r="O106" s="11"/>
      <c r="P106" s="11"/>
      <c r="Q106" s="16"/>
      <c r="R106" s="2"/>
      <c r="S106" s="12"/>
      <c r="T106" s="17"/>
      <c r="U106" s="2"/>
      <c r="V106" s="18"/>
      <c r="W106" s="16"/>
    </row>
    <row r="107" spans="2:23" ht="18" x14ac:dyDescent="0.35">
      <c r="B107" s="95"/>
      <c r="C107" s="96"/>
      <c r="D107" s="97"/>
      <c r="E107" s="113"/>
      <c r="F107" s="90"/>
      <c r="G107" s="91"/>
      <c r="H107" s="92"/>
      <c r="I107" s="105"/>
      <c r="J107" s="83"/>
      <c r="K107" s="83"/>
      <c r="L107" s="12"/>
      <c r="M107" s="28"/>
      <c r="N107" s="14"/>
      <c r="O107" s="11"/>
      <c r="P107" s="11"/>
      <c r="Q107" s="16"/>
      <c r="R107" s="2"/>
      <c r="S107" s="12"/>
      <c r="T107" s="17"/>
      <c r="U107" s="2"/>
      <c r="V107" s="18"/>
      <c r="W107" s="16"/>
    </row>
    <row r="108" spans="2:23" ht="18" x14ac:dyDescent="0.35">
      <c r="B108" s="95"/>
      <c r="C108" s="96"/>
      <c r="D108" s="97"/>
      <c r="E108" s="113"/>
      <c r="F108" s="90"/>
      <c r="G108" s="91"/>
      <c r="H108" s="92"/>
      <c r="I108" s="105"/>
      <c r="J108" s="83"/>
      <c r="K108" s="83"/>
      <c r="L108" s="12"/>
      <c r="M108" s="28"/>
      <c r="N108" s="14"/>
      <c r="O108" s="11"/>
      <c r="P108" s="11"/>
      <c r="Q108" s="16"/>
      <c r="R108" s="2"/>
      <c r="S108" s="12"/>
      <c r="T108" s="17"/>
      <c r="U108" s="2"/>
      <c r="V108" s="18"/>
      <c r="W108" s="16"/>
    </row>
    <row r="109" spans="2:23" ht="18" x14ac:dyDescent="0.35">
      <c r="B109" s="95"/>
      <c r="C109" s="96"/>
      <c r="D109" s="97"/>
      <c r="E109" s="113"/>
      <c r="F109" s="90"/>
      <c r="G109" s="91"/>
      <c r="H109" s="92"/>
      <c r="I109" s="105"/>
      <c r="J109" s="83"/>
      <c r="K109" s="83"/>
      <c r="L109" s="12"/>
      <c r="M109" s="28"/>
      <c r="N109" s="14"/>
      <c r="O109" s="11"/>
      <c r="P109" s="11"/>
      <c r="Q109" s="16"/>
      <c r="R109" s="2"/>
      <c r="S109" s="12"/>
      <c r="T109" s="17"/>
      <c r="U109" s="2"/>
      <c r="V109" s="18"/>
      <c r="W109" s="16"/>
    </row>
    <row r="110" spans="2:23" ht="18" x14ac:dyDescent="0.35">
      <c r="B110" s="95"/>
      <c r="C110" s="96"/>
      <c r="D110" s="97"/>
      <c r="E110" s="113"/>
      <c r="F110" s="90"/>
      <c r="G110" s="91"/>
      <c r="H110" s="92"/>
      <c r="I110" s="105"/>
      <c r="J110" s="83"/>
      <c r="K110" s="83"/>
      <c r="L110" s="12"/>
      <c r="M110" s="28"/>
      <c r="N110" s="14"/>
      <c r="O110" s="11"/>
      <c r="P110" s="11"/>
      <c r="Q110" s="16"/>
      <c r="R110" s="2"/>
      <c r="S110" s="12"/>
      <c r="T110" s="17"/>
      <c r="U110" s="2"/>
      <c r="V110" s="18"/>
      <c r="W110" s="16"/>
    </row>
    <row r="111" spans="2:23" ht="18" x14ac:dyDescent="0.35">
      <c r="B111" s="95"/>
      <c r="C111" s="96"/>
      <c r="D111" s="97"/>
      <c r="E111" s="113"/>
      <c r="F111" s="90"/>
      <c r="G111" s="91"/>
      <c r="H111" s="92"/>
      <c r="I111" s="105"/>
      <c r="J111" s="83"/>
      <c r="K111" s="83"/>
      <c r="L111" s="12"/>
      <c r="M111" s="28"/>
      <c r="N111" s="14"/>
      <c r="O111" s="11"/>
      <c r="P111" s="11"/>
      <c r="Q111" s="16"/>
      <c r="R111" s="2"/>
      <c r="S111" s="12"/>
      <c r="T111" s="17"/>
      <c r="U111" s="2"/>
      <c r="V111" s="18"/>
      <c r="W111" s="16"/>
    </row>
    <row r="112" spans="2:23" ht="18" x14ac:dyDescent="0.35">
      <c r="B112" s="95"/>
      <c r="C112" s="96"/>
      <c r="D112" s="97"/>
      <c r="E112" s="113"/>
      <c r="F112" s="90"/>
      <c r="G112" s="91"/>
      <c r="H112" s="92"/>
      <c r="I112" s="105"/>
      <c r="J112" s="83"/>
      <c r="K112" s="83"/>
      <c r="L112" s="12"/>
      <c r="M112" s="28"/>
      <c r="N112" s="14"/>
      <c r="O112" s="11"/>
      <c r="P112" s="11"/>
      <c r="Q112" s="16"/>
      <c r="R112" s="2"/>
      <c r="S112" s="12"/>
      <c r="T112" s="17"/>
      <c r="U112" s="2"/>
      <c r="V112" s="18"/>
      <c r="W112" s="16"/>
    </row>
    <row r="113" spans="2:23" ht="18" x14ac:dyDescent="0.35">
      <c r="B113" s="95"/>
      <c r="C113" s="96"/>
      <c r="D113" s="97"/>
      <c r="E113" s="113"/>
      <c r="F113" s="90"/>
      <c r="G113" s="91"/>
      <c r="H113" s="92"/>
      <c r="I113" s="105"/>
      <c r="J113" s="83"/>
      <c r="K113" s="83"/>
      <c r="L113" s="12"/>
      <c r="M113" s="28"/>
      <c r="N113" s="14"/>
      <c r="O113" s="11"/>
      <c r="P113" s="11"/>
      <c r="Q113" s="16"/>
      <c r="R113" s="2"/>
      <c r="S113" s="12"/>
      <c r="T113" s="17"/>
      <c r="U113" s="2"/>
      <c r="V113" s="18"/>
      <c r="W113" s="16"/>
    </row>
    <row r="114" spans="2:23" ht="18" x14ac:dyDescent="0.35">
      <c r="B114" s="95"/>
      <c r="C114" s="96"/>
      <c r="D114" s="97"/>
      <c r="E114" s="113"/>
      <c r="F114" s="90"/>
      <c r="G114" s="91"/>
      <c r="H114" s="92"/>
      <c r="I114" s="105"/>
      <c r="J114" s="83"/>
      <c r="K114" s="83"/>
      <c r="L114" s="12"/>
      <c r="M114" s="28"/>
      <c r="N114" s="14"/>
      <c r="O114" s="11"/>
      <c r="P114" s="11"/>
      <c r="Q114" s="16"/>
      <c r="R114" s="2"/>
      <c r="S114" s="12"/>
      <c r="T114" s="17"/>
      <c r="U114" s="2"/>
      <c r="V114" s="18"/>
      <c r="W114" s="16"/>
    </row>
    <row r="115" spans="2:23" ht="18" x14ac:dyDescent="0.35">
      <c r="B115" s="95"/>
      <c r="C115" s="96"/>
      <c r="D115" s="97"/>
      <c r="E115" s="113"/>
      <c r="F115" s="90"/>
      <c r="G115" s="91"/>
      <c r="H115" s="92"/>
      <c r="I115" s="105"/>
      <c r="J115" s="83"/>
      <c r="K115" s="83"/>
      <c r="L115" s="12"/>
      <c r="M115" s="28"/>
      <c r="N115" s="14"/>
      <c r="O115" s="11"/>
      <c r="P115" s="11"/>
      <c r="Q115" s="16"/>
      <c r="R115" s="2"/>
      <c r="S115" s="12"/>
      <c r="T115" s="17"/>
      <c r="U115" s="2"/>
      <c r="V115" s="18"/>
      <c r="W115" s="16"/>
    </row>
    <row r="116" spans="2:23" ht="18" x14ac:dyDescent="0.35">
      <c r="B116" s="95"/>
      <c r="C116" s="96"/>
      <c r="D116" s="97"/>
      <c r="E116" s="113"/>
      <c r="F116" s="90"/>
      <c r="G116" s="91"/>
      <c r="H116" s="92"/>
      <c r="I116" s="105"/>
      <c r="J116" s="83"/>
      <c r="K116" s="83"/>
      <c r="L116" s="12"/>
      <c r="M116" s="28"/>
      <c r="N116" s="14"/>
      <c r="O116" s="11"/>
      <c r="P116" s="11"/>
      <c r="Q116" s="16"/>
      <c r="R116" s="2"/>
      <c r="S116" s="12"/>
      <c r="T116" s="17"/>
      <c r="U116" s="2"/>
      <c r="V116" s="18"/>
      <c r="W116" s="16"/>
    </row>
    <row r="117" spans="2:23" ht="18" x14ac:dyDescent="0.35">
      <c r="B117" s="95"/>
      <c r="C117" s="96"/>
      <c r="D117" s="97"/>
      <c r="E117" s="113"/>
      <c r="F117" s="90"/>
      <c r="G117" s="91"/>
      <c r="H117" s="92"/>
      <c r="I117" s="105"/>
      <c r="J117" s="83"/>
      <c r="K117" s="83"/>
      <c r="L117" s="12"/>
      <c r="M117" s="28"/>
      <c r="N117" s="14"/>
      <c r="O117" s="11"/>
      <c r="P117" s="11"/>
      <c r="Q117" s="16"/>
      <c r="R117" s="2"/>
      <c r="S117" s="12"/>
      <c r="T117" s="17"/>
      <c r="U117" s="2"/>
      <c r="V117" s="18"/>
      <c r="W117" s="16"/>
    </row>
    <row r="118" spans="2:23" ht="18" x14ac:dyDescent="0.35">
      <c r="B118" s="95"/>
      <c r="C118" s="96"/>
      <c r="D118" s="97"/>
      <c r="E118" s="113"/>
      <c r="F118" s="90"/>
      <c r="G118" s="91"/>
      <c r="H118" s="92"/>
      <c r="I118" s="105"/>
      <c r="J118" s="83"/>
      <c r="K118" s="83"/>
      <c r="L118" s="12"/>
      <c r="M118" s="28"/>
      <c r="N118" s="14"/>
      <c r="O118" s="11"/>
      <c r="P118" s="11"/>
      <c r="Q118" s="16"/>
      <c r="R118" s="2"/>
      <c r="S118" s="12"/>
      <c r="T118" s="17"/>
      <c r="U118" s="2"/>
      <c r="V118" s="18"/>
      <c r="W118" s="16"/>
    </row>
    <row r="119" spans="2:23" ht="18" x14ac:dyDescent="0.35">
      <c r="B119" s="95"/>
      <c r="C119" s="96"/>
      <c r="D119" s="97"/>
      <c r="E119" s="113"/>
      <c r="F119" s="90"/>
      <c r="G119" s="91"/>
      <c r="H119" s="92"/>
      <c r="I119" s="105"/>
      <c r="J119" s="83"/>
      <c r="K119" s="83"/>
      <c r="L119" s="12"/>
      <c r="M119" s="28"/>
      <c r="N119" s="14"/>
      <c r="O119" s="11"/>
      <c r="P119" s="11"/>
      <c r="Q119" s="16"/>
      <c r="R119" s="2"/>
      <c r="S119" s="12"/>
      <c r="T119" s="17"/>
      <c r="U119" s="2"/>
      <c r="V119" s="18"/>
      <c r="W119" s="16"/>
    </row>
    <row r="120" spans="2:23" ht="18" x14ac:dyDescent="0.35">
      <c r="B120" s="95"/>
      <c r="C120" s="96"/>
      <c r="D120" s="97"/>
      <c r="E120" s="113"/>
      <c r="F120" s="90"/>
      <c r="G120" s="91"/>
      <c r="H120" s="92"/>
      <c r="I120" s="105"/>
      <c r="J120" s="83"/>
      <c r="K120" s="83"/>
      <c r="L120" s="12"/>
      <c r="M120" s="28"/>
      <c r="N120" s="14"/>
      <c r="O120" s="11"/>
      <c r="P120" s="11"/>
      <c r="Q120" s="16"/>
      <c r="R120" s="2"/>
      <c r="S120" s="12"/>
      <c r="T120" s="17"/>
      <c r="U120" s="2"/>
      <c r="V120" s="18"/>
      <c r="W120" s="16"/>
    </row>
    <row r="121" spans="2:23" ht="18" x14ac:dyDescent="0.35">
      <c r="B121" s="95"/>
      <c r="C121" s="96"/>
      <c r="D121" s="97"/>
      <c r="E121" s="113"/>
      <c r="F121" s="90"/>
      <c r="G121" s="91"/>
      <c r="H121" s="92"/>
      <c r="I121" s="105"/>
      <c r="J121" s="83"/>
      <c r="K121" s="83"/>
      <c r="L121" s="12"/>
      <c r="M121" s="28"/>
      <c r="N121" s="14"/>
      <c r="O121" s="11"/>
      <c r="P121" s="11"/>
      <c r="Q121" s="16"/>
      <c r="R121" s="2"/>
      <c r="S121" s="12"/>
      <c r="T121" s="17"/>
      <c r="U121" s="2"/>
      <c r="V121" s="18"/>
      <c r="W121" s="16"/>
    </row>
    <row r="122" spans="2:23" ht="18" x14ac:dyDescent="0.35">
      <c r="B122" s="95"/>
      <c r="C122" s="96"/>
      <c r="D122" s="97"/>
      <c r="E122" s="113"/>
      <c r="F122" s="99"/>
      <c r="G122" s="100"/>
      <c r="H122" s="101"/>
      <c r="I122" s="105"/>
      <c r="J122" s="83"/>
      <c r="K122" s="83"/>
      <c r="L122" s="12"/>
      <c r="M122" s="28"/>
      <c r="N122" s="14"/>
      <c r="O122" s="11"/>
      <c r="P122" s="11"/>
      <c r="Q122" s="16"/>
      <c r="R122" s="2"/>
      <c r="S122" s="12"/>
      <c r="T122" s="17"/>
      <c r="U122" s="2"/>
      <c r="V122" s="18"/>
      <c r="W122" s="16"/>
    </row>
    <row r="123" spans="2:23" ht="18" x14ac:dyDescent="0.35">
      <c r="B123" s="95"/>
      <c r="C123" s="96"/>
      <c r="D123" s="97"/>
      <c r="E123" s="113"/>
      <c r="F123" s="99"/>
      <c r="G123" s="100"/>
      <c r="H123" s="101"/>
      <c r="I123" s="105"/>
      <c r="J123" s="83"/>
      <c r="K123" s="83"/>
      <c r="L123" s="12"/>
      <c r="M123" s="28"/>
      <c r="N123" s="14"/>
      <c r="O123" s="11"/>
      <c r="P123" s="11"/>
      <c r="Q123" s="16"/>
      <c r="R123" s="2"/>
      <c r="S123" s="12"/>
      <c r="T123" s="17"/>
      <c r="U123" s="2"/>
      <c r="V123" s="18"/>
      <c r="W123" s="16"/>
    </row>
    <row r="124" spans="2:23" ht="18" x14ac:dyDescent="0.35">
      <c r="B124" s="95"/>
      <c r="C124" s="96"/>
      <c r="D124" s="97"/>
      <c r="E124" s="113"/>
      <c r="F124" s="99"/>
      <c r="G124" s="100"/>
      <c r="H124" s="101"/>
      <c r="I124" s="105"/>
      <c r="J124" s="83"/>
      <c r="K124" s="83"/>
      <c r="L124" s="12"/>
      <c r="M124" s="28"/>
      <c r="N124" s="14"/>
      <c r="O124" s="11"/>
      <c r="P124" s="11"/>
      <c r="Q124" s="16"/>
      <c r="R124" s="2"/>
      <c r="S124" s="12"/>
      <c r="T124" s="17"/>
      <c r="U124" s="2"/>
      <c r="V124" s="18"/>
      <c r="W124" s="16"/>
    </row>
    <row r="125" spans="2:23" ht="18" x14ac:dyDescent="0.35">
      <c r="B125" s="95"/>
      <c r="C125" s="96"/>
      <c r="D125" s="97"/>
      <c r="E125" s="113"/>
      <c r="F125" s="99"/>
      <c r="G125" s="100"/>
      <c r="H125" s="101"/>
      <c r="I125" s="105"/>
      <c r="J125" s="83"/>
      <c r="K125" s="83"/>
      <c r="L125" s="12"/>
      <c r="M125" s="28"/>
      <c r="N125" s="14"/>
      <c r="O125" s="11"/>
      <c r="P125" s="11"/>
      <c r="Q125" s="16"/>
      <c r="R125" s="2"/>
      <c r="S125" s="12"/>
      <c r="T125" s="17"/>
      <c r="U125" s="2"/>
      <c r="V125" s="18"/>
      <c r="W125" s="16"/>
    </row>
    <row r="126" spans="2:23" ht="18" x14ac:dyDescent="0.35">
      <c r="B126" s="95"/>
      <c r="C126" s="96"/>
      <c r="D126" s="97"/>
      <c r="E126" s="113"/>
      <c r="F126" s="99"/>
      <c r="G126" s="100"/>
      <c r="H126" s="101"/>
      <c r="I126" s="105"/>
      <c r="J126" s="83"/>
      <c r="K126" s="83"/>
      <c r="L126" s="12"/>
      <c r="M126" s="28"/>
      <c r="N126" s="14"/>
      <c r="O126" s="11"/>
      <c r="P126" s="11"/>
      <c r="Q126" s="16"/>
      <c r="R126" s="2"/>
      <c r="S126" s="12"/>
      <c r="T126" s="17"/>
      <c r="U126" s="2"/>
      <c r="V126" s="18"/>
      <c r="W126" s="16"/>
    </row>
    <row r="127" spans="2:23" ht="18" x14ac:dyDescent="0.35">
      <c r="B127" s="95"/>
      <c r="C127" s="96"/>
      <c r="D127" s="97"/>
      <c r="E127" s="113"/>
      <c r="F127" s="99"/>
      <c r="G127" s="100"/>
      <c r="H127" s="101"/>
      <c r="I127" s="105"/>
      <c r="J127" s="83"/>
      <c r="K127" s="83"/>
      <c r="L127" s="12"/>
      <c r="M127" s="28"/>
      <c r="N127" s="14"/>
      <c r="O127" s="11"/>
      <c r="P127" s="11"/>
      <c r="Q127" s="16"/>
      <c r="R127" s="2"/>
      <c r="S127" s="12"/>
      <c r="T127" s="17"/>
      <c r="U127" s="2"/>
      <c r="V127" s="18"/>
      <c r="W127" s="16"/>
    </row>
    <row r="128" spans="2:23" ht="18" x14ac:dyDescent="0.35">
      <c r="B128" s="95"/>
      <c r="C128" s="96"/>
      <c r="D128" s="97"/>
      <c r="E128" s="113"/>
      <c r="F128" s="99"/>
      <c r="G128" s="100"/>
      <c r="H128" s="101"/>
      <c r="I128" s="105"/>
      <c r="J128" s="83"/>
      <c r="K128" s="83"/>
      <c r="L128" s="12"/>
      <c r="M128" s="28"/>
      <c r="N128" s="14"/>
      <c r="O128" s="11"/>
      <c r="P128" s="11"/>
      <c r="Q128" s="16"/>
      <c r="R128" s="2"/>
      <c r="S128" s="12"/>
      <c r="T128" s="17"/>
      <c r="U128" s="2"/>
      <c r="V128" s="18"/>
      <c r="W128" s="16"/>
    </row>
    <row r="129" spans="1:23" ht="18.600000000000001" thickBot="1" x14ac:dyDescent="0.4">
      <c r="B129" s="114"/>
      <c r="C129" s="115"/>
      <c r="D129" s="116"/>
      <c r="E129" s="113"/>
      <c r="F129" s="117"/>
      <c r="G129" s="118"/>
      <c r="H129" s="119"/>
      <c r="I129" s="105"/>
      <c r="J129" s="83"/>
      <c r="K129" s="83"/>
      <c r="L129" s="30"/>
      <c r="M129" s="31"/>
      <c r="N129" s="32"/>
      <c r="O129" s="29"/>
      <c r="P129" s="29"/>
      <c r="Q129" s="33"/>
      <c r="R129" s="2"/>
      <c r="S129" s="30"/>
      <c r="T129" s="34"/>
      <c r="U129" s="2"/>
      <c r="V129" s="35"/>
      <c r="W129" s="33"/>
    </row>
    <row r="130" spans="1:23" ht="18.600000000000001" thickBot="1" x14ac:dyDescent="0.4">
      <c r="A130" s="120" t="s">
        <v>15</v>
      </c>
      <c r="B130" s="121">
        <f>SUM(B9:B129)</f>
        <v>0</v>
      </c>
      <c r="C130" s="122"/>
      <c r="D130" s="121"/>
      <c r="E130" s="123">
        <f>SUM(E9:E129)</f>
        <v>0</v>
      </c>
      <c r="F130" s="124">
        <f>SUM(F9:F129)</f>
        <v>0</v>
      </c>
      <c r="G130" s="82"/>
      <c r="H130" s="125"/>
      <c r="I130" s="125">
        <f>SUM(I9:I129)</f>
        <v>0</v>
      </c>
      <c r="J130" s="83"/>
      <c r="K130" s="83"/>
      <c r="L130" s="126"/>
      <c r="M130" s="126">
        <f>SUM(M9:M129)</f>
        <v>0</v>
      </c>
      <c r="N130" s="127">
        <f>SUM(N9:N129)</f>
        <v>0</v>
      </c>
      <c r="O130" s="82"/>
      <c r="P130" s="82">
        <f>SUM(P9:P129)</f>
        <v>0</v>
      </c>
      <c r="Q130" s="128">
        <f>SUM(Q9:Q129)</f>
        <v>0</v>
      </c>
      <c r="R130" s="83"/>
      <c r="S130" s="84"/>
      <c r="T130" s="129">
        <f>SUM(T9:T129)</f>
        <v>0</v>
      </c>
      <c r="U130" s="83"/>
      <c r="V130" s="82"/>
      <c r="W130" s="130">
        <f>SUM(W9:W129)</f>
        <v>0</v>
      </c>
    </row>
  </sheetData>
  <mergeCells count="8">
    <mergeCell ref="V5:W5"/>
    <mergeCell ref="Y5:Z5"/>
    <mergeCell ref="E1:G1"/>
    <mergeCell ref="B2:C2"/>
    <mergeCell ref="B3:C3"/>
    <mergeCell ref="B5:I5"/>
    <mergeCell ref="L5:Q5"/>
    <mergeCell ref="S5:T5"/>
  </mergeCells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651EC2-589D-456B-AF17-C5AF99EB074E}">
  <sheetPr codeName="Sheet60"/>
  <dimension ref="A1:Z130"/>
  <sheetViews>
    <sheetView zoomScale="80" zoomScaleNormal="80" workbookViewId="0">
      <selection activeCell="E2" sqref="E2"/>
    </sheetView>
  </sheetViews>
  <sheetFormatPr defaultColWidth="9.109375" defaultRowHeight="14.4" x14ac:dyDescent="0.3"/>
  <cols>
    <col min="1" max="1" width="15.5546875" style="36" customWidth="1"/>
    <col min="2" max="2" width="15.88671875" style="36" customWidth="1"/>
    <col min="3" max="3" width="20" style="76" customWidth="1"/>
    <col min="4" max="4" width="20.33203125" style="36" customWidth="1"/>
    <col min="5" max="5" width="22.33203125" style="36" customWidth="1"/>
    <col min="6" max="6" width="14.6640625" style="36" customWidth="1"/>
    <col min="7" max="7" width="22" style="76" customWidth="1"/>
    <col min="8" max="8" width="18.88671875" style="36" customWidth="1"/>
    <col min="9" max="9" width="23" style="36" customWidth="1"/>
    <col min="10" max="11" width="9.109375" style="36"/>
    <col min="12" max="12" width="20.6640625" style="76" customWidth="1"/>
    <col min="13" max="13" width="15.44140625" style="76" customWidth="1"/>
    <col min="14" max="14" width="22.6640625" style="36" customWidth="1"/>
    <col min="15" max="15" width="20.5546875" style="76" customWidth="1"/>
    <col min="16" max="16" width="13.33203125" style="76" customWidth="1"/>
    <col min="17" max="17" width="21.5546875" style="76" customWidth="1"/>
    <col min="18" max="18" width="9.109375" style="36"/>
    <col min="19" max="19" width="22" style="76" customWidth="1"/>
    <col min="20" max="20" width="22.33203125" style="76" customWidth="1"/>
    <col min="21" max="21" width="9.109375" style="36"/>
    <col min="22" max="22" width="21.88671875" style="76" customWidth="1"/>
    <col min="23" max="23" width="23.109375" style="76" customWidth="1"/>
    <col min="24" max="24" width="9.109375" style="36"/>
    <col min="25" max="25" width="21.33203125" style="36" customWidth="1"/>
    <col min="26" max="26" width="21.88671875" style="36" customWidth="1"/>
    <col min="27" max="16384" width="9.109375" style="36"/>
  </cols>
  <sheetData>
    <row r="1" spans="2:26" ht="21" x14ac:dyDescent="0.4">
      <c r="E1" s="189">
        <v>44196</v>
      </c>
      <c r="F1" s="189"/>
      <c r="G1" s="189"/>
    </row>
    <row r="2" spans="2:26" ht="18" x14ac:dyDescent="0.35">
      <c r="B2" s="190" t="s">
        <v>0</v>
      </c>
      <c r="C2" s="190"/>
      <c r="D2" s="1"/>
    </row>
    <row r="3" spans="2:26" ht="18" x14ac:dyDescent="0.35">
      <c r="B3" s="190" t="s">
        <v>1</v>
      </c>
      <c r="C3" s="190"/>
      <c r="D3" s="77">
        <f>(D2-E130-I130)</f>
        <v>0</v>
      </c>
    </row>
    <row r="5" spans="2:26" ht="36.6" x14ac:dyDescent="0.7">
      <c r="B5" s="187" t="s">
        <v>2</v>
      </c>
      <c r="C5" s="187"/>
      <c r="D5" s="187"/>
      <c r="E5" s="187"/>
      <c r="F5" s="187"/>
      <c r="G5" s="187"/>
      <c r="H5" s="187"/>
      <c r="I5" s="187"/>
      <c r="L5" s="187" t="s">
        <v>3</v>
      </c>
      <c r="M5" s="187"/>
      <c r="N5" s="187"/>
      <c r="O5" s="187"/>
      <c r="P5" s="187"/>
      <c r="Q5" s="187"/>
      <c r="S5" s="191" t="s">
        <v>4</v>
      </c>
      <c r="T5" s="191"/>
      <c r="V5" s="187" t="s">
        <v>5</v>
      </c>
      <c r="W5" s="187"/>
      <c r="Y5" s="188" t="s">
        <v>105</v>
      </c>
      <c r="Z5" s="187"/>
    </row>
    <row r="7" spans="2:26" ht="15" thickBot="1" x14ac:dyDescent="0.35"/>
    <row r="8" spans="2:26" ht="18.600000000000001" thickBot="1" x14ac:dyDescent="0.4">
      <c r="B8" s="78" t="s">
        <v>6</v>
      </c>
      <c r="C8" s="79" t="s">
        <v>7</v>
      </c>
      <c r="D8" s="78" t="s">
        <v>8</v>
      </c>
      <c r="E8" s="80" t="s">
        <v>9</v>
      </c>
      <c r="F8" s="81" t="s">
        <v>6</v>
      </c>
      <c r="G8" s="81" t="s">
        <v>10</v>
      </c>
      <c r="H8" s="81" t="s">
        <v>8</v>
      </c>
      <c r="I8" s="82" t="s">
        <v>9</v>
      </c>
      <c r="J8" s="83"/>
      <c r="K8" s="83"/>
      <c r="L8" s="84" t="s">
        <v>11</v>
      </c>
      <c r="M8" s="84" t="s">
        <v>6</v>
      </c>
      <c r="N8" s="84" t="s">
        <v>9</v>
      </c>
      <c r="O8" s="82" t="s">
        <v>12</v>
      </c>
      <c r="P8" s="82" t="s">
        <v>6</v>
      </c>
      <c r="Q8" s="82" t="s">
        <v>9</v>
      </c>
      <c r="R8" s="83"/>
      <c r="S8" s="84" t="s">
        <v>13</v>
      </c>
      <c r="T8" s="85" t="s">
        <v>9</v>
      </c>
      <c r="U8" s="83"/>
      <c r="V8" s="82" t="s">
        <v>14</v>
      </c>
      <c r="W8" s="82" t="s">
        <v>9</v>
      </c>
      <c r="Y8" s="146" t="s">
        <v>106</v>
      </c>
      <c r="Z8" s="147" t="s">
        <v>107</v>
      </c>
    </row>
    <row r="9" spans="2:26" ht="18" x14ac:dyDescent="0.35">
      <c r="B9" s="86"/>
      <c r="C9" s="87"/>
      <c r="D9" s="88"/>
      <c r="E9" s="89"/>
      <c r="F9" s="90"/>
      <c r="G9" s="91"/>
      <c r="H9" s="92"/>
      <c r="I9" s="93"/>
      <c r="J9" s="83"/>
      <c r="K9" s="83"/>
      <c r="L9" s="3"/>
      <c r="M9" s="4"/>
      <c r="N9" s="5"/>
      <c r="O9" s="6"/>
      <c r="P9" s="7"/>
      <c r="Q9" s="8"/>
      <c r="R9" s="2"/>
      <c r="S9" s="3"/>
      <c r="T9" s="9"/>
      <c r="U9" s="2"/>
      <c r="V9" s="10"/>
      <c r="W9" s="8"/>
      <c r="Y9" s="148" t="s">
        <v>88</v>
      </c>
      <c r="Z9" s="151">
        <f>SUMIF($C$9:$C$129, Y9, $B$9:$B$129)</f>
        <v>0</v>
      </c>
    </row>
    <row r="10" spans="2:26" ht="18" x14ac:dyDescent="0.35">
      <c r="B10" s="95"/>
      <c r="C10" s="96"/>
      <c r="D10" s="97"/>
      <c r="E10" s="98"/>
      <c r="F10" s="90"/>
      <c r="G10" s="91"/>
      <c r="H10" s="92"/>
      <c r="I10" s="93"/>
      <c r="J10" s="83"/>
      <c r="K10" s="83"/>
      <c r="L10" s="12"/>
      <c r="M10" s="13"/>
      <c r="N10" s="14"/>
      <c r="O10" s="11"/>
      <c r="P10" s="15"/>
      <c r="Q10" s="16"/>
      <c r="R10" s="2"/>
      <c r="S10" s="12"/>
      <c r="T10" s="17"/>
      <c r="U10" s="2"/>
      <c r="V10" s="18"/>
      <c r="W10" s="8"/>
      <c r="Y10" s="149" t="s">
        <v>76</v>
      </c>
      <c r="Z10" s="151">
        <f t="shared" ref="Z10:Z11" si="0">SUMIF($C$9:$C$129, Y10, $B$9:$B$129)</f>
        <v>0</v>
      </c>
    </row>
    <row r="11" spans="2:26" ht="18" x14ac:dyDescent="0.35">
      <c r="B11" s="95"/>
      <c r="C11" s="96"/>
      <c r="D11" s="97"/>
      <c r="E11" s="98"/>
      <c r="F11" s="90"/>
      <c r="G11" s="91"/>
      <c r="H11" s="92"/>
      <c r="I11" s="93"/>
      <c r="J11" s="83"/>
      <c r="K11" s="83"/>
      <c r="L11" s="12"/>
      <c r="M11" s="13"/>
      <c r="N11" s="14"/>
      <c r="O11" s="11"/>
      <c r="P11" s="15"/>
      <c r="Q11" s="16"/>
      <c r="R11" s="2"/>
      <c r="S11" s="12"/>
      <c r="T11" s="17"/>
      <c r="U11" s="2"/>
      <c r="V11" s="18"/>
      <c r="W11" s="8"/>
      <c r="Y11" s="149" t="s">
        <v>77</v>
      </c>
      <c r="Z11" s="151">
        <f t="shared" si="0"/>
        <v>0</v>
      </c>
    </row>
    <row r="12" spans="2:26" ht="18" x14ac:dyDescent="0.35">
      <c r="B12" s="95"/>
      <c r="C12" s="96"/>
      <c r="D12" s="97"/>
      <c r="E12" s="98"/>
      <c r="F12" s="90"/>
      <c r="G12" s="91"/>
      <c r="H12" s="92"/>
      <c r="I12" s="93"/>
      <c r="J12" s="83"/>
      <c r="K12" s="83"/>
      <c r="L12" s="12"/>
      <c r="M12" s="13"/>
      <c r="N12" s="14"/>
      <c r="O12" s="11"/>
      <c r="P12" s="15"/>
      <c r="Q12" s="16"/>
      <c r="R12" s="2"/>
      <c r="S12" s="12"/>
      <c r="T12" s="17"/>
      <c r="U12" s="2"/>
      <c r="V12" s="18"/>
      <c r="W12" s="8"/>
      <c r="Y12" s="149" t="s">
        <v>89</v>
      </c>
      <c r="Z12" s="152">
        <f>SUMIF($G$9:$G$129, Y12, $F$9:$F$129)</f>
        <v>0</v>
      </c>
    </row>
    <row r="13" spans="2:26" ht="18" x14ac:dyDescent="0.35">
      <c r="B13" s="95"/>
      <c r="C13" s="96"/>
      <c r="D13" s="97"/>
      <c r="E13" s="98"/>
      <c r="F13" s="90"/>
      <c r="G13" s="91"/>
      <c r="H13" s="92"/>
      <c r="I13" s="93"/>
      <c r="J13" s="83"/>
      <c r="K13" s="83"/>
      <c r="L13" s="12"/>
      <c r="M13" s="13"/>
      <c r="N13" s="14"/>
      <c r="O13" s="11"/>
      <c r="P13" s="15"/>
      <c r="Q13" s="16"/>
      <c r="R13" s="2"/>
      <c r="S13" s="12"/>
      <c r="T13" s="17"/>
      <c r="U13" s="2"/>
      <c r="V13" s="18"/>
      <c r="W13" s="8"/>
      <c r="Y13" s="149" t="s">
        <v>20</v>
      </c>
      <c r="Z13" s="152">
        <f t="shared" ref="Z13:Z76" si="1">SUMIF($G$9:$G$129, Y13, $F$9:$F$129)</f>
        <v>0</v>
      </c>
    </row>
    <row r="14" spans="2:26" ht="18" x14ac:dyDescent="0.35">
      <c r="B14" s="95"/>
      <c r="C14" s="96"/>
      <c r="D14" s="97"/>
      <c r="E14" s="98"/>
      <c r="F14" s="90"/>
      <c r="G14" s="91"/>
      <c r="H14" s="92"/>
      <c r="I14" s="93"/>
      <c r="J14" s="83"/>
      <c r="K14" s="83"/>
      <c r="L14" s="12"/>
      <c r="M14" s="13"/>
      <c r="N14" s="14"/>
      <c r="O14" s="11"/>
      <c r="P14" s="15"/>
      <c r="Q14" s="16"/>
      <c r="R14" s="2"/>
      <c r="S14" s="12"/>
      <c r="T14" s="17"/>
      <c r="U14" s="2"/>
      <c r="V14" s="18"/>
      <c r="W14" s="8"/>
      <c r="Y14" s="149" t="s">
        <v>19</v>
      </c>
      <c r="Z14" s="152">
        <f t="shared" si="1"/>
        <v>0</v>
      </c>
    </row>
    <row r="15" spans="2:26" ht="18" x14ac:dyDescent="0.35">
      <c r="B15" s="95"/>
      <c r="C15" s="96"/>
      <c r="D15" s="97"/>
      <c r="E15" s="98"/>
      <c r="F15" s="90"/>
      <c r="G15" s="91"/>
      <c r="H15" s="92"/>
      <c r="I15" s="93"/>
      <c r="J15" s="83"/>
      <c r="K15" s="83"/>
      <c r="L15" s="12"/>
      <c r="M15" s="13"/>
      <c r="N15" s="14"/>
      <c r="O15" s="11"/>
      <c r="P15" s="15"/>
      <c r="Q15" s="16"/>
      <c r="R15" s="2"/>
      <c r="S15" s="12"/>
      <c r="T15" s="17"/>
      <c r="U15" s="2"/>
      <c r="V15" s="18"/>
      <c r="W15" s="8"/>
      <c r="Y15" s="149" t="s">
        <v>18</v>
      </c>
      <c r="Z15" s="152">
        <f t="shared" si="1"/>
        <v>0</v>
      </c>
    </row>
    <row r="16" spans="2:26" ht="18" x14ac:dyDescent="0.35">
      <c r="B16" s="95"/>
      <c r="C16" s="96"/>
      <c r="D16" s="97"/>
      <c r="E16" s="98"/>
      <c r="F16" s="90"/>
      <c r="G16" s="91"/>
      <c r="H16" s="92"/>
      <c r="I16" s="93"/>
      <c r="J16" s="83"/>
      <c r="K16" s="83"/>
      <c r="L16" s="12"/>
      <c r="M16" s="13"/>
      <c r="N16" s="14"/>
      <c r="O16" s="11"/>
      <c r="P16" s="15"/>
      <c r="Q16" s="16"/>
      <c r="R16" s="2"/>
      <c r="S16" s="12"/>
      <c r="T16" s="17"/>
      <c r="U16" s="2"/>
      <c r="V16" s="18"/>
      <c r="W16" s="8"/>
      <c r="Y16" s="149" t="s">
        <v>22</v>
      </c>
      <c r="Z16" s="152">
        <f t="shared" si="1"/>
        <v>0</v>
      </c>
    </row>
    <row r="17" spans="2:26" ht="18" x14ac:dyDescent="0.35">
      <c r="B17" s="95"/>
      <c r="C17" s="96"/>
      <c r="D17" s="97"/>
      <c r="E17" s="98"/>
      <c r="F17" s="90"/>
      <c r="G17" s="91"/>
      <c r="H17" s="92"/>
      <c r="I17" s="93"/>
      <c r="J17" s="83"/>
      <c r="K17" s="83"/>
      <c r="L17" s="12"/>
      <c r="M17" s="13"/>
      <c r="N17" s="14"/>
      <c r="O17" s="11"/>
      <c r="P17" s="15"/>
      <c r="Q17" s="16"/>
      <c r="R17" s="2"/>
      <c r="S17" s="12"/>
      <c r="T17" s="17"/>
      <c r="U17" s="2"/>
      <c r="V17" s="18"/>
      <c r="W17" s="8"/>
      <c r="Y17" s="149" t="s">
        <v>67</v>
      </c>
      <c r="Z17" s="152">
        <f t="shared" si="1"/>
        <v>0</v>
      </c>
    </row>
    <row r="18" spans="2:26" ht="18" x14ac:dyDescent="0.35">
      <c r="B18" s="95"/>
      <c r="C18" s="96"/>
      <c r="D18" s="97"/>
      <c r="E18" s="98"/>
      <c r="F18" s="90"/>
      <c r="G18" s="91"/>
      <c r="H18" s="92"/>
      <c r="I18" s="93"/>
      <c r="J18" s="83"/>
      <c r="K18" s="83"/>
      <c r="L18" s="12"/>
      <c r="M18" s="13"/>
      <c r="N18" s="14"/>
      <c r="O18" s="11"/>
      <c r="P18" s="15"/>
      <c r="Q18" s="16"/>
      <c r="R18" s="2"/>
      <c r="S18" s="12"/>
      <c r="T18" s="17"/>
      <c r="U18" s="2"/>
      <c r="V18" s="18"/>
      <c r="W18" s="8"/>
      <c r="Y18" s="149" t="s">
        <v>90</v>
      </c>
      <c r="Z18" s="152">
        <f t="shared" si="1"/>
        <v>0</v>
      </c>
    </row>
    <row r="19" spans="2:26" ht="18" x14ac:dyDescent="0.35">
      <c r="B19" s="95"/>
      <c r="C19" s="96"/>
      <c r="D19" s="97"/>
      <c r="E19" s="98"/>
      <c r="F19" s="90"/>
      <c r="G19" s="91"/>
      <c r="H19" s="92"/>
      <c r="I19" s="93"/>
      <c r="J19" s="83"/>
      <c r="K19" s="83"/>
      <c r="L19" s="12"/>
      <c r="M19" s="13"/>
      <c r="N19" s="14"/>
      <c r="O19" s="11"/>
      <c r="P19" s="15"/>
      <c r="Q19" s="16"/>
      <c r="R19" s="2"/>
      <c r="S19" s="12"/>
      <c r="T19" s="17"/>
      <c r="U19" s="2"/>
      <c r="V19" s="18"/>
      <c r="W19" s="8"/>
      <c r="Y19" s="149" t="s">
        <v>91</v>
      </c>
      <c r="Z19" s="152">
        <f t="shared" si="1"/>
        <v>0</v>
      </c>
    </row>
    <row r="20" spans="2:26" ht="18" x14ac:dyDescent="0.35">
      <c r="B20" s="95"/>
      <c r="C20" s="96"/>
      <c r="D20" s="97"/>
      <c r="E20" s="98"/>
      <c r="F20" s="90"/>
      <c r="G20" s="91"/>
      <c r="H20" s="92"/>
      <c r="I20" s="93"/>
      <c r="J20" s="83"/>
      <c r="K20" s="83"/>
      <c r="L20" s="12"/>
      <c r="M20" s="13"/>
      <c r="N20" s="14"/>
      <c r="O20" s="11"/>
      <c r="P20" s="15"/>
      <c r="Q20" s="16"/>
      <c r="R20" s="2"/>
      <c r="S20" s="12"/>
      <c r="T20" s="17"/>
      <c r="U20" s="2"/>
      <c r="V20" s="18"/>
      <c r="W20" s="8"/>
      <c r="Y20" s="149" t="s">
        <v>92</v>
      </c>
      <c r="Z20" s="152">
        <f t="shared" si="1"/>
        <v>0</v>
      </c>
    </row>
    <row r="21" spans="2:26" ht="18" x14ac:dyDescent="0.35">
      <c r="B21" s="95"/>
      <c r="C21" s="96"/>
      <c r="D21" s="97"/>
      <c r="E21" s="98"/>
      <c r="F21" s="90"/>
      <c r="G21" s="91"/>
      <c r="H21" s="92"/>
      <c r="I21" s="93"/>
      <c r="J21" s="83"/>
      <c r="K21" s="83"/>
      <c r="L21" s="12"/>
      <c r="M21" s="13"/>
      <c r="N21" s="14"/>
      <c r="O21" s="11"/>
      <c r="P21" s="15"/>
      <c r="Q21" s="16"/>
      <c r="R21" s="2"/>
      <c r="S21" s="12"/>
      <c r="T21" s="17"/>
      <c r="U21" s="2"/>
      <c r="V21" s="18"/>
      <c r="W21" s="8"/>
      <c r="Y21" s="149" t="s">
        <v>68</v>
      </c>
      <c r="Z21" s="152">
        <f t="shared" si="1"/>
        <v>0</v>
      </c>
    </row>
    <row r="22" spans="2:26" ht="18" x14ac:dyDescent="0.35">
      <c r="B22" s="95"/>
      <c r="C22" s="96"/>
      <c r="D22" s="97"/>
      <c r="E22" s="98"/>
      <c r="F22" s="90"/>
      <c r="G22" s="91"/>
      <c r="H22" s="92"/>
      <c r="I22" s="93"/>
      <c r="J22" s="83"/>
      <c r="K22" s="83"/>
      <c r="L22" s="12"/>
      <c r="M22" s="13"/>
      <c r="N22" s="14"/>
      <c r="O22" s="11"/>
      <c r="P22" s="15"/>
      <c r="Q22" s="16"/>
      <c r="R22" s="2"/>
      <c r="S22" s="12"/>
      <c r="T22" s="17"/>
      <c r="U22" s="2"/>
      <c r="V22" s="18"/>
      <c r="W22" s="8"/>
      <c r="Y22" s="149" t="s">
        <v>93</v>
      </c>
      <c r="Z22" s="152">
        <f t="shared" si="1"/>
        <v>0</v>
      </c>
    </row>
    <row r="23" spans="2:26" ht="18" x14ac:dyDescent="0.35">
      <c r="B23" s="95"/>
      <c r="C23" s="96"/>
      <c r="D23" s="97"/>
      <c r="E23" s="98"/>
      <c r="F23" s="90"/>
      <c r="G23" s="91"/>
      <c r="H23" s="92"/>
      <c r="I23" s="93"/>
      <c r="J23" s="83"/>
      <c r="K23" s="83"/>
      <c r="L23" s="12"/>
      <c r="M23" s="13"/>
      <c r="N23" s="14"/>
      <c r="O23" s="11"/>
      <c r="P23" s="15"/>
      <c r="Q23" s="16"/>
      <c r="R23" s="2"/>
      <c r="S23" s="12"/>
      <c r="T23" s="17"/>
      <c r="U23" s="2"/>
      <c r="V23" s="18"/>
      <c r="W23" s="8"/>
      <c r="Y23" s="149" t="s">
        <v>23</v>
      </c>
      <c r="Z23" s="152">
        <f t="shared" si="1"/>
        <v>0</v>
      </c>
    </row>
    <row r="24" spans="2:26" ht="18" x14ac:dyDescent="0.35">
      <c r="B24" s="95"/>
      <c r="C24" s="96"/>
      <c r="D24" s="97"/>
      <c r="E24" s="98"/>
      <c r="F24" s="90"/>
      <c r="G24" s="91"/>
      <c r="H24" s="92"/>
      <c r="I24" s="93"/>
      <c r="J24" s="83"/>
      <c r="K24" s="83"/>
      <c r="L24" s="12"/>
      <c r="M24" s="13"/>
      <c r="N24" s="14"/>
      <c r="O24" s="11"/>
      <c r="P24" s="15"/>
      <c r="Q24" s="16"/>
      <c r="R24" s="2"/>
      <c r="S24" s="12"/>
      <c r="T24" s="17"/>
      <c r="U24" s="2"/>
      <c r="V24" s="18"/>
      <c r="W24" s="8"/>
      <c r="Y24" s="149" t="s">
        <v>24</v>
      </c>
      <c r="Z24" s="152">
        <f t="shared" si="1"/>
        <v>0</v>
      </c>
    </row>
    <row r="25" spans="2:26" ht="18" x14ac:dyDescent="0.35">
      <c r="B25" s="95"/>
      <c r="C25" s="96"/>
      <c r="D25" s="97"/>
      <c r="E25" s="98"/>
      <c r="F25" s="90"/>
      <c r="G25" s="91"/>
      <c r="H25" s="92"/>
      <c r="I25" s="93"/>
      <c r="J25" s="83"/>
      <c r="K25" s="83"/>
      <c r="L25" s="12"/>
      <c r="M25" s="13"/>
      <c r="N25" s="14"/>
      <c r="O25" s="11"/>
      <c r="P25" s="15"/>
      <c r="Q25" s="16"/>
      <c r="R25" s="2"/>
      <c r="S25" s="12"/>
      <c r="T25" s="17"/>
      <c r="U25" s="2"/>
      <c r="V25" s="18"/>
      <c r="W25" s="8"/>
      <c r="Y25" s="149" t="s">
        <v>25</v>
      </c>
      <c r="Z25" s="152">
        <f t="shared" si="1"/>
        <v>0</v>
      </c>
    </row>
    <row r="26" spans="2:26" ht="18" x14ac:dyDescent="0.35">
      <c r="B26" s="95"/>
      <c r="C26" s="96"/>
      <c r="D26" s="97"/>
      <c r="E26" s="98"/>
      <c r="F26" s="90"/>
      <c r="G26" s="91"/>
      <c r="H26" s="92"/>
      <c r="I26" s="93"/>
      <c r="J26" s="83"/>
      <c r="K26" s="83"/>
      <c r="L26" s="12"/>
      <c r="M26" s="13"/>
      <c r="N26" s="14"/>
      <c r="O26" s="11"/>
      <c r="P26" s="15"/>
      <c r="Q26" s="16"/>
      <c r="R26" s="2"/>
      <c r="S26" s="12"/>
      <c r="T26" s="17"/>
      <c r="U26" s="2"/>
      <c r="V26" s="18"/>
      <c r="W26" s="8"/>
      <c r="Y26" s="149" t="s">
        <v>98</v>
      </c>
      <c r="Z26" s="152">
        <f t="shared" si="1"/>
        <v>0</v>
      </c>
    </row>
    <row r="27" spans="2:26" ht="18" x14ac:dyDescent="0.35">
      <c r="B27" s="95"/>
      <c r="C27" s="96"/>
      <c r="D27" s="97"/>
      <c r="E27" s="98"/>
      <c r="F27" s="90"/>
      <c r="G27" s="91"/>
      <c r="H27" s="92"/>
      <c r="I27" s="93"/>
      <c r="J27" s="83"/>
      <c r="K27" s="83"/>
      <c r="L27" s="12"/>
      <c r="M27" s="13"/>
      <c r="N27" s="14"/>
      <c r="O27" s="11"/>
      <c r="P27" s="15"/>
      <c r="Q27" s="16"/>
      <c r="R27" s="2"/>
      <c r="S27" s="12"/>
      <c r="T27" s="17"/>
      <c r="U27" s="2"/>
      <c r="V27" s="18"/>
      <c r="W27" s="8"/>
      <c r="Y27" s="149" t="s">
        <v>94</v>
      </c>
      <c r="Z27" s="152">
        <f t="shared" si="1"/>
        <v>0</v>
      </c>
    </row>
    <row r="28" spans="2:26" ht="18" x14ac:dyDescent="0.35">
      <c r="B28" s="95"/>
      <c r="C28" s="96"/>
      <c r="D28" s="97"/>
      <c r="E28" s="98"/>
      <c r="F28" s="90"/>
      <c r="G28" s="91"/>
      <c r="H28" s="92"/>
      <c r="I28" s="93"/>
      <c r="J28" s="83"/>
      <c r="K28" s="83"/>
      <c r="L28" s="12"/>
      <c r="M28" s="13"/>
      <c r="N28" s="14"/>
      <c r="O28" s="11"/>
      <c r="P28" s="15"/>
      <c r="Q28" s="16"/>
      <c r="R28" s="2"/>
      <c r="S28" s="12"/>
      <c r="T28" s="17"/>
      <c r="U28" s="2"/>
      <c r="V28" s="18"/>
      <c r="W28" s="8"/>
      <c r="Y28" s="149" t="s">
        <v>42</v>
      </c>
      <c r="Z28" s="152">
        <f t="shared" si="1"/>
        <v>0</v>
      </c>
    </row>
    <row r="29" spans="2:26" ht="18" x14ac:dyDescent="0.35">
      <c r="B29" s="95"/>
      <c r="C29" s="96"/>
      <c r="D29" s="97"/>
      <c r="E29" s="98"/>
      <c r="F29" s="90"/>
      <c r="G29" s="91"/>
      <c r="H29" s="92"/>
      <c r="I29" s="93"/>
      <c r="J29" s="83"/>
      <c r="K29" s="83"/>
      <c r="L29" s="12"/>
      <c r="M29" s="13"/>
      <c r="N29" s="14"/>
      <c r="O29" s="11"/>
      <c r="P29" s="15"/>
      <c r="Q29" s="16"/>
      <c r="R29" s="2"/>
      <c r="S29" s="12"/>
      <c r="T29" s="17"/>
      <c r="U29" s="2"/>
      <c r="V29" s="18"/>
      <c r="W29" s="8"/>
      <c r="Y29" s="149" t="s">
        <v>39</v>
      </c>
      <c r="Z29" s="152">
        <f t="shared" si="1"/>
        <v>0</v>
      </c>
    </row>
    <row r="30" spans="2:26" ht="18" x14ac:dyDescent="0.35">
      <c r="B30" s="95"/>
      <c r="C30" s="96"/>
      <c r="D30" s="97"/>
      <c r="E30" s="98"/>
      <c r="F30" s="90"/>
      <c r="G30" s="91"/>
      <c r="H30" s="92"/>
      <c r="I30" s="93"/>
      <c r="J30" s="83"/>
      <c r="K30" s="83"/>
      <c r="L30" s="12"/>
      <c r="M30" s="13"/>
      <c r="N30" s="14"/>
      <c r="O30" s="11"/>
      <c r="P30" s="15"/>
      <c r="Q30" s="16"/>
      <c r="R30" s="2"/>
      <c r="S30" s="12"/>
      <c r="T30" s="17"/>
      <c r="U30" s="2"/>
      <c r="V30" s="18"/>
      <c r="W30" s="8"/>
      <c r="Y30" s="149" t="s">
        <v>99</v>
      </c>
      <c r="Z30" s="152">
        <f t="shared" si="1"/>
        <v>0</v>
      </c>
    </row>
    <row r="31" spans="2:26" ht="18" x14ac:dyDescent="0.35">
      <c r="B31" s="95"/>
      <c r="C31" s="96"/>
      <c r="D31" s="97"/>
      <c r="E31" s="98"/>
      <c r="F31" s="90"/>
      <c r="G31" s="91"/>
      <c r="H31" s="92"/>
      <c r="I31" s="93"/>
      <c r="J31" s="83"/>
      <c r="K31" s="83"/>
      <c r="L31" s="12"/>
      <c r="M31" s="13"/>
      <c r="N31" s="14"/>
      <c r="O31" s="11"/>
      <c r="P31" s="15"/>
      <c r="Q31" s="16"/>
      <c r="R31" s="2"/>
      <c r="S31" s="12"/>
      <c r="T31" s="17"/>
      <c r="U31" s="2"/>
      <c r="V31" s="18"/>
      <c r="W31" s="8"/>
      <c r="Y31" s="149" t="s">
        <v>95</v>
      </c>
      <c r="Z31" s="152">
        <f t="shared" si="1"/>
        <v>0</v>
      </c>
    </row>
    <row r="32" spans="2:26" ht="18" x14ac:dyDescent="0.35">
      <c r="B32" s="95"/>
      <c r="C32" s="96"/>
      <c r="D32" s="97"/>
      <c r="E32" s="98"/>
      <c r="F32" s="90"/>
      <c r="G32" s="91"/>
      <c r="H32" s="92"/>
      <c r="I32" s="93"/>
      <c r="J32" s="83"/>
      <c r="K32" s="83"/>
      <c r="L32" s="12"/>
      <c r="M32" s="13"/>
      <c r="N32" s="14"/>
      <c r="O32" s="11"/>
      <c r="P32" s="15"/>
      <c r="Q32" s="16"/>
      <c r="R32" s="2"/>
      <c r="S32" s="12"/>
      <c r="T32" s="17"/>
      <c r="U32" s="2"/>
      <c r="V32" s="18"/>
      <c r="W32" s="8"/>
      <c r="Y32" s="149" t="s">
        <v>97</v>
      </c>
      <c r="Z32" s="152">
        <f t="shared" si="1"/>
        <v>0</v>
      </c>
    </row>
    <row r="33" spans="2:26" ht="18" x14ac:dyDescent="0.35">
      <c r="B33" s="95"/>
      <c r="C33" s="96"/>
      <c r="D33" s="97"/>
      <c r="E33" s="98"/>
      <c r="F33" s="90"/>
      <c r="G33" s="91"/>
      <c r="H33" s="92"/>
      <c r="I33" s="93"/>
      <c r="J33" s="83"/>
      <c r="K33" s="83"/>
      <c r="L33" s="12"/>
      <c r="M33" s="13"/>
      <c r="N33" s="14"/>
      <c r="O33" s="11"/>
      <c r="P33" s="15"/>
      <c r="Q33" s="16"/>
      <c r="R33" s="2"/>
      <c r="S33" s="12"/>
      <c r="T33" s="17"/>
      <c r="U33" s="2"/>
      <c r="V33" s="18"/>
      <c r="W33" s="8"/>
      <c r="Y33" s="149" t="s">
        <v>43</v>
      </c>
      <c r="Z33" s="152">
        <f t="shared" si="1"/>
        <v>0</v>
      </c>
    </row>
    <row r="34" spans="2:26" ht="18" x14ac:dyDescent="0.35">
      <c r="B34" s="95"/>
      <c r="C34" s="96"/>
      <c r="D34" s="97"/>
      <c r="E34" s="98"/>
      <c r="F34" s="90"/>
      <c r="G34" s="91"/>
      <c r="H34" s="92"/>
      <c r="I34" s="93"/>
      <c r="J34" s="83"/>
      <c r="K34" s="83"/>
      <c r="L34" s="12"/>
      <c r="M34" s="13"/>
      <c r="N34" s="14"/>
      <c r="O34" s="11"/>
      <c r="P34" s="15"/>
      <c r="Q34" s="16"/>
      <c r="R34" s="2"/>
      <c r="S34" s="12"/>
      <c r="T34" s="17"/>
      <c r="U34" s="2"/>
      <c r="V34" s="18"/>
      <c r="W34" s="8"/>
      <c r="Y34" s="149" t="s">
        <v>32</v>
      </c>
      <c r="Z34" s="152">
        <f t="shared" si="1"/>
        <v>0</v>
      </c>
    </row>
    <row r="35" spans="2:26" ht="18" x14ac:dyDescent="0.35">
      <c r="B35" s="95"/>
      <c r="C35" s="96"/>
      <c r="D35" s="97"/>
      <c r="E35" s="98"/>
      <c r="F35" s="90"/>
      <c r="G35" s="91"/>
      <c r="H35" s="92"/>
      <c r="I35" s="93"/>
      <c r="J35" s="83"/>
      <c r="K35" s="83"/>
      <c r="L35" s="12"/>
      <c r="M35" s="13"/>
      <c r="N35" s="14"/>
      <c r="O35" s="11"/>
      <c r="P35" s="15"/>
      <c r="Q35" s="16"/>
      <c r="R35" s="2"/>
      <c r="S35" s="12"/>
      <c r="T35" s="17"/>
      <c r="U35" s="2"/>
      <c r="V35" s="18"/>
      <c r="W35" s="8"/>
      <c r="Y35" s="149" t="s">
        <v>33</v>
      </c>
      <c r="Z35" s="152">
        <f t="shared" si="1"/>
        <v>0</v>
      </c>
    </row>
    <row r="36" spans="2:26" ht="18" x14ac:dyDescent="0.35">
      <c r="B36" s="95"/>
      <c r="C36" s="96"/>
      <c r="D36" s="97"/>
      <c r="E36" s="98"/>
      <c r="F36" s="90"/>
      <c r="G36" s="91"/>
      <c r="H36" s="92"/>
      <c r="I36" s="93"/>
      <c r="J36" s="83"/>
      <c r="K36" s="83"/>
      <c r="L36" s="12"/>
      <c r="M36" s="13"/>
      <c r="N36" s="14"/>
      <c r="O36" s="11"/>
      <c r="P36" s="15"/>
      <c r="Q36" s="16"/>
      <c r="R36" s="2"/>
      <c r="S36" s="12"/>
      <c r="T36" s="17"/>
      <c r="U36" s="2"/>
      <c r="V36" s="18"/>
      <c r="W36" s="8"/>
      <c r="Y36" s="149" t="s">
        <v>30</v>
      </c>
      <c r="Z36" s="152">
        <f t="shared" si="1"/>
        <v>0</v>
      </c>
    </row>
    <row r="37" spans="2:26" ht="18" x14ac:dyDescent="0.35">
      <c r="B37" s="95"/>
      <c r="C37" s="96"/>
      <c r="D37" s="97"/>
      <c r="E37" s="98"/>
      <c r="F37" s="90"/>
      <c r="G37" s="91"/>
      <c r="H37" s="92"/>
      <c r="I37" s="93"/>
      <c r="J37" s="83"/>
      <c r="K37" s="83"/>
      <c r="L37" s="12"/>
      <c r="M37" s="13"/>
      <c r="N37" s="14"/>
      <c r="O37" s="11"/>
      <c r="P37" s="15"/>
      <c r="Q37" s="16"/>
      <c r="R37" s="2"/>
      <c r="S37" s="12"/>
      <c r="T37" s="17"/>
      <c r="U37" s="2"/>
      <c r="V37" s="18"/>
      <c r="W37" s="8"/>
      <c r="Y37" s="149" t="s">
        <v>31</v>
      </c>
      <c r="Z37" s="152">
        <f t="shared" si="1"/>
        <v>0</v>
      </c>
    </row>
    <row r="38" spans="2:26" ht="18" x14ac:dyDescent="0.35">
      <c r="B38" s="95"/>
      <c r="C38" s="96"/>
      <c r="D38" s="97"/>
      <c r="E38" s="98"/>
      <c r="F38" s="90"/>
      <c r="G38" s="91"/>
      <c r="H38" s="92"/>
      <c r="I38" s="93"/>
      <c r="J38" s="83"/>
      <c r="K38" s="83"/>
      <c r="L38" s="12"/>
      <c r="M38" s="13"/>
      <c r="N38" s="14"/>
      <c r="O38" s="11"/>
      <c r="P38" s="15"/>
      <c r="Q38" s="16"/>
      <c r="R38" s="2"/>
      <c r="S38" s="12"/>
      <c r="T38" s="17"/>
      <c r="U38" s="2"/>
      <c r="V38" s="18"/>
      <c r="W38" s="8"/>
      <c r="Y38" s="149" t="s">
        <v>84</v>
      </c>
      <c r="Z38" s="152">
        <f t="shared" si="1"/>
        <v>0</v>
      </c>
    </row>
    <row r="39" spans="2:26" ht="18" x14ac:dyDescent="0.35">
      <c r="B39" s="95"/>
      <c r="C39" s="96"/>
      <c r="D39" s="97"/>
      <c r="E39" s="98"/>
      <c r="F39" s="90"/>
      <c r="G39" s="91"/>
      <c r="H39" s="92"/>
      <c r="I39" s="93"/>
      <c r="J39" s="83"/>
      <c r="K39" s="83"/>
      <c r="L39" s="12"/>
      <c r="M39" s="13"/>
      <c r="N39" s="14"/>
      <c r="O39" s="11"/>
      <c r="P39" s="15"/>
      <c r="Q39" s="16"/>
      <c r="R39" s="2"/>
      <c r="S39" s="12"/>
      <c r="T39" s="17"/>
      <c r="U39" s="2"/>
      <c r="V39" s="18"/>
      <c r="W39" s="8"/>
      <c r="Y39" s="149" t="s">
        <v>85</v>
      </c>
      <c r="Z39" s="152">
        <f t="shared" si="1"/>
        <v>0</v>
      </c>
    </row>
    <row r="40" spans="2:26" ht="18" x14ac:dyDescent="0.35">
      <c r="B40" s="95"/>
      <c r="C40" s="96"/>
      <c r="D40" s="97"/>
      <c r="E40" s="98"/>
      <c r="F40" s="90"/>
      <c r="G40" s="91"/>
      <c r="H40" s="92"/>
      <c r="I40" s="93"/>
      <c r="J40" s="83"/>
      <c r="K40" s="83"/>
      <c r="L40" s="12"/>
      <c r="M40" s="13"/>
      <c r="N40" s="14"/>
      <c r="O40" s="11"/>
      <c r="P40" s="15"/>
      <c r="Q40" s="16"/>
      <c r="R40" s="2"/>
      <c r="S40" s="12"/>
      <c r="T40" s="17"/>
      <c r="U40" s="2"/>
      <c r="V40" s="18"/>
      <c r="W40" s="8"/>
      <c r="Y40" s="149" t="s">
        <v>86</v>
      </c>
      <c r="Z40" s="152">
        <f t="shared" si="1"/>
        <v>0</v>
      </c>
    </row>
    <row r="41" spans="2:26" ht="18" x14ac:dyDescent="0.35">
      <c r="B41" s="95"/>
      <c r="C41" s="96"/>
      <c r="D41" s="97"/>
      <c r="E41" s="98"/>
      <c r="F41" s="90"/>
      <c r="G41" s="91"/>
      <c r="H41" s="92"/>
      <c r="I41" s="93"/>
      <c r="J41" s="83"/>
      <c r="K41" s="83"/>
      <c r="L41" s="12"/>
      <c r="M41" s="13"/>
      <c r="N41" s="14"/>
      <c r="O41" s="11"/>
      <c r="P41" s="15"/>
      <c r="Q41" s="16"/>
      <c r="R41" s="2"/>
      <c r="S41" s="12"/>
      <c r="T41" s="17"/>
      <c r="U41" s="2"/>
      <c r="V41" s="18"/>
      <c r="W41" s="8"/>
      <c r="Y41" s="149" t="s">
        <v>87</v>
      </c>
      <c r="Z41" s="152">
        <f t="shared" si="1"/>
        <v>0</v>
      </c>
    </row>
    <row r="42" spans="2:26" ht="18" x14ac:dyDescent="0.35">
      <c r="B42" s="95"/>
      <c r="C42" s="96"/>
      <c r="D42" s="97"/>
      <c r="E42" s="98"/>
      <c r="F42" s="90"/>
      <c r="G42" s="91"/>
      <c r="H42" s="92"/>
      <c r="I42" s="93"/>
      <c r="J42" s="83"/>
      <c r="K42" s="83"/>
      <c r="L42" s="12"/>
      <c r="M42" s="13"/>
      <c r="N42" s="14"/>
      <c r="O42" s="11"/>
      <c r="P42" s="15"/>
      <c r="Q42" s="16"/>
      <c r="R42" s="2"/>
      <c r="S42" s="12"/>
      <c r="T42" s="17"/>
      <c r="U42" s="2"/>
      <c r="V42" s="18"/>
      <c r="W42" s="8"/>
      <c r="Y42" s="149" t="s">
        <v>46</v>
      </c>
      <c r="Z42" s="152">
        <f t="shared" si="1"/>
        <v>0</v>
      </c>
    </row>
    <row r="43" spans="2:26" ht="18" x14ac:dyDescent="0.35">
      <c r="B43" s="95"/>
      <c r="C43" s="96"/>
      <c r="D43" s="97"/>
      <c r="E43" s="98"/>
      <c r="F43" s="90"/>
      <c r="G43" s="91"/>
      <c r="H43" s="92"/>
      <c r="I43" s="93"/>
      <c r="J43" s="83"/>
      <c r="K43" s="83"/>
      <c r="L43" s="12"/>
      <c r="M43" s="13"/>
      <c r="N43" s="14"/>
      <c r="O43" s="11"/>
      <c r="P43" s="15"/>
      <c r="Q43" s="16"/>
      <c r="R43" s="2"/>
      <c r="S43" s="12"/>
      <c r="T43" s="17"/>
      <c r="U43" s="2"/>
      <c r="V43" s="18"/>
      <c r="W43" s="8"/>
      <c r="Y43" s="149" t="s">
        <v>47</v>
      </c>
      <c r="Z43" s="152">
        <f t="shared" si="1"/>
        <v>0</v>
      </c>
    </row>
    <row r="44" spans="2:26" ht="18" x14ac:dyDescent="0.35">
      <c r="B44" s="95"/>
      <c r="C44" s="96"/>
      <c r="D44" s="97"/>
      <c r="E44" s="98"/>
      <c r="F44" s="90"/>
      <c r="G44" s="91"/>
      <c r="H44" s="92"/>
      <c r="I44" s="93"/>
      <c r="J44" s="83"/>
      <c r="K44" s="83"/>
      <c r="L44" s="12"/>
      <c r="M44" s="13"/>
      <c r="N44" s="14"/>
      <c r="O44" s="11"/>
      <c r="P44" s="15"/>
      <c r="Q44" s="16"/>
      <c r="R44" s="2"/>
      <c r="S44" s="12"/>
      <c r="T44" s="17"/>
      <c r="U44" s="2"/>
      <c r="V44" s="18"/>
      <c r="W44" s="8"/>
      <c r="Y44" s="149" t="s">
        <v>48</v>
      </c>
      <c r="Z44" s="152">
        <f t="shared" si="1"/>
        <v>0</v>
      </c>
    </row>
    <row r="45" spans="2:26" ht="18" x14ac:dyDescent="0.35">
      <c r="B45" s="95"/>
      <c r="C45" s="96"/>
      <c r="D45" s="97"/>
      <c r="E45" s="98"/>
      <c r="F45" s="90"/>
      <c r="G45" s="91"/>
      <c r="H45" s="92"/>
      <c r="I45" s="93"/>
      <c r="J45" s="83"/>
      <c r="K45" s="83"/>
      <c r="L45" s="12"/>
      <c r="M45" s="13"/>
      <c r="N45" s="14"/>
      <c r="O45" s="11"/>
      <c r="P45" s="15"/>
      <c r="Q45" s="16"/>
      <c r="R45" s="2"/>
      <c r="S45" s="12"/>
      <c r="T45" s="17"/>
      <c r="U45" s="2"/>
      <c r="V45" s="18"/>
      <c r="W45" s="8"/>
      <c r="Y45" s="149" t="s">
        <v>83</v>
      </c>
      <c r="Z45" s="152">
        <f t="shared" si="1"/>
        <v>0</v>
      </c>
    </row>
    <row r="46" spans="2:26" ht="18" x14ac:dyDescent="0.35">
      <c r="B46" s="95"/>
      <c r="C46" s="96"/>
      <c r="D46" s="97"/>
      <c r="E46" s="98"/>
      <c r="F46" s="90"/>
      <c r="G46" s="91"/>
      <c r="H46" s="92"/>
      <c r="I46" s="93"/>
      <c r="J46" s="83"/>
      <c r="K46" s="83"/>
      <c r="L46" s="12"/>
      <c r="M46" s="13"/>
      <c r="N46" s="14"/>
      <c r="O46" s="11"/>
      <c r="P46" s="15"/>
      <c r="Q46" s="16"/>
      <c r="R46" s="2"/>
      <c r="S46" s="12"/>
      <c r="T46" s="17"/>
      <c r="U46" s="2"/>
      <c r="V46" s="18"/>
      <c r="W46" s="8"/>
      <c r="Y46" s="149" t="s">
        <v>96</v>
      </c>
      <c r="Z46" s="152">
        <f t="shared" si="1"/>
        <v>0</v>
      </c>
    </row>
    <row r="47" spans="2:26" ht="18" x14ac:dyDescent="0.35">
      <c r="B47" s="95"/>
      <c r="C47" s="96"/>
      <c r="D47" s="97"/>
      <c r="E47" s="98"/>
      <c r="F47" s="90"/>
      <c r="G47" s="91"/>
      <c r="H47" s="92"/>
      <c r="I47" s="93"/>
      <c r="J47" s="83"/>
      <c r="K47" s="83"/>
      <c r="L47" s="12"/>
      <c r="M47" s="13"/>
      <c r="N47" s="14"/>
      <c r="O47" s="11"/>
      <c r="P47" s="15"/>
      <c r="Q47" s="16"/>
      <c r="R47" s="2"/>
      <c r="S47" s="12"/>
      <c r="T47" s="17"/>
      <c r="U47" s="2"/>
      <c r="V47" s="18"/>
      <c r="W47" s="8"/>
      <c r="Y47" s="149" t="s">
        <v>73</v>
      </c>
      <c r="Z47" s="152">
        <f t="shared" si="1"/>
        <v>0</v>
      </c>
    </row>
    <row r="48" spans="2:26" ht="18" x14ac:dyDescent="0.35">
      <c r="B48" s="95"/>
      <c r="C48" s="96"/>
      <c r="D48" s="97"/>
      <c r="E48" s="98"/>
      <c r="F48" s="90"/>
      <c r="G48" s="91"/>
      <c r="H48" s="92"/>
      <c r="I48" s="93"/>
      <c r="J48" s="83"/>
      <c r="K48" s="83"/>
      <c r="L48" s="12"/>
      <c r="M48" s="13"/>
      <c r="N48" s="14"/>
      <c r="O48" s="11"/>
      <c r="P48" s="15"/>
      <c r="Q48" s="16"/>
      <c r="R48" s="2"/>
      <c r="S48" s="12"/>
      <c r="T48" s="17"/>
      <c r="U48" s="2"/>
      <c r="V48" s="18"/>
      <c r="W48" s="8"/>
      <c r="Y48" s="149" t="s">
        <v>74</v>
      </c>
      <c r="Z48" s="152">
        <f t="shared" si="1"/>
        <v>0</v>
      </c>
    </row>
    <row r="49" spans="2:26" ht="18" x14ac:dyDescent="0.35">
      <c r="B49" s="95"/>
      <c r="C49" s="96"/>
      <c r="D49" s="97"/>
      <c r="E49" s="98"/>
      <c r="F49" s="90"/>
      <c r="G49" s="91"/>
      <c r="H49" s="92"/>
      <c r="I49" s="93"/>
      <c r="J49" s="83"/>
      <c r="K49" s="83"/>
      <c r="L49" s="12"/>
      <c r="M49" s="13"/>
      <c r="N49" s="14"/>
      <c r="O49" s="11"/>
      <c r="P49" s="15"/>
      <c r="Q49" s="16"/>
      <c r="R49" s="2"/>
      <c r="S49" s="12"/>
      <c r="T49" s="17"/>
      <c r="U49" s="2"/>
      <c r="V49" s="18"/>
      <c r="W49" s="8"/>
      <c r="Y49" s="149" t="s">
        <v>70</v>
      </c>
      <c r="Z49" s="152">
        <f t="shared" si="1"/>
        <v>0</v>
      </c>
    </row>
    <row r="50" spans="2:26" ht="18" x14ac:dyDescent="0.35">
      <c r="B50" s="95"/>
      <c r="C50" s="96"/>
      <c r="D50" s="97"/>
      <c r="E50" s="98"/>
      <c r="F50" s="90"/>
      <c r="G50" s="91"/>
      <c r="H50" s="92"/>
      <c r="I50" s="93"/>
      <c r="J50" s="83"/>
      <c r="K50" s="83"/>
      <c r="L50" s="12"/>
      <c r="M50" s="13"/>
      <c r="N50" s="14"/>
      <c r="O50" s="11"/>
      <c r="P50" s="15"/>
      <c r="Q50" s="16"/>
      <c r="R50" s="2"/>
      <c r="S50" s="12"/>
      <c r="T50" s="17"/>
      <c r="U50" s="2"/>
      <c r="V50" s="18"/>
      <c r="W50" s="8"/>
      <c r="Y50" s="149" t="s">
        <v>64</v>
      </c>
      <c r="Z50" s="152">
        <f t="shared" si="1"/>
        <v>0</v>
      </c>
    </row>
    <row r="51" spans="2:26" ht="18" x14ac:dyDescent="0.35">
      <c r="B51" s="95"/>
      <c r="C51" s="96"/>
      <c r="D51" s="97"/>
      <c r="E51" s="98"/>
      <c r="F51" s="90"/>
      <c r="G51" s="91"/>
      <c r="H51" s="92"/>
      <c r="I51" s="93"/>
      <c r="J51" s="83"/>
      <c r="K51" s="83"/>
      <c r="L51" s="12"/>
      <c r="M51" s="13"/>
      <c r="N51" s="14"/>
      <c r="O51" s="11"/>
      <c r="P51" s="15"/>
      <c r="Q51" s="16"/>
      <c r="R51" s="2"/>
      <c r="S51" s="12"/>
      <c r="T51" s="17"/>
      <c r="U51" s="2"/>
      <c r="V51" s="18"/>
      <c r="W51" s="8"/>
      <c r="Y51" s="149" t="s">
        <v>65</v>
      </c>
      <c r="Z51" s="152">
        <f t="shared" si="1"/>
        <v>0</v>
      </c>
    </row>
    <row r="52" spans="2:26" ht="18" x14ac:dyDescent="0.35">
      <c r="B52" s="95"/>
      <c r="C52" s="96"/>
      <c r="D52" s="97"/>
      <c r="E52" s="98"/>
      <c r="F52" s="90"/>
      <c r="G52" s="91"/>
      <c r="H52" s="92"/>
      <c r="I52" s="93"/>
      <c r="J52" s="83"/>
      <c r="K52" s="83"/>
      <c r="L52" s="12"/>
      <c r="M52" s="13"/>
      <c r="N52" s="14"/>
      <c r="O52" s="11"/>
      <c r="P52" s="15"/>
      <c r="Q52" s="16"/>
      <c r="R52" s="2"/>
      <c r="S52" s="12"/>
      <c r="T52" s="17"/>
      <c r="U52" s="2"/>
      <c r="V52" s="18"/>
      <c r="W52" s="8"/>
      <c r="Y52" s="149" t="s">
        <v>66</v>
      </c>
      <c r="Z52" s="152">
        <f t="shared" si="1"/>
        <v>0</v>
      </c>
    </row>
    <row r="53" spans="2:26" ht="18" x14ac:dyDescent="0.35">
      <c r="B53" s="95"/>
      <c r="C53" s="96"/>
      <c r="D53" s="97"/>
      <c r="E53" s="98"/>
      <c r="F53" s="90"/>
      <c r="G53" s="91"/>
      <c r="H53" s="92"/>
      <c r="I53" s="93"/>
      <c r="J53" s="83"/>
      <c r="K53" s="83"/>
      <c r="L53" s="12"/>
      <c r="M53" s="13"/>
      <c r="N53" s="14"/>
      <c r="O53" s="11"/>
      <c r="P53" s="15"/>
      <c r="Q53" s="16"/>
      <c r="R53" s="2"/>
      <c r="S53" s="12"/>
      <c r="T53" s="17"/>
      <c r="U53" s="2"/>
      <c r="V53" s="18"/>
      <c r="W53" s="8"/>
      <c r="Y53" s="149" t="s">
        <v>100</v>
      </c>
      <c r="Z53" s="152">
        <f t="shared" si="1"/>
        <v>0</v>
      </c>
    </row>
    <row r="54" spans="2:26" ht="18" x14ac:dyDescent="0.35">
      <c r="B54" s="95"/>
      <c r="C54" s="96"/>
      <c r="D54" s="97"/>
      <c r="E54" s="98"/>
      <c r="F54" s="90"/>
      <c r="G54" s="91"/>
      <c r="H54" s="92"/>
      <c r="I54" s="93"/>
      <c r="J54" s="83"/>
      <c r="K54" s="83"/>
      <c r="L54" s="12"/>
      <c r="M54" s="13"/>
      <c r="N54" s="14"/>
      <c r="O54" s="11"/>
      <c r="P54" s="15"/>
      <c r="Q54" s="16"/>
      <c r="R54" s="2"/>
      <c r="S54" s="12"/>
      <c r="T54" s="17"/>
      <c r="U54" s="2"/>
      <c r="V54" s="18"/>
      <c r="W54" s="8"/>
      <c r="Y54" s="149" t="s">
        <v>101</v>
      </c>
      <c r="Z54" s="152">
        <f t="shared" si="1"/>
        <v>0</v>
      </c>
    </row>
    <row r="55" spans="2:26" ht="18" x14ac:dyDescent="0.35">
      <c r="B55" s="95"/>
      <c r="C55" s="96"/>
      <c r="D55" s="97"/>
      <c r="E55" s="98"/>
      <c r="F55" s="90"/>
      <c r="G55" s="91"/>
      <c r="H55" s="92"/>
      <c r="I55" s="93"/>
      <c r="J55" s="83"/>
      <c r="K55" s="83"/>
      <c r="L55" s="12"/>
      <c r="M55" s="13"/>
      <c r="N55" s="14"/>
      <c r="O55" s="11"/>
      <c r="P55" s="15"/>
      <c r="Q55" s="16"/>
      <c r="R55" s="2"/>
      <c r="S55" s="12"/>
      <c r="T55" s="17"/>
      <c r="U55" s="2"/>
      <c r="V55" s="18"/>
      <c r="W55" s="8"/>
      <c r="Y55" s="149" t="s">
        <v>102</v>
      </c>
      <c r="Z55" s="152">
        <f t="shared" si="1"/>
        <v>0</v>
      </c>
    </row>
    <row r="56" spans="2:26" ht="18" x14ac:dyDescent="0.35">
      <c r="B56" s="95"/>
      <c r="C56" s="96"/>
      <c r="D56" s="97"/>
      <c r="E56" s="98"/>
      <c r="F56" s="90"/>
      <c r="G56" s="91"/>
      <c r="H56" s="92"/>
      <c r="I56" s="93"/>
      <c r="J56" s="83"/>
      <c r="K56" s="83"/>
      <c r="L56" s="12"/>
      <c r="M56" s="13"/>
      <c r="N56" s="14"/>
      <c r="O56" s="11"/>
      <c r="P56" s="15"/>
      <c r="Q56" s="16"/>
      <c r="R56" s="2"/>
      <c r="S56" s="12"/>
      <c r="T56" s="17"/>
      <c r="U56" s="2"/>
      <c r="V56" s="18"/>
      <c r="W56" s="8"/>
      <c r="Y56" s="149" t="s">
        <v>26</v>
      </c>
      <c r="Z56" s="152">
        <f t="shared" si="1"/>
        <v>0</v>
      </c>
    </row>
    <row r="57" spans="2:26" ht="18" x14ac:dyDescent="0.35">
      <c r="B57" s="95"/>
      <c r="C57" s="96"/>
      <c r="D57" s="97"/>
      <c r="E57" s="98"/>
      <c r="F57" s="90"/>
      <c r="G57" s="91"/>
      <c r="H57" s="92"/>
      <c r="I57" s="93"/>
      <c r="J57" s="83"/>
      <c r="K57" s="83"/>
      <c r="L57" s="12"/>
      <c r="M57" s="13"/>
      <c r="N57" s="14"/>
      <c r="O57" s="11"/>
      <c r="P57" s="15"/>
      <c r="Q57" s="16"/>
      <c r="R57" s="2"/>
      <c r="S57" s="12"/>
      <c r="T57" s="17"/>
      <c r="U57" s="2"/>
      <c r="V57" s="18"/>
      <c r="W57" s="8"/>
      <c r="Y57" s="149" t="s">
        <v>27</v>
      </c>
      <c r="Z57" s="152">
        <f t="shared" si="1"/>
        <v>0</v>
      </c>
    </row>
    <row r="58" spans="2:26" ht="18" x14ac:dyDescent="0.35">
      <c r="B58" s="95"/>
      <c r="C58" s="96"/>
      <c r="D58" s="97"/>
      <c r="E58" s="98"/>
      <c r="F58" s="90"/>
      <c r="G58" s="91"/>
      <c r="H58" s="92"/>
      <c r="I58" s="93"/>
      <c r="J58" s="83"/>
      <c r="K58" s="83"/>
      <c r="L58" s="12"/>
      <c r="M58" s="13"/>
      <c r="N58" s="14"/>
      <c r="O58" s="11"/>
      <c r="P58" s="15"/>
      <c r="Q58" s="16"/>
      <c r="R58" s="2"/>
      <c r="S58" s="12"/>
      <c r="T58" s="17"/>
      <c r="U58" s="2"/>
      <c r="V58" s="18"/>
      <c r="W58" s="8"/>
      <c r="Y58" s="149" t="s">
        <v>28</v>
      </c>
      <c r="Z58" s="152">
        <f t="shared" si="1"/>
        <v>0</v>
      </c>
    </row>
    <row r="59" spans="2:26" ht="18" x14ac:dyDescent="0.35">
      <c r="B59" s="95"/>
      <c r="C59" s="96"/>
      <c r="D59" s="97"/>
      <c r="E59" s="98"/>
      <c r="F59" s="90"/>
      <c r="G59" s="91"/>
      <c r="H59" s="92"/>
      <c r="I59" s="93"/>
      <c r="J59" s="83"/>
      <c r="K59" s="83"/>
      <c r="L59" s="12"/>
      <c r="M59" s="13"/>
      <c r="N59" s="14"/>
      <c r="O59" s="11"/>
      <c r="P59" s="15"/>
      <c r="Q59" s="16"/>
      <c r="R59" s="2"/>
      <c r="S59" s="12"/>
      <c r="T59" s="17"/>
      <c r="U59" s="2"/>
      <c r="V59" s="18"/>
      <c r="W59" s="8"/>
      <c r="Y59" s="149" t="s">
        <v>29</v>
      </c>
      <c r="Z59" s="152">
        <f t="shared" si="1"/>
        <v>0</v>
      </c>
    </row>
    <row r="60" spans="2:26" ht="18" x14ac:dyDescent="0.35">
      <c r="B60" s="95"/>
      <c r="C60" s="96"/>
      <c r="D60" s="97"/>
      <c r="E60" s="98"/>
      <c r="F60" s="90"/>
      <c r="G60" s="91"/>
      <c r="H60" s="92"/>
      <c r="I60" s="93"/>
      <c r="J60" s="83"/>
      <c r="K60" s="83"/>
      <c r="L60" s="12"/>
      <c r="M60" s="13"/>
      <c r="N60" s="14"/>
      <c r="O60" s="11"/>
      <c r="P60" s="15"/>
      <c r="Q60" s="16"/>
      <c r="R60" s="2"/>
      <c r="S60" s="12"/>
      <c r="T60" s="17"/>
      <c r="U60" s="2"/>
      <c r="V60" s="18"/>
      <c r="W60" s="8"/>
      <c r="Y60" s="149" t="s">
        <v>34</v>
      </c>
      <c r="Z60" s="152">
        <f t="shared" si="1"/>
        <v>0</v>
      </c>
    </row>
    <row r="61" spans="2:26" ht="18" x14ac:dyDescent="0.35">
      <c r="B61" s="95"/>
      <c r="C61" s="96"/>
      <c r="D61" s="97"/>
      <c r="E61" s="98"/>
      <c r="F61" s="90"/>
      <c r="G61" s="91"/>
      <c r="H61" s="92"/>
      <c r="I61" s="93"/>
      <c r="J61" s="83"/>
      <c r="K61" s="83"/>
      <c r="L61" s="12"/>
      <c r="M61" s="13"/>
      <c r="N61" s="14"/>
      <c r="O61" s="11"/>
      <c r="P61" s="15"/>
      <c r="Q61" s="16"/>
      <c r="R61" s="2"/>
      <c r="S61" s="12"/>
      <c r="T61" s="17"/>
      <c r="U61" s="2"/>
      <c r="V61" s="18"/>
      <c r="W61" s="8"/>
      <c r="Y61" s="149" t="s">
        <v>35</v>
      </c>
      <c r="Z61" s="152">
        <f t="shared" si="1"/>
        <v>0</v>
      </c>
    </row>
    <row r="62" spans="2:26" ht="18" x14ac:dyDescent="0.35">
      <c r="B62" s="95"/>
      <c r="C62" s="96"/>
      <c r="D62" s="97"/>
      <c r="E62" s="98"/>
      <c r="F62" s="90"/>
      <c r="G62" s="91"/>
      <c r="H62" s="92"/>
      <c r="I62" s="93"/>
      <c r="J62" s="83"/>
      <c r="K62" s="83"/>
      <c r="L62" s="12"/>
      <c r="M62" s="13"/>
      <c r="N62" s="14"/>
      <c r="O62" s="11"/>
      <c r="P62" s="15"/>
      <c r="Q62" s="16"/>
      <c r="R62" s="2"/>
      <c r="S62" s="12"/>
      <c r="T62" s="17"/>
      <c r="U62" s="2"/>
      <c r="V62" s="18"/>
      <c r="W62" s="8"/>
      <c r="Y62" s="149" t="s">
        <v>36</v>
      </c>
      <c r="Z62" s="152">
        <f t="shared" si="1"/>
        <v>0</v>
      </c>
    </row>
    <row r="63" spans="2:26" ht="18" x14ac:dyDescent="0.35">
      <c r="B63" s="95"/>
      <c r="C63" s="96"/>
      <c r="D63" s="97"/>
      <c r="E63" s="98"/>
      <c r="F63" s="90"/>
      <c r="G63" s="91"/>
      <c r="H63" s="92"/>
      <c r="I63" s="93"/>
      <c r="J63" s="83"/>
      <c r="K63" s="83"/>
      <c r="L63" s="12"/>
      <c r="M63" s="13"/>
      <c r="N63" s="14"/>
      <c r="O63" s="11"/>
      <c r="P63" s="15"/>
      <c r="Q63" s="16"/>
      <c r="R63" s="2"/>
      <c r="S63" s="12"/>
      <c r="T63" s="17"/>
      <c r="U63" s="2"/>
      <c r="V63" s="18"/>
      <c r="W63" s="8"/>
      <c r="Y63" s="149" t="s">
        <v>37</v>
      </c>
      <c r="Z63" s="152">
        <f t="shared" si="1"/>
        <v>0</v>
      </c>
    </row>
    <row r="64" spans="2:26" ht="18" x14ac:dyDescent="0.35">
      <c r="B64" s="95"/>
      <c r="C64" s="96"/>
      <c r="D64" s="97"/>
      <c r="E64" s="98"/>
      <c r="F64" s="90"/>
      <c r="G64" s="91"/>
      <c r="H64" s="92"/>
      <c r="I64" s="93"/>
      <c r="J64" s="83"/>
      <c r="K64" s="83"/>
      <c r="L64" s="12"/>
      <c r="M64" s="13"/>
      <c r="N64" s="14"/>
      <c r="O64" s="11"/>
      <c r="P64" s="15"/>
      <c r="Q64" s="16"/>
      <c r="R64" s="2"/>
      <c r="S64" s="12"/>
      <c r="T64" s="17"/>
      <c r="U64" s="2"/>
      <c r="V64" s="18"/>
      <c r="W64" s="8"/>
      <c r="Y64" s="149" t="s">
        <v>38</v>
      </c>
      <c r="Z64" s="152">
        <f t="shared" si="1"/>
        <v>0</v>
      </c>
    </row>
    <row r="65" spans="2:26" ht="18" x14ac:dyDescent="0.35">
      <c r="B65" s="95"/>
      <c r="C65" s="96"/>
      <c r="D65" s="97"/>
      <c r="E65" s="98"/>
      <c r="F65" s="99"/>
      <c r="G65" s="100"/>
      <c r="H65" s="101"/>
      <c r="I65" s="102"/>
      <c r="J65" s="83"/>
      <c r="K65" s="83"/>
      <c r="L65" s="12"/>
      <c r="M65" s="13"/>
      <c r="N65" s="14"/>
      <c r="O65" s="11"/>
      <c r="P65" s="15"/>
      <c r="Q65" s="16"/>
      <c r="R65" s="2"/>
      <c r="S65" s="12"/>
      <c r="T65" s="17"/>
      <c r="U65" s="2"/>
      <c r="V65" s="18"/>
      <c r="W65" s="8"/>
      <c r="Y65" s="149" t="s">
        <v>40</v>
      </c>
      <c r="Z65" s="152">
        <f t="shared" si="1"/>
        <v>0</v>
      </c>
    </row>
    <row r="66" spans="2:26" ht="18" x14ac:dyDescent="0.35">
      <c r="B66" s="95"/>
      <c r="C66" s="96"/>
      <c r="D66" s="97"/>
      <c r="E66" s="98"/>
      <c r="F66" s="90"/>
      <c r="G66" s="91"/>
      <c r="H66" s="92"/>
      <c r="I66" s="93"/>
      <c r="J66" s="83"/>
      <c r="K66" s="83"/>
      <c r="L66" s="12"/>
      <c r="M66" s="13"/>
      <c r="N66" s="14"/>
      <c r="O66" s="11"/>
      <c r="P66" s="15"/>
      <c r="Q66" s="16"/>
      <c r="R66" s="2"/>
      <c r="S66" s="12"/>
      <c r="T66" s="17"/>
      <c r="U66" s="2"/>
      <c r="V66" s="18"/>
      <c r="W66" s="8"/>
      <c r="Y66" s="149" t="s">
        <v>41</v>
      </c>
      <c r="Z66" s="152">
        <f t="shared" si="1"/>
        <v>0</v>
      </c>
    </row>
    <row r="67" spans="2:26" ht="18" x14ac:dyDescent="0.35">
      <c r="B67" s="95"/>
      <c r="C67" s="96"/>
      <c r="D67" s="97"/>
      <c r="E67" s="98"/>
      <c r="F67" s="103"/>
      <c r="G67" s="94"/>
      <c r="H67" s="104"/>
      <c r="I67" s="105"/>
      <c r="J67" s="83"/>
      <c r="K67" s="83"/>
      <c r="L67" s="12"/>
      <c r="M67" s="13"/>
      <c r="N67" s="14"/>
      <c r="O67" s="11"/>
      <c r="P67" s="15"/>
      <c r="Q67" s="16"/>
      <c r="R67" s="2"/>
      <c r="S67" s="12"/>
      <c r="T67" s="17"/>
      <c r="U67" s="2"/>
      <c r="V67" s="18"/>
      <c r="W67" s="8"/>
      <c r="Y67" s="149" t="s">
        <v>69</v>
      </c>
      <c r="Z67" s="152">
        <f t="shared" si="1"/>
        <v>0</v>
      </c>
    </row>
    <row r="68" spans="2:26" ht="18" x14ac:dyDescent="0.35">
      <c r="B68" s="95"/>
      <c r="C68" s="96"/>
      <c r="D68" s="97"/>
      <c r="E68" s="98"/>
      <c r="F68" s="90"/>
      <c r="G68" s="91"/>
      <c r="H68" s="92"/>
      <c r="I68" s="105"/>
      <c r="J68" s="83"/>
      <c r="K68" s="83"/>
      <c r="L68" s="12"/>
      <c r="M68" s="13"/>
      <c r="N68" s="14"/>
      <c r="O68" s="11"/>
      <c r="P68" s="15"/>
      <c r="Q68" s="16"/>
      <c r="R68" s="2"/>
      <c r="S68" s="12"/>
      <c r="T68" s="17"/>
      <c r="U68" s="2"/>
      <c r="V68" s="18"/>
      <c r="W68" s="8"/>
      <c r="Y68" s="149" t="s">
        <v>108</v>
      </c>
      <c r="Z68" s="152">
        <f t="shared" si="1"/>
        <v>0</v>
      </c>
    </row>
    <row r="69" spans="2:26" ht="18" x14ac:dyDescent="0.35">
      <c r="B69" s="95"/>
      <c r="C69" s="96"/>
      <c r="D69" s="97"/>
      <c r="E69" s="98"/>
      <c r="F69" s="90"/>
      <c r="G69" s="91"/>
      <c r="H69" s="92"/>
      <c r="I69" s="105"/>
      <c r="J69" s="83"/>
      <c r="K69" s="83"/>
      <c r="L69" s="12"/>
      <c r="M69" s="13"/>
      <c r="N69" s="14"/>
      <c r="O69" s="11"/>
      <c r="P69" s="15"/>
      <c r="Q69" s="16"/>
      <c r="R69" s="2"/>
      <c r="S69" s="12"/>
      <c r="T69" s="17"/>
      <c r="U69" s="2"/>
      <c r="V69" s="18"/>
      <c r="W69" s="8"/>
      <c r="Y69" s="149" t="s">
        <v>44</v>
      </c>
      <c r="Z69" s="152">
        <f t="shared" si="1"/>
        <v>0</v>
      </c>
    </row>
    <row r="70" spans="2:26" ht="18" x14ac:dyDescent="0.35">
      <c r="B70" s="95"/>
      <c r="C70" s="96"/>
      <c r="D70" s="97"/>
      <c r="E70" s="98"/>
      <c r="F70" s="90"/>
      <c r="G70" s="91"/>
      <c r="H70" s="92"/>
      <c r="I70" s="105"/>
      <c r="J70" s="83"/>
      <c r="K70" s="83"/>
      <c r="L70" s="12"/>
      <c r="M70" s="13"/>
      <c r="N70" s="14"/>
      <c r="O70" s="11"/>
      <c r="P70" s="15"/>
      <c r="Q70" s="16"/>
      <c r="R70" s="2"/>
      <c r="S70" s="12"/>
      <c r="T70" s="17"/>
      <c r="U70" s="2"/>
      <c r="V70" s="18"/>
      <c r="W70" s="8"/>
      <c r="Y70" s="149" t="s">
        <v>45</v>
      </c>
      <c r="Z70" s="152">
        <f t="shared" si="1"/>
        <v>0</v>
      </c>
    </row>
    <row r="71" spans="2:26" ht="18" x14ac:dyDescent="0.35">
      <c r="B71" s="95"/>
      <c r="C71" s="96"/>
      <c r="D71" s="97"/>
      <c r="E71" s="98"/>
      <c r="F71" s="90"/>
      <c r="G71" s="91"/>
      <c r="H71" s="92"/>
      <c r="I71" s="105"/>
      <c r="J71" s="83"/>
      <c r="K71" s="83"/>
      <c r="L71" s="12"/>
      <c r="M71" s="13"/>
      <c r="N71" s="14"/>
      <c r="O71" s="11"/>
      <c r="P71" s="15"/>
      <c r="Q71" s="16"/>
      <c r="R71" s="2"/>
      <c r="S71" s="12"/>
      <c r="T71" s="17"/>
      <c r="U71" s="2"/>
      <c r="V71" s="18"/>
      <c r="W71" s="8"/>
      <c r="Y71" s="149" t="s">
        <v>49</v>
      </c>
      <c r="Z71" s="152">
        <f t="shared" si="1"/>
        <v>0</v>
      </c>
    </row>
    <row r="72" spans="2:26" ht="18" x14ac:dyDescent="0.35">
      <c r="B72" s="106"/>
      <c r="C72" s="107"/>
      <c r="D72" s="108"/>
      <c r="E72" s="109"/>
      <c r="F72" s="90"/>
      <c r="G72" s="91"/>
      <c r="H72" s="92"/>
      <c r="I72" s="105"/>
      <c r="J72" s="83"/>
      <c r="K72" s="83"/>
      <c r="L72" s="12"/>
      <c r="M72" s="13"/>
      <c r="N72" s="14"/>
      <c r="O72" s="11"/>
      <c r="P72" s="15"/>
      <c r="Q72" s="16"/>
      <c r="R72" s="2"/>
      <c r="S72" s="12"/>
      <c r="T72" s="17"/>
      <c r="U72" s="2"/>
      <c r="V72" s="18"/>
      <c r="W72" s="8"/>
      <c r="Y72" s="149" t="s">
        <v>50</v>
      </c>
      <c r="Z72" s="152">
        <f t="shared" si="1"/>
        <v>0</v>
      </c>
    </row>
    <row r="73" spans="2:26" ht="18" x14ac:dyDescent="0.35">
      <c r="B73" s="95"/>
      <c r="C73" s="96"/>
      <c r="D73" s="97"/>
      <c r="E73" s="98"/>
      <c r="F73" s="90"/>
      <c r="G73" s="91"/>
      <c r="H73" s="92"/>
      <c r="I73" s="105"/>
      <c r="J73" s="83"/>
      <c r="K73" s="83"/>
      <c r="L73" s="20"/>
      <c r="M73" s="21"/>
      <c r="N73" s="22"/>
      <c r="O73" s="19"/>
      <c r="P73" s="23"/>
      <c r="Q73" s="24"/>
      <c r="R73" s="2"/>
      <c r="S73" s="20"/>
      <c r="T73" s="25"/>
      <c r="U73" s="2"/>
      <c r="V73" s="26"/>
      <c r="W73" s="27"/>
      <c r="Y73" s="149" t="s">
        <v>51</v>
      </c>
      <c r="Z73" s="152">
        <f t="shared" si="1"/>
        <v>0</v>
      </c>
    </row>
    <row r="74" spans="2:26" ht="18" x14ac:dyDescent="0.35">
      <c r="B74" s="110"/>
      <c r="C74" s="111"/>
      <c r="D74" s="112"/>
      <c r="E74" s="113"/>
      <c r="F74" s="90"/>
      <c r="G74" s="91"/>
      <c r="H74" s="92"/>
      <c r="I74" s="105"/>
      <c r="J74" s="83"/>
      <c r="K74" s="83"/>
      <c r="L74" s="12"/>
      <c r="M74" s="28"/>
      <c r="N74" s="14"/>
      <c r="O74" s="11"/>
      <c r="P74" s="11"/>
      <c r="Q74" s="16"/>
      <c r="R74" s="2"/>
      <c r="S74" s="12"/>
      <c r="T74" s="17"/>
      <c r="U74" s="2"/>
      <c r="V74" s="18"/>
      <c r="W74" s="16"/>
      <c r="Y74" s="149" t="s">
        <v>52</v>
      </c>
      <c r="Z74" s="152">
        <f t="shared" si="1"/>
        <v>0</v>
      </c>
    </row>
    <row r="75" spans="2:26" ht="18" x14ac:dyDescent="0.35">
      <c r="B75" s="95"/>
      <c r="C75" s="96"/>
      <c r="D75" s="97"/>
      <c r="E75" s="113"/>
      <c r="F75" s="90"/>
      <c r="G75" s="91"/>
      <c r="H75" s="92"/>
      <c r="I75" s="105"/>
      <c r="J75" s="83"/>
      <c r="K75" s="83"/>
      <c r="L75" s="12"/>
      <c r="M75" s="28"/>
      <c r="N75" s="14"/>
      <c r="O75" s="11"/>
      <c r="P75" s="11"/>
      <c r="Q75" s="16"/>
      <c r="R75" s="2"/>
      <c r="S75" s="12"/>
      <c r="T75" s="17"/>
      <c r="U75" s="2"/>
      <c r="V75" s="18"/>
      <c r="W75" s="16"/>
      <c r="Y75" s="149" t="s">
        <v>72</v>
      </c>
      <c r="Z75" s="152">
        <f t="shared" si="1"/>
        <v>0</v>
      </c>
    </row>
    <row r="76" spans="2:26" ht="18" x14ac:dyDescent="0.35">
      <c r="B76" s="95"/>
      <c r="C76" s="96"/>
      <c r="D76" s="97"/>
      <c r="E76" s="113"/>
      <c r="F76" s="90"/>
      <c r="G76" s="91"/>
      <c r="H76" s="92"/>
      <c r="I76" s="105"/>
      <c r="J76" s="83"/>
      <c r="K76" s="83"/>
      <c r="L76" s="12"/>
      <c r="M76" s="28"/>
      <c r="N76" s="14"/>
      <c r="O76" s="11"/>
      <c r="P76" s="11"/>
      <c r="Q76" s="16"/>
      <c r="R76" s="2"/>
      <c r="S76" s="12"/>
      <c r="T76" s="17"/>
      <c r="U76" s="2"/>
      <c r="V76" s="18"/>
      <c r="W76" s="16"/>
      <c r="Y76" s="149" t="s">
        <v>71</v>
      </c>
      <c r="Z76" s="152">
        <f t="shared" si="1"/>
        <v>0</v>
      </c>
    </row>
    <row r="77" spans="2:26" ht="18" x14ac:dyDescent="0.35">
      <c r="B77" s="95"/>
      <c r="C77" s="96"/>
      <c r="D77" s="97"/>
      <c r="E77" s="113"/>
      <c r="F77" s="90"/>
      <c r="G77" s="91"/>
      <c r="H77" s="92"/>
      <c r="I77" s="105"/>
      <c r="J77" s="83"/>
      <c r="K77" s="83"/>
      <c r="L77" s="12"/>
      <c r="M77" s="28"/>
      <c r="N77" s="14"/>
      <c r="O77" s="11"/>
      <c r="P77" s="11"/>
      <c r="Q77" s="16"/>
      <c r="R77" s="2"/>
      <c r="S77" s="12"/>
      <c r="T77" s="17"/>
      <c r="U77" s="2"/>
      <c r="V77" s="18"/>
      <c r="W77" s="16"/>
      <c r="Y77" s="149" t="s">
        <v>53</v>
      </c>
      <c r="Z77" s="152">
        <f t="shared" ref="Z77:Z79" si="2">SUMIF($G$9:$G$129, Y77, $F$9:$F$129)</f>
        <v>0</v>
      </c>
    </row>
    <row r="78" spans="2:26" ht="18" x14ac:dyDescent="0.35">
      <c r="B78" s="95"/>
      <c r="C78" s="96"/>
      <c r="D78" s="97"/>
      <c r="E78" s="113"/>
      <c r="F78" s="90"/>
      <c r="G78" s="91"/>
      <c r="H78" s="92"/>
      <c r="I78" s="105"/>
      <c r="J78" s="83"/>
      <c r="K78" s="83"/>
      <c r="L78" s="12"/>
      <c r="M78" s="28"/>
      <c r="N78" s="14"/>
      <c r="O78" s="11"/>
      <c r="P78" s="11"/>
      <c r="Q78" s="16"/>
      <c r="R78" s="2"/>
      <c r="S78" s="12"/>
      <c r="T78" s="17"/>
      <c r="U78" s="2"/>
      <c r="V78" s="18"/>
      <c r="W78" s="16"/>
      <c r="Y78" s="149" t="s">
        <v>54</v>
      </c>
      <c r="Z78" s="152">
        <f t="shared" si="2"/>
        <v>0</v>
      </c>
    </row>
    <row r="79" spans="2:26" ht="18.600000000000001" thickBot="1" x14ac:dyDescent="0.4">
      <c r="B79" s="95"/>
      <c r="C79" s="96"/>
      <c r="D79" s="97"/>
      <c r="E79" s="113"/>
      <c r="F79" s="90"/>
      <c r="G79" s="91"/>
      <c r="H79" s="92"/>
      <c r="I79" s="105"/>
      <c r="J79" s="83"/>
      <c r="K79" s="83"/>
      <c r="L79" s="12"/>
      <c r="M79" s="28"/>
      <c r="N79" s="14"/>
      <c r="O79" s="11"/>
      <c r="P79" s="11"/>
      <c r="Q79" s="16"/>
      <c r="R79" s="2"/>
      <c r="S79" s="12"/>
      <c r="T79" s="17"/>
      <c r="U79" s="2"/>
      <c r="V79" s="18"/>
      <c r="W79" s="16"/>
      <c r="Y79" s="150" t="s">
        <v>55</v>
      </c>
      <c r="Z79" s="153">
        <f t="shared" si="2"/>
        <v>0</v>
      </c>
    </row>
    <row r="80" spans="2:26" ht="18" x14ac:dyDescent="0.35">
      <c r="B80" s="95"/>
      <c r="C80" s="96"/>
      <c r="D80" s="97"/>
      <c r="E80" s="113"/>
      <c r="F80" s="90"/>
      <c r="G80" s="91"/>
      <c r="H80" s="92"/>
      <c r="I80" s="105"/>
      <c r="J80" s="83"/>
      <c r="K80" s="83"/>
      <c r="L80" s="12"/>
      <c r="M80" s="28"/>
      <c r="N80" s="14"/>
      <c r="O80" s="11"/>
      <c r="P80" s="11"/>
      <c r="Q80" s="16"/>
      <c r="R80" s="2"/>
      <c r="S80" s="12"/>
      <c r="T80" s="17"/>
      <c r="U80" s="2"/>
      <c r="V80" s="18"/>
      <c r="W80" s="16"/>
    </row>
    <row r="81" spans="2:23" ht="18" x14ac:dyDescent="0.35">
      <c r="B81" s="95"/>
      <c r="C81" s="96"/>
      <c r="D81" s="97"/>
      <c r="E81" s="113"/>
      <c r="F81" s="90"/>
      <c r="G81" s="91"/>
      <c r="H81" s="92"/>
      <c r="I81" s="105"/>
      <c r="J81" s="83"/>
      <c r="K81" s="83"/>
      <c r="L81" s="12"/>
      <c r="M81" s="28"/>
      <c r="N81" s="14"/>
      <c r="O81" s="11"/>
      <c r="P81" s="11"/>
      <c r="Q81" s="16"/>
      <c r="R81" s="2"/>
      <c r="S81" s="12"/>
      <c r="T81" s="17"/>
      <c r="U81" s="2"/>
      <c r="V81" s="18"/>
      <c r="W81" s="16"/>
    </row>
    <row r="82" spans="2:23" ht="18" x14ac:dyDescent="0.35">
      <c r="B82" s="95"/>
      <c r="C82" s="96"/>
      <c r="D82" s="97"/>
      <c r="E82" s="113"/>
      <c r="F82" s="90"/>
      <c r="G82" s="91"/>
      <c r="H82" s="92"/>
      <c r="I82" s="105"/>
      <c r="J82" s="83"/>
      <c r="K82" s="83"/>
      <c r="L82" s="12"/>
      <c r="M82" s="28"/>
      <c r="N82" s="14"/>
      <c r="O82" s="11"/>
      <c r="P82" s="11"/>
      <c r="Q82" s="16"/>
      <c r="R82" s="2"/>
      <c r="S82" s="12"/>
      <c r="T82" s="17"/>
      <c r="U82" s="2"/>
      <c r="V82" s="18"/>
      <c r="W82" s="16"/>
    </row>
    <row r="83" spans="2:23" ht="18" x14ac:dyDescent="0.35">
      <c r="B83" s="95"/>
      <c r="C83" s="96"/>
      <c r="D83" s="97"/>
      <c r="E83" s="113"/>
      <c r="F83" s="90"/>
      <c r="G83" s="91"/>
      <c r="H83" s="92"/>
      <c r="I83" s="105"/>
      <c r="J83" s="83"/>
      <c r="K83" s="83"/>
      <c r="L83" s="12"/>
      <c r="M83" s="28"/>
      <c r="N83" s="14"/>
      <c r="O83" s="11"/>
      <c r="P83" s="11"/>
      <c r="Q83" s="16"/>
      <c r="R83" s="2"/>
      <c r="S83" s="12"/>
      <c r="T83" s="17"/>
      <c r="U83" s="2"/>
      <c r="V83" s="18"/>
      <c r="W83" s="16"/>
    </row>
    <row r="84" spans="2:23" ht="18" x14ac:dyDescent="0.35">
      <c r="B84" s="95"/>
      <c r="C84" s="96"/>
      <c r="D84" s="97"/>
      <c r="E84" s="113"/>
      <c r="F84" s="90"/>
      <c r="G84" s="91"/>
      <c r="H84" s="92"/>
      <c r="I84" s="105"/>
      <c r="J84" s="83"/>
      <c r="K84" s="83"/>
      <c r="L84" s="12"/>
      <c r="M84" s="28"/>
      <c r="N84" s="14"/>
      <c r="O84" s="11"/>
      <c r="P84" s="11"/>
      <c r="Q84" s="16"/>
      <c r="R84" s="2"/>
      <c r="S84" s="12"/>
      <c r="T84" s="17"/>
      <c r="U84" s="2"/>
      <c r="V84" s="18"/>
      <c r="W84" s="16"/>
    </row>
    <row r="85" spans="2:23" ht="18" x14ac:dyDescent="0.35">
      <c r="B85" s="95"/>
      <c r="C85" s="96"/>
      <c r="D85" s="97"/>
      <c r="E85" s="113"/>
      <c r="F85" s="90"/>
      <c r="G85" s="91"/>
      <c r="H85" s="92"/>
      <c r="I85" s="105"/>
      <c r="J85" s="83"/>
      <c r="K85" s="83"/>
      <c r="L85" s="12"/>
      <c r="M85" s="28"/>
      <c r="N85" s="14"/>
      <c r="O85" s="11"/>
      <c r="P85" s="11"/>
      <c r="Q85" s="16"/>
      <c r="R85" s="2"/>
      <c r="S85" s="12"/>
      <c r="T85" s="17"/>
      <c r="U85" s="2"/>
      <c r="V85" s="18"/>
      <c r="W85" s="16"/>
    </row>
    <row r="86" spans="2:23" ht="18" x14ac:dyDescent="0.35">
      <c r="B86" s="95"/>
      <c r="C86" s="96"/>
      <c r="D86" s="97"/>
      <c r="E86" s="113"/>
      <c r="F86" s="90"/>
      <c r="G86" s="91"/>
      <c r="H86" s="92"/>
      <c r="I86" s="105"/>
      <c r="J86" s="83"/>
      <c r="K86" s="83"/>
      <c r="L86" s="12"/>
      <c r="M86" s="28"/>
      <c r="N86" s="14"/>
      <c r="O86" s="11"/>
      <c r="P86" s="11"/>
      <c r="Q86" s="16"/>
      <c r="R86" s="2"/>
      <c r="S86" s="12"/>
      <c r="T86" s="17"/>
      <c r="U86" s="2"/>
      <c r="V86" s="18"/>
      <c r="W86" s="16"/>
    </row>
    <row r="87" spans="2:23" ht="18" x14ac:dyDescent="0.35">
      <c r="B87" s="95"/>
      <c r="C87" s="96"/>
      <c r="D87" s="97"/>
      <c r="E87" s="113"/>
      <c r="F87" s="90"/>
      <c r="G87" s="91"/>
      <c r="H87" s="92"/>
      <c r="I87" s="105"/>
      <c r="J87" s="83"/>
      <c r="K87" s="83"/>
      <c r="L87" s="12"/>
      <c r="M87" s="28"/>
      <c r="N87" s="14"/>
      <c r="O87" s="11"/>
      <c r="P87" s="11"/>
      <c r="Q87" s="16"/>
      <c r="R87" s="2"/>
      <c r="S87" s="12"/>
      <c r="T87" s="17"/>
      <c r="U87" s="2"/>
      <c r="V87" s="18"/>
      <c r="W87" s="16"/>
    </row>
    <row r="88" spans="2:23" ht="18" x14ac:dyDescent="0.35">
      <c r="B88" s="95"/>
      <c r="C88" s="96"/>
      <c r="D88" s="97"/>
      <c r="E88" s="113"/>
      <c r="F88" s="90"/>
      <c r="G88" s="91"/>
      <c r="H88" s="92"/>
      <c r="I88" s="105"/>
      <c r="J88" s="83"/>
      <c r="K88" s="83"/>
      <c r="L88" s="12"/>
      <c r="M88" s="28"/>
      <c r="N88" s="14"/>
      <c r="O88" s="11"/>
      <c r="P88" s="11"/>
      <c r="Q88" s="16"/>
      <c r="R88" s="2"/>
      <c r="S88" s="12"/>
      <c r="T88" s="17"/>
      <c r="U88" s="2"/>
      <c r="V88" s="18"/>
      <c r="W88" s="16"/>
    </row>
    <row r="89" spans="2:23" ht="18" x14ac:dyDescent="0.35">
      <c r="B89" s="95"/>
      <c r="C89" s="96"/>
      <c r="D89" s="97"/>
      <c r="E89" s="113"/>
      <c r="F89" s="90"/>
      <c r="G89" s="91"/>
      <c r="H89" s="92"/>
      <c r="I89" s="105"/>
      <c r="J89" s="83"/>
      <c r="K89" s="83"/>
      <c r="L89" s="12"/>
      <c r="M89" s="28"/>
      <c r="N89" s="14"/>
      <c r="O89" s="11"/>
      <c r="P89" s="11"/>
      <c r="Q89" s="16"/>
      <c r="R89" s="2"/>
      <c r="S89" s="12"/>
      <c r="T89" s="17"/>
      <c r="U89" s="2"/>
      <c r="V89" s="18"/>
      <c r="W89" s="16"/>
    </row>
    <row r="90" spans="2:23" ht="18" x14ac:dyDescent="0.35">
      <c r="B90" s="95"/>
      <c r="C90" s="96"/>
      <c r="D90" s="97"/>
      <c r="E90" s="113"/>
      <c r="F90" s="90"/>
      <c r="G90" s="91"/>
      <c r="H90" s="92"/>
      <c r="I90" s="105"/>
      <c r="J90" s="83"/>
      <c r="K90" s="83"/>
      <c r="L90" s="12"/>
      <c r="M90" s="28"/>
      <c r="N90" s="14"/>
      <c r="O90" s="11"/>
      <c r="P90" s="11"/>
      <c r="Q90" s="16"/>
      <c r="R90" s="2"/>
      <c r="S90" s="12"/>
      <c r="T90" s="17"/>
      <c r="U90" s="2"/>
      <c r="V90" s="18"/>
      <c r="W90" s="16"/>
    </row>
    <row r="91" spans="2:23" ht="18" x14ac:dyDescent="0.35">
      <c r="B91" s="95"/>
      <c r="C91" s="96"/>
      <c r="D91" s="97"/>
      <c r="E91" s="113"/>
      <c r="F91" s="90"/>
      <c r="G91" s="91"/>
      <c r="H91" s="92"/>
      <c r="I91" s="105"/>
      <c r="J91" s="83"/>
      <c r="K91" s="83"/>
      <c r="L91" s="12"/>
      <c r="M91" s="28"/>
      <c r="N91" s="14"/>
      <c r="O91" s="11"/>
      <c r="P91" s="11"/>
      <c r="Q91" s="16"/>
      <c r="R91" s="2"/>
      <c r="S91" s="12"/>
      <c r="T91" s="17"/>
      <c r="U91" s="2"/>
      <c r="V91" s="18"/>
      <c r="W91" s="16"/>
    </row>
    <row r="92" spans="2:23" ht="18" x14ac:dyDescent="0.35">
      <c r="B92" s="95"/>
      <c r="C92" s="96"/>
      <c r="D92" s="97"/>
      <c r="E92" s="113"/>
      <c r="F92" s="90"/>
      <c r="G92" s="91"/>
      <c r="H92" s="92"/>
      <c r="I92" s="105"/>
      <c r="J92" s="83"/>
      <c r="K92" s="83"/>
      <c r="L92" s="12"/>
      <c r="M92" s="28"/>
      <c r="N92" s="14"/>
      <c r="O92" s="11"/>
      <c r="P92" s="11"/>
      <c r="Q92" s="16"/>
      <c r="R92" s="2"/>
      <c r="S92" s="12"/>
      <c r="T92" s="17"/>
      <c r="U92" s="2"/>
      <c r="V92" s="18"/>
      <c r="W92" s="16"/>
    </row>
    <row r="93" spans="2:23" ht="18" x14ac:dyDescent="0.35">
      <c r="B93" s="95"/>
      <c r="C93" s="96"/>
      <c r="D93" s="97"/>
      <c r="E93" s="113"/>
      <c r="F93" s="90"/>
      <c r="G93" s="91"/>
      <c r="H93" s="92"/>
      <c r="I93" s="105"/>
      <c r="J93" s="83"/>
      <c r="K93" s="83"/>
      <c r="L93" s="12"/>
      <c r="M93" s="28"/>
      <c r="N93" s="14"/>
      <c r="O93" s="11"/>
      <c r="P93" s="11"/>
      <c r="Q93" s="16"/>
      <c r="R93" s="2"/>
      <c r="S93" s="12"/>
      <c r="T93" s="17"/>
      <c r="U93" s="2"/>
      <c r="V93" s="18"/>
      <c r="W93" s="16"/>
    </row>
    <row r="94" spans="2:23" ht="18" x14ac:dyDescent="0.35">
      <c r="B94" s="95"/>
      <c r="C94" s="96"/>
      <c r="D94" s="97"/>
      <c r="E94" s="113"/>
      <c r="F94" s="90"/>
      <c r="G94" s="91"/>
      <c r="H94" s="92"/>
      <c r="I94" s="105"/>
      <c r="J94" s="83"/>
      <c r="K94" s="83"/>
      <c r="L94" s="12"/>
      <c r="M94" s="28"/>
      <c r="N94" s="14"/>
      <c r="O94" s="11"/>
      <c r="P94" s="11"/>
      <c r="Q94" s="16"/>
      <c r="R94" s="2"/>
      <c r="S94" s="12"/>
      <c r="T94" s="17"/>
      <c r="U94" s="2"/>
      <c r="V94" s="18"/>
      <c r="W94" s="16"/>
    </row>
    <row r="95" spans="2:23" ht="18" x14ac:dyDescent="0.35">
      <c r="B95" s="95"/>
      <c r="C95" s="96"/>
      <c r="D95" s="97"/>
      <c r="E95" s="113"/>
      <c r="F95" s="90"/>
      <c r="G95" s="91"/>
      <c r="H95" s="92"/>
      <c r="I95" s="105"/>
      <c r="J95" s="83"/>
      <c r="K95" s="83"/>
      <c r="L95" s="12"/>
      <c r="M95" s="28"/>
      <c r="N95" s="14"/>
      <c r="O95" s="11"/>
      <c r="P95" s="11"/>
      <c r="Q95" s="16"/>
      <c r="R95" s="2"/>
      <c r="S95" s="12"/>
      <c r="T95" s="17"/>
      <c r="U95" s="2"/>
      <c r="V95" s="18"/>
      <c r="W95" s="16"/>
    </row>
    <row r="96" spans="2:23" ht="18" x14ac:dyDescent="0.35">
      <c r="B96" s="95"/>
      <c r="C96" s="96"/>
      <c r="D96" s="97"/>
      <c r="E96" s="113"/>
      <c r="F96" s="90"/>
      <c r="G96" s="91"/>
      <c r="H96" s="92"/>
      <c r="I96" s="105"/>
      <c r="J96" s="83"/>
      <c r="K96" s="83"/>
      <c r="L96" s="12"/>
      <c r="M96" s="28"/>
      <c r="N96" s="14"/>
      <c r="O96" s="11"/>
      <c r="P96" s="11"/>
      <c r="Q96" s="16"/>
      <c r="R96" s="2"/>
      <c r="S96" s="12"/>
      <c r="T96" s="17"/>
      <c r="U96" s="2"/>
      <c r="V96" s="18"/>
      <c r="W96" s="16"/>
    </row>
    <row r="97" spans="2:23" ht="18" x14ac:dyDescent="0.35">
      <c r="B97" s="95"/>
      <c r="C97" s="96"/>
      <c r="D97" s="97"/>
      <c r="E97" s="113"/>
      <c r="F97" s="90"/>
      <c r="G97" s="91"/>
      <c r="H97" s="92"/>
      <c r="I97" s="105"/>
      <c r="J97" s="83"/>
      <c r="K97" s="83"/>
      <c r="L97" s="12"/>
      <c r="M97" s="28"/>
      <c r="N97" s="14"/>
      <c r="O97" s="11"/>
      <c r="P97" s="11"/>
      <c r="Q97" s="16"/>
      <c r="R97" s="2"/>
      <c r="S97" s="12"/>
      <c r="T97" s="17"/>
      <c r="U97" s="2"/>
      <c r="V97" s="18"/>
      <c r="W97" s="16"/>
    </row>
    <row r="98" spans="2:23" ht="18" x14ac:dyDescent="0.35">
      <c r="B98" s="95"/>
      <c r="C98" s="96"/>
      <c r="D98" s="97"/>
      <c r="E98" s="113"/>
      <c r="F98" s="90"/>
      <c r="G98" s="91"/>
      <c r="H98" s="92"/>
      <c r="I98" s="105"/>
      <c r="J98" s="83"/>
      <c r="K98" s="83"/>
      <c r="L98" s="12"/>
      <c r="M98" s="28"/>
      <c r="N98" s="14"/>
      <c r="O98" s="11"/>
      <c r="P98" s="11"/>
      <c r="Q98" s="16"/>
      <c r="R98" s="2"/>
      <c r="S98" s="12"/>
      <c r="T98" s="17"/>
      <c r="U98" s="2"/>
      <c r="V98" s="18"/>
      <c r="W98" s="16"/>
    </row>
    <row r="99" spans="2:23" ht="18" x14ac:dyDescent="0.35">
      <c r="B99" s="95"/>
      <c r="C99" s="96"/>
      <c r="D99" s="97"/>
      <c r="E99" s="113"/>
      <c r="F99" s="90"/>
      <c r="G99" s="91"/>
      <c r="H99" s="92"/>
      <c r="I99" s="105"/>
      <c r="J99" s="83"/>
      <c r="K99" s="83"/>
      <c r="L99" s="12"/>
      <c r="M99" s="28"/>
      <c r="N99" s="14"/>
      <c r="O99" s="11"/>
      <c r="P99" s="11"/>
      <c r="Q99" s="16"/>
      <c r="R99" s="2"/>
      <c r="S99" s="12"/>
      <c r="T99" s="17"/>
      <c r="U99" s="2"/>
      <c r="V99" s="18"/>
      <c r="W99" s="16"/>
    </row>
    <row r="100" spans="2:23" ht="18" x14ac:dyDescent="0.35">
      <c r="B100" s="95"/>
      <c r="C100" s="96"/>
      <c r="D100" s="97"/>
      <c r="E100" s="113"/>
      <c r="F100" s="90"/>
      <c r="G100" s="91"/>
      <c r="H100" s="92"/>
      <c r="I100" s="105"/>
      <c r="J100" s="83"/>
      <c r="K100" s="83"/>
      <c r="L100" s="12"/>
      <c r="M100" s="28"/>
      <c r="N100" s="14"/>
      <c r="O100" s="11"/>
      <c r="P100" s="11"/>
      <c r="Q100" s="16"/>
      <c r="R100" s="2"/>
      <c r="S100" s="12"/>
      <c r="T100" s="17"/>
      <c r="U100" s="2"/>
      <c r="V100" s="18"/>
      <c r="W100" s="16"/>
    </row>
    <row r="101" spans="2:23" ht="18" x14ac:dyDescent="0.35">
      <c r="B101" s="95"/>
      <c r="C101" s="96"/>
      <c r="D101" s="97"/>
      <c r="E101" s="113"/>
      <c r="F101" s="90"/>
      <c r="G101" s="91"/>
      <c r="H101" s="92"/>
      <c r="I101" s="105"/>
      <c r="J101" s="83"/>
      <c r="K101" s="83"/>
      <c r="L101" s="12"/>
      <c r="M101" s="28"/>
      <c r="N101" s="14"/>
      <c r="O101" s="11"/>
      <c r="P101" s="11"/>
      <c r="Q101" s="16"/>
      <c r="R101" s="2"/>
      <c r="S101" s="12"/>
      <c r="T101" s="17"/>
      <c r="U101" s="2"/>
      <c r="V101" s="18"/>
      <c r="W101" s="16"/>
    </row>
    <row r="102" spans="2:23" ht="18" x14ac:dyDescent="0.35">
      <c r="B102" s="95"/>
      <c r="C102" s="96"/>
      <c r="D102" s="97"/>
      <c r="E102" s="113"/>
      <c r="F102" s="90"/>
      <c r="G102" s="91"/>
      <c r="H102" s="92"/>
      <c r="I102" s="105"/>
      <c r="J102" s="83"/>
      <c r="K102" s="83"/>
      <c r="L102" s="12"/>
      <c r="M102" s="28"/>
      <c r="N102" s="14"/>
      <c r="O102" s="11"/>
      <c r="P102" s="11"/>
      <c r="Q102" s="16"/>
      <c r="R102" s="2"/>
      <c r="S102" s="12"/>
      <c r="T102" s="17"/>
      <c r="U102" s="2"/>
      <c r="V102" s="18"/>
      <c r="W102" s="16"/>
    </row>
    <row r="103" spans="2:23" ht="18" x14ac:dyDescent="0.35">
      <c r="B103" s="95"/>
      <c r="C103" s="96"/>
      <c r="D103" s="97"/>
      <c r="E103" s="113"/>
      <c r="F103" s="90"/>
      <c r="G103" s="91"/>
      <c r="H103" s="92"/>
      <c r="I103" s="105"/>
      <c r="J103" s="83"/>
      <c r="K103" s="83"/>
      <c r="L103" s="12"/>
      <c r="M103" s="28"/>
      <c r="N103" s="14"/>
      <c r="O103" s="11"/>
      <c r="P103" s="11"/>
      <c r="Q103" s="16"/>
      <c r="R103" s="2"/>
      <c r="S103" s="12"/>
      <c r="T103" s="17"/>
      <c r="U103" s="2"/>
      <c r="V103" s="18"/>
      <c r="W103" s="16"/>
    </row>
    <row r="104" spans="2:23" ht="18" x14ac:dyDescent="0.35">
      <c r="B104" s="95"/>
      <c r="C104" s="96"/>
      <c r="D104" s="97"/>
      <c r="E104" s="113"/>
      <c r="F104" s="90"/>
      <c r="G104" s="91"/>
      <c r="H104" s="92"/>
      <c r="I104" s="105"/>
      <c r="J104" s="83"/>
      <c r="K104" s="83"/>
      <c r="L104" s="12"/>
      <c r="M104" s="28"/>
      <c r="N104" s="14"/>
      <c r="O104" s="11"/>
      <c r="P104" s="11"/>
      <c r="Q104" s="16"/>
      <c r="R104" s="2"/>
      <c r="S104" s="12"/>
      <c r="T104" s="17"/>
      <c r="U104" s="2"/>
      <c r="V104" s="18"/>
      <c r="W104" s="16"/>
    </row>
    <row r="105" spans="2:23" ht="18" x14ac:dyDescent="0.35">
      <c r="B105" s="95"/>
      <c r="C105" s="96"/>
      <c r="D105" s="97"/>
      <c r="E105" s="113"/>
      <c r="F105" s="90"/>
      <c r="G105" s="91"/>
      <c r="H105" s="92"/>
      <c r="I105" s="105"/>
      <c r="J105" s="83"/>
      <c r="K105" s="83"/>
      <c r="L105" s="12"/>
      <c r="M105" s="28"/>
      <c r="N105" s="14"/>
      <c r="O105" s="11"/>
      <c r="P105" s="11"/>
      <c r="Q105" s="16"/>
      <c r="R105" s="2"/>
      <c r="S105" s="12"/>
      <c r="T105" s="17"/>
      <c r="U105" s="2"/>
      <c r="V105" s="18"/>
      <c r="W105" s="16"/>
    </row>
    <row r="106" spans="2:23" ht="18" x14ac:dyDescent="0.35">
      <c r="B106" s="95"/>
      <c r="C106" s="96"/>
      <c r="D106" s="97"/>
      <c r="E106" s="113"/>
      <c r="F106" s="90"/>
      <c r="G106" s="91"/>
      <c r="H106" s="92"/>
      <c r="I106" s="105"/>
      <c r="J106" s="83"/>
      <c r="K106" s="83"/>
      <c r="L106" s="12"/>
      <c r="M106" s="28"/>
      <c r="N106" s="14"/>
      <c r="O106" s="11"/>
      <c r="P106" s="11"/>
      <c r="Q106" s="16"/>
      <c r="R106" s="2"/>
      <c r="S106" s="12"/>
      <c r="T106" s="17"/>
      <c r="U106" s="2"/>
      <c r="V106" s="18"/>
      <c r="W106" s="16"/>
    </row>
    <row r="107" spans="2:23" ht="18" x14ac:dyDescent="0.35">
      <c r="B107" s="95"/>
      <c r="C107" s="96"/>
      <c r="D107" s="97"/>
      <c r="E107" s="113"/>
      <c r="F107" s="90"/>
      <c r="G107" s="91"/>
      <c r="H107" s="92"/>
      <c r="I107" s="105"/>
      <c r="J107" s="83"/>
      <c r="K107" s="83"/>
      <c r="L107" s="12"/>
      <c r="M107" s="28"/>
      <c r="N107" s="14"/>
      <c r="O107" s="11"/>
      <c r="P107" s="11"/>
      <c r="Q107" s="16"/>
      <c r="R107" s="2"/>
      <c r="S107" s="12"/>
      <c r="T107" s="17"/>
      <c r="U107" s="2"/>
      <c r="V107" s="18"/>
      <c r="W107" s="16"/>
    </row>
    <row r="108" spans="2:23" ht="18" x14ac:dyDescent="0.35">
      <c r="B108" s="95"/>
      <c r="C108" s="96"/>
      <c r="D108" s="97"/>
      <c r="E108" s="113"/>
      <c r="F108" s="90"/>
      <c r="G108" s="91"/>
      <c r="H108" s="92"/>
      <c r="I108" s="105"/>
      <c r="J108" s="83"/>
      <c r="K108" s="83"/>
      <c r="L108" s="12"/>
      <c r="M108" s="28"/>
      <c r="N108" s="14"/>
      <c r="O108" s="11"/>
      <c r="P108" s="11"/>
      <c r="Q108" s="16"/>
      <c r="R108" s="2"/>
      <c r="S108" s="12"/>
      <c r="T108" s="17"/>
      <c r="U108" s="2"/>
      <c r="V108" s="18"/>
      <c r="W108" s="16"/>
    </row>
    <row r="109" spans="2:23" ht="18" x14ac:dyDescent="0.35">
      <c r="B109" s="95"/>
      <c r="C109" s="96"/>
      <c r="D109" s="97"/>
      <c r="E109" s="113"/>
      <c r="F109" s="90"/>
      <c r="G109" s="91"/>
      <c r="H109" s="92"/>
      <c r="I109" s="105"/>
      <c r="J109" s="83"/>
      <c r="K109" s="83"/>
      <c r="L109" s="12"/>
      <c r="M109" s="28"/>
      <c r="N109" s="14"/>
      <c r="O109" s="11"/>
      <c r="P109" s="11"/>
      <c r="Q109" s="16"/>
      <c r="R109" s="2"/>
      <c r="S109" s="12"/>
      <c r="T109" s="17"/>
      <c r="U109" s="2"/>
      <c r="V109" s="18"/>
      <c r="W109" s="16"/>
    </row>
    <row r="110" spans="2:23" ht="18" x14ac:dyDescent="0.35">
      <c r="B110" s="95"/>
      <c r="C110" s="96"/>
      <c r="D110" s="97"/>
      <c r="E110" s="113"/>
      <c r="F110" s="90"/>
      <c r="G110" s="91"/>
      <c r="H110" s="92"/>
      <c r="I110" s="105"/>
      <c r="J110" s="83"/>
      <c r="K110" s="83"/>
      <c r="L110" s="12"/>
      <c r="M110" s="28"/>
      <c r="N110" s="14"/>
      <c r="O110" s="11"/>
      <c r="P110" s="11"/>
      <c r="Q110" s="16"/>
      <c r="R110" s="2"/>
      <c r="S110" s="12"/>
      <c r="T110" s="17"/>
      <c r="U110" s="2"/>
      <c r="V110" s="18"/>
      <c r="W110" s="16"/>
    </row>
    <row r="111" spans="2:23" ht="18" x14ac:dyDescent="0.35">
      <c r="B111" s="95"/>
      <c r="C111" s="96"/>
      <c r="D111" s="97"/>
      <c r="E111" s="113"/>
      <c r="F111" s="90"/>
      <c r="G111" s="91"/>
      <c r="H111" s="92"/>
      <c r="I111" s="105"/>
      <c r="J111" s="83"/>
      <c r="K111" s="83"/>
      <c r="L111" s="12"/>
      <c r="M111" s="28"/>
      <c r="N111" s="14"/>
      <c r="O111" s="11"/>
      <c r="P111" s="11"/>
      <c r="Q111" s="16"/>
      <c r="R111" s="2"/>
      <c r="S111" s="12"/>
      <c r="T111" s="17"/>
      <c r="U111" s="2"/>
      <c r="V111" s="18"/>
      <c r="W111" s="16"/>
    </row>
    <row r="112" spans="2:23" ht="18" x14ac:dyDescent="0.35">
      <c r="B112" s="95"/>
      <c r="C112" s="96"/>
      <c r="D112" s="97"/>
      <c r="E112" s="113"/>
      <c r="F112" s="90"/>
      <c r="G112" s="91"/>
      <c r="H112" s="92"/>
      <c r="I112" s="105"/>
      <c r="J112" s="83"/>
      <c r="K112" s="83"/>
      <c r="L112" s="12"/>
      <c r="M112" s="28"/>
      <c r="N112" s="14"/>
      <c r="O112" s="11"/>
      <c r="P112" s="11"/>
      <c r="Q112" s="16"/>
      <c r="R112" s="2"/>
      <c r="S112" s="12"/>
      <c r="T112" s="17"/>
      <c r="U112" s="2"/>
      <c r="V112" s="18"/>
      <c r="W112" s="16"/>
    </row>
    <row r="113" spans="2:23" ht="18" x14ac:dyDescent="0.35">
      <c r="B113" s="95"/>
      <c r="C113" s="96"/>
      <c r="D113" s="97"/>
      <c r="E113" s="113"/>
      <c r="F113" s="90"/>
      <c r="G113" s="91"/>
      <c r="H113" s="92"/>
      <c r="I113" s="105"/>
      <c r="J113" s="83"/>
      <c r="K113" s="83"/>
      <c r="L113" s="12"/>
      <c r="M113" s="28"/>
      <c r="N113" s="14"/>
      <c r="O113" s="11"/>
      <c r="P113" s="11"/>
      <c r="Q113" s="16"/>
      <c r="R113" s="2"/>
      <c r="S113" s="12"/>
      <c r="T113" s="17"/>
      <c r="U113" s="2"/>
      <c r="V113" s="18"/>
      <c r="W113" s="16"/>
    </row>
    <row r="114" spans="2:23" ht="18" x14ac:dyDescent="0.35">
      <c r="B114" s="95"/>
      <c r="C114" s="96"/>
      <c r="D114" s="97"/>
      <c r="E114" s="113"/>
      <c r="F114" s="90"/>
      <c r="G114" s="91"/>
      <c r="H114" s="92"/>
      <c r="I114" s="105"/>
      <c r="J114" s="83"/>
      <c r="K114" s="83"/>
      <c r="L114" s="12"/>
      <c r="M114" s="28"/>
      <c r="N114" s="14"/>
      <c r="O114" s="11"/>
      <c r="P114" s="11"/>
      <c r="Q114" s="16"/>
      <c r="R114" s="2"/>
      <c r="S114" s="12"/>
      <c r="T114" s="17"/>
      <c r="U114" s="2"/>
      <c r="V114" s="18"/>
      <c r="W114" s="16"/>
    </row>
    <row r="115" spans="2:23" ht="18" x14ac:dyDescent="0.35">
      <c r="B115" s="95"/>
      <c r="C115" s="96"/>
      <c r="D115" s="97"/>
      <c r="E115" s="113"/>
      <c r="F115" s="90"/>
      <c r="G115" s="91"/>
      <c r="H115" s="92"/>
      <c r="I115" s="105"/>
      <c r="J115" s="83"/>
      <c r="K115" s="83"/>
      <c r="L115" s="12"/>
      <c r="M115" s="28"/>
      <c r="N115" s="14"/>
      <c r="O115" s="11"/>
      <c r="P115" s="11"/>
      <c r="Q115" s="16"/>
      <c r="R115" s="2"/>
      <c r="S115" s="12"/>
      <c r="T115" s="17"/>
      <c r="U115" s="2"/>
      <c r="V115" s="18"/>
      <c r="W115" s="16"/>
    </row>
    <row r="116" spans="2:23" ht="18" x14ac:dyDescent="0.35">
      <c r="B116" s="95"/>
      <c r="C116" s="96"/>
      <c r="D116" s="97"/>
      <c r="E116" s="113"/>
      <c r="F116" s="90"/>
      <c r="G116" s="91"/>
      <c r="H116" s="92"/>
      <c r="I116" s="105"/>
      <c r="J116" s="83"/>
      <c r="K116" s="83"/>
      <c r="L116" s="12"/>
      <c r="M116" s="28"/>
      <c r="N116" s="14"/>
      <c r="O116" s="11"/>
      <c r="P116" s="11"/>
      <c r="Q116" s="16"/>
      <c r="R116" s="2"/>
      <c r="S116" s="12"/>
      <c r="T116" s="17"/>
      <c r="U116" s="2"/>
      <c r="V116" s="18"/>
      <c r="W116" s="16"/>
    </row>
    <row r="117" spans="2:23" ht="18" x14ac:dyDescent="0.35">
      <c r="B117" s="95"/>
      <c r="C117" s="96"/>
      <c r="D117" s="97"/>
      <c r="E117" s="113"/>
      <c r="F117" s="90"/>
      <c r="G117" s="91"/>
      <c r="H117" s="92"/>
      <c r="I117" s="105"/>
      <c r="J117" s="83"/>
      <c r="K117" s="83"/>
      <c r="L117" s="12"/>
      <c r="M117" s="28"/>
      <c r="N117" s="14"/>
      <c r="O117" s="11"/>
      <c r="P117" s="11"/>
      <c r="Q117" s="16"/>
      <c r="R117" s="2"/>
      <c r="S117" s="12"/>
      <c r="T117" s="17"/>
      <c r="U117" s="2"/>
      <c r="V117" s="18"/>
      <c r="W117" s="16"/>
    </row>
    <row r="118" spans="2:23" ht="18" x14ac:dyDescent="0.35">
      <c r="B118" s="95"/>
      <c r="C118" s="96"/>
      <c r="D118" s="97"/>
      <c r="E118" s="113"/>
      <c r="F118" s="90"/>
      <c r="G118" s="91"/>
      <c r="H118" s="92"/>
      <c r="I118" s="105"/>
      <c r="J118" s="83"/>
      <c r="K118" s="83"/>
      <c r="L118" s="12"/>
      <c r="M118" s="28"/>
      <c r="N118" s="14"/>
      <c r="O118" s="11"/>
      <c r="P118" s="11"/>
      <c r="Q118" s="16"/>
      <c r="R118" s="2"/>
      <c r="S118" s="12"/>
      <c r="T118" s="17"/>
      <c r="U118" s="2"/>
      <c r="V118" s="18"/>
      <c r="W118" s="16"/>
    </row>
    <row r="119" spans="2:23" ht="18" x14ac:dyDescent="0.35">
      <c r="B119" s="95"/>
      <c r="C119" s="96"/>
      <c r="D119" s="97"/>
      <c r="E119" s="113"/>
      <c r="F119" s="90"/>
      <c r="G119" s="91"/>
      <c r="H119" s="92"/>
      <c r="I119" s="105"/>
      <c r="J119" s="83"/>
      <c r="K119" s="83"/>
      <c r="L119" s="12"/>
      <c r="M119" s="28"/>
      <c r="N119" s="14"/>
      <c r="O119" s="11"/>
      <c r="P119" s="11"/>
      <c r="Q119" s="16"/>
      <c r="R119" s="2"/>
      <c r="S119" s="12"/>
      <c r="T119" s="17"/>
      <c r="U119" s="2"/>
      <c r="V119" s="18"/>
      <c r="W119" s="16"/>
    </row>
    <row r="120" spans="2:23" ht="18" x14ac:dyDescent="0.35">
      <c r="B120" s="95"/>
      <c r="C120" s="96"/>
      <c r="D120" s="97"/>
      <c r="E120" s="113"/>
      <c r="F120" s="90"/>
      <c r="G120" s="91"/>
      <c r="H120" s="92"/>
      <c r="I120" s="105"/>
      <c r="J120" s="83"/>
      <c r="K120" s="83"/>
      <c r="L120" s="12"/>
      <c r="M120" s="28"/>
      <c r="N120" s="14"/>
      <c r="O120" s="11"/>
      <c r="P120" s="11"/>
      <c r="Q120" s="16"/>
      <c r="R120" s="2"/>
      <c r="S120" s="12"/>
      <c r="T120" s="17"/>
      <c r="U120" s="2"/>
      <c r="V120" s="18"/>
      <c r="W120" s="16"/>
    </row>
    <row r="121" spans="2:23" ht="18" x14ac:dyDescent="0.35">
      <c r="B121" s="95"/>
      <c r="C121" s="96"/>
      <c r="D121" s="97"/>
      <c r="E121" s="113"/>
      <c r="F121" s="90"/>
      <c r="G121" s="91"/>
      <c r="H121" s="92"/>
      <c r="I121" s="105"/>
      <c r="J121" s="83"/>
      <c r="K121" s="83"/>
      <c r="L121" s="12"/>
      <c r="M121" s="28"/>
      <c r="N121" s="14"/>
      <c r="O121" s="11"/>
      <c r="P121" s="11"/>
      <c r="Q121" s="16"/>
      <c r="R121" s="2"/>
      <c r="S121" s="12"/>
      <c r="T121" s="17"/>
      <c r="U121" s="2"/>
      <c r="V121" s="18"/>
      <c r="W121" s="16"/>
    </row>
    <row r="122" spans="2:23" ht="18" x14ac:dyDescent="0.35">
      <c r="B122" s="95"/>
      <c r="C122" s="96"/>
      <c r="D122" s="97"/>
      <c r="E122" s="113"/>
      <c r="F122" s="99"/>
      <c r="G122" s="100"/>
      <c r="H122" s="101"/>
      <c r="I122" s="105"/>
      <c r="J122" s="83"/>
      <c r="K122" s="83"/>
      <c r="L122" s="12"/>
      <c r="M122" s="28"/>
      <c r="N122" s="14"/>
      <c r="O122" s="11"/>
      <c r="P122" s="11"/>
      <c r="Q122" s="16"/>
      <c r="R122" s="2"/>
      <c r="S122" s="12"/>
      <c r="T122" s="17"/>
      <c r="U122" s="2"/>
      <c r="V122" s="18"/>
      <c r="W122" s="16"/>
    </row>
    <row r="123" spans="2:23" ht="18" x14ac:dyDescent="0.35">
      <c r="B123" s="95"/>
      <c r="C123" s="96"/>
      <c r="D123" s="97"/>
      <c r="E123" s="113"/>
      <c r="F123" s="99"/>
      <c r="G123" s="100"/>
      <c r="H123" s="101"/>
      <c r="I123" s="105"/>
      <c r="J123" s="83"/>
      <c r="K123" s="83"/>
      <c r="L123" s="12"/>
      <c r="M123" s="28"/>
      <c r="N123" s="14"/>
      <c r="O123" s="11"/>
      <c r="P123" s="11"/>
      <c r="Q123" s="16"/>
      <c r="R123" s="2"/>
      <c r="S123" s="12"/>
      <c r="T123" s="17"/>
      <c r="U123" s="2"/>
      <c r="V123" s="18"/>
      <c r="W123" s="16"/>
    </row>
    <row r="124" spans="2:23" ht="18" x14ac:dyDescent="0.35">
      <c r="B124" s="95"/>
      <c r="C124" s="96"/>
      <c r="D124" s="97"/>
      <c r="E124" s="113"/>
      <c r="F124" s="99"/>
      <c r="G124" s="100"/>
      <c r="H124" s="101"/>
      <c r="I124" s="105"/>
      <c r="J124" s="83"/>
      <c r="K124" s="83"/>
      <c r="L124" s="12"/>
      <c r="M124" s="28"/>
      <c r="N124" s="14"/>
      <c r="O124" s="11"/>
      <c r="P124" s="11"/>
      <c r="Q124" s="16"/>
      <c r="R124" s="2"/>
      <c r="S124" s="12"/>
      <c r="T124" s="17"/>
      <c r="U124" s="2"/>
      <c r="V124" s="18"/>
      <c r="W124" s="16"/>
    </row>
    <row r="125" spans="2:23" ht="18" x14ac:dyDescent="0.35">
      <c r="B125" s="95"/>
      <c r="C125" s="96"/>
      <c r="D125" s="97"/>
      <c r="E125" s="113"/>
      <c r="F125" s="99"/>
      <c r="G125" s="100"/>
      <c r="H125" s="101"/>
      <c r="I125" s="105"/>
      <c r="J125" s="83"/>
      <c r="K125" s="83"/>
      <c r="L125" s="12"/>
      <c r="M125" s="28"/>
      <c r="N125" s="14"/>
      <c r="O125" s="11"/>
      <c r="P125" s="11"/>
      <c r="Q125" s="16"/>
      <c r="R125" s="2"/>
      <c r="S125" s="12"/>
      <c r="T125" s="17"/>
      <c r="U125" s="2"/>
      <c r="V125" s="18"/>
      <c r="W125" s="16"/>
    </row>
    <row r="126" spans="2:23" ht="18" x14ac:dyDescent="0.35">
      <c r="B126" s="95"/>
      <c r="C126" s="96"/>
      <c r="D126" s="97"/>
      <c r="E126" s="113"/>
      <c r="F126" s="99"/>
      <c r="G126" s="100"/>
      <c r="H126" s="101"/>
      <c r="I126" s="105"/>
      <c r="J126" s="83"/>
      <c r="K126" s="83"/>
      <c r="L126" s="12"/>
      <c r="M126" s="28"/>
      <c r="N126" s="14"/>
      <c r="O126" s="11"/>
      <c r="P126" s="11"/>
      <c r="Q126" s="16"/>
      <c r="R126" s="2"/>
      <c r="S126" s="12"/>
      <c r="T126" s="17"/>
      <c r="U126" s="2"/>
      <c r="V126" s="18"/>
      <c r="W126" s="16"/>
    </row>
    <row r="127" spans="2:23" ht="18" x14ac:dyDescent="0.35">
      <c r="B127" s="95"/>
      <c r="C127" s="96"/>
      <c r="D127" s="97"/>
      <c r="E127" s="113"/>
      <c r="F127" s="99"/>
      <c r="G127" s="100"/>
      <c r="H127" s="101"/>
      <c r="I127" s="105"/>
      <c r="J127" s="83"/>
      <c r="K127" s="83"/>
      <c r="L127" s="12"/>
      <c r="M127" s="28"/>
      <c r="N127" s="14"/>
      <c r="O127" s="11"/>
      <c r="P127" s="11"/>
      <c r="Q127" s="16"/>
      <c r="R127" s="2"/>
      <c r="S127" s="12"/>
      <c r="T127" s="17"/>
      <c r="U127" s="2"/>
      <c r="V127" s="18"/>
      <c r="W127" s="16"/>
    </row>
    <row r="128" spans="2:23" ht="18" x14ac:dyDescent="0.35">
      <c r="B128" s="95"/>
      <c r="C128" s="96"/>
      <c r="D128" s="97"/>
      <c r="E128" s="113"/>
      <c r="F128" s="99"/>
      <c r="G128" s="100"/>
      <c r="H128" s="101"/>
      <c r="I128" s="105"/>
      <c r="J128" s="83"/>
      <c r="K128" s="83"/>
      <c r="L128" s="12"/>
      <c r="M128" s="28"/>
      <c r="N128" s="14"/>
      <c r="O128" s="11"/>
      <c r="P128" s="11"/>
      <c r="Q128" s="16"/>
      <c r="R128" s="2"/>
      <c r="S128" s="12"/>
      <c r="T128" s="17"/>
      <c r="U128" s="2"/>
      <c r="V128" s="18"/>
      <c r="W128" s="16"/>
    </row>
    <row r="129" spans="1:23" ht="18.600000000000001" thickBot="1" x14ac:dyDescent="0.4">
      <c r="B129" s="114"/>
      <c r="C129" s="115"/>
      <c r="D129" s="116"/>
      <c r="E129" s="113"/>
      <c r="F129" s="117"/>
      <c r="G129" s="118"/>
      <c r="H129" s="119"/>
      <c r="I129" s="105"/>
      <c r="J129" s="83"/>
      <c r="K129" s="83"/>
      <c r="L129" s="30"/>
      <c r="M129" s="31"/>
      <c r="N129" s="32"/>
      <c r="O129" s="29"/>
      <c r="P129" s="29"/>
      <c r="Q129" s="33"/>
      <c r="R129" s="2"/>
      <c r="S129" s="30"/>
      <c r="T129" s="34"/>
      <c r="U129" s="2"/>
      <c r="V129" s="35"/>
      <c r="W129" s="33"/>
    </row>
    <row r="130" spans="1:23" ht="18.600000000000001" thickBot="1" x14ac:dyDescent="0.4">
      <c r="A130" s="120" t="s">
        <v>15</v>
      </c>
      <c r="B130" s="121">
        <f>SUM(B9:B129)</f>
        <v>0</v>
      </c>
      <c r="C130" s="122"/>
      <c r="D130" s="121"/>
      <c r="E130" s="123">
        <f>SUM(E9:E129)</f>
        <v>0</v>
      </c>
      <c r="F130" s="124">
        <f>SUM(F9:F129)</f>
        <v>0</v>
      </c>
      <c r="G130" s="82"/>
      <c r="H130" s="125"/>
      <c r="I130" s="125">
        <f>SUM(I9:I129)</f>
        <v>0</v>
      </c>
      <c r="J130" s="83"/>
      <c r="K130" s="83"/>
      <c r="L130" s="126"/>
      <c r="M130" s="126">
        <f>SUM(M9:M129)</f>
        <v>0</v>
      </c>
      <c r="N130" s="127">
        <f>SUM(N9:N129)</f>
        <v>0</v>
      </c>
      <c r="O130" s="82"/>
      <c r="P130" s="82">
        <f>SUM(P9:P129)</f>
        <v>0</v>
      </c>
      <c r="Q130" s="128">
        <f>SUM(Q9:Q129)</f>
        <v>0</v>
      </c>
      <c r="R130" s="83"/>
      <c r="S130" s="84"/>
      <c r="T130" s="129">
        <f>SUM(T9:T129)</f>
        <v>0</v>
      </c>
      <c r="U130" s="83"/>
      <c r="V130" s="82"/>
      <c r="W130" s="130">
        <f>SUM(W9:W129)</f>
        <v>0</v>
      </c>
    </row>
  </sheetData>
  <mergeCells count="8">
    <mergeCell ref="V5:W5"/>
    <mergeCell ref="Y5:Z5"/>
    <mergeCell ref="E1:G1"/>
    <mergeCell ref="B2:C2"/>
    <mergeCell ref="B3:C3"/>
    <mergeCell ref="B5:I5"/>
    <mergeCell ref="L5:Q5"/>
    <mergeCell ref="S5:T5"/>
  </mergeCell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847A36-DC67-4668-8692-1D89D83A2101}">
  <sheetPr codeName="Sheet8"/>
  <dimension ref="A1:Q29"/>
  <sheetViews>
    <sheetView showZeros="0" zoomScale="98" zoomScaleNormal="98" workbookViewId="0">
      <selection activeCell="C14" sqref="C14"/>
    </sheetView>
  </sheetViews>
  <sheetFormatPr defaultColWidth="8.88671875" defaultRowHeight="14.4" x14ac:dyDescent="0.3"/>
  <cols>
    <col min="1" max="1" width="10.5546875" style="37" customWidth="1"/>
    <col min="2" max="2" width="9.33203125" style="37" customWidth="1"/>
    <col min="3" max="3" width="11.33203125" style="37" customWidth="1"/>
    <col min="4" max="4" width="11.6640625" style="37" customWidth="1"/>
    <col min="5" max="5" width="10.5546875" style="37" customWidth="1"/>
    <col min="6" max="6" width="12.6640625" style="37" customWidth="1"/>
    <col min="7" max="7" width="20.33203125" style="37" customWidth="1"/>
    <col min="8" max="8" width="9.6640625" style="37" customWidth="1"/>
    <col min="9" max="9" width="8.6640625" style="37" customWidth="1"/>
    <col min="10" max="10" width="8.88671875" style="37"/>
    <col min="11" max="11" width="21.88671875" style="37" customWidth="1"/>
    <col min="12" max="12" width="11.109375" style="37" customWidth="1"/>
    <col min="13" max="13" width="10.88671875" style="37" customWidth="1"/>
    <col min="14" max="16384" width="8.88671875" style="37"/>
  </cols>
  <sheetData>
    <row r="1" spans="1:17" x14ac:dyDescent="0.3">
      <c r="A1" s="195"/>
      <c r="B1" s="196"/>
      <c r="C1" s="196"/>
      <c r="D1" s="197"/>
      <c r="E1" s="37" cm="1">
        <f t="array" ref="E1">IF($H$10="NO",_xlfn.SWITCH(C1,'Price List'!$B$5,'Price List'!$C$5,'Price List'!$B$6,'Price List'!$C$6,'Price List'!$B$7,'Price List'!$C$7,'Price List'!$B$8,'Price List'!$C$8,'Price List'!$B$9,'Price List'!$C$9,'Price List'!$B$10,'Price List'!$C$10,'Price List'!$B$11,'Price List'!$C$11,'Price List'!$B$12,'Price List'!$C$12,'Price List'!$B$13,'Price List'!$C$13,'Price List'!$B$14,'Price List'!$C$14,'Price List'!$B$15,'Price List'!$C$15,'Price List'!$B$16,'Price List'!$C$16,'Price List'!$B$17,'Price List'!$C$17,'Price List'!$B$18,'Price List'!$C$18,'Price List'!$B$19,'Price List'!$C$19,'Price List'!$B$20,'Price List'!$C$20,'Price List'!$B$21,'Price List'!$C$21,'Price List'!$B$22,'Price List'!$C$22,'Price List'!$B$23,'Price List'!$C$23,'Price List'!$B$24,'Price List'!$C$24,'Price List'!$B$25,'Price List'!$C$25,'Price List'!$B$26,'Price List'!$C$26,'Price List'!$B$27,'Price List'!$C$27,'Price List'!$B$28,'Price List'!$C$28,'Price List'!$B$29,'Price List'!$C$29,'Price List'!$B$30,'Price List'!$C$30,'Price List'!$B$31,'Price List'!$C$31,'Price List'!$B$32,'Price List'!$C$32,'Price List'!$B$33,'Price List'!$C$33,'Price List'!$B$34,'Price List'!$C$34,'Price List'!$B$35,'Price List'!$C$35,'Price List'!$B$36,'Price List'!$C$36,'Price List'!$B$37,'Price List'!$C$37,'Price List'!$B$38,'Price List'!$C$38,'Price List'!$B$39,'Price List'!$C$39,'Price List'!$B$40,'Price List'!$C$40,'Price List'!$B$41,'Price List'!$C$41,'Price List'!$B$42,'Price List'!$C$42,'Price List'!$B$43,'Price List'!$C$43,'Price List'!$B$44,'Price List'!$C$44,'Price List'!$B$45,'Price List'!$C$45,'Price List'!$B$46,'Price List'!$C$46,'Price List'!$B$47,'Price List'!$C$47,'Price List'!$B$48,'Price List'!$C$48,'Price List'!$B$49,'Price List'!$C$49,'Price List'!$B$50,'Price List'!$C$50,'Price List'!$B$51,'Price List'!$C$51,'Price List'!$B$52,'Price List'!$C$52,'Price List'!$B$53,'Price List'!$C$53,'Price List'!$B$54,'Price List'!$C$54,'Price List'!$B$55,'Price List'!$C$55,'Price List'!$B$56,'Price List'!$C$56,'Price List'!$B$57,'Price List'!$C$57,'Price List'!$B$58,'Price List'!$C$58,'Price List'!$B$59,'Price List'!$C$59,'Price List'!$B$60,'Price List'!$C$60,'Price List'!$B$61,'Price List'!$C$61,'Price List'!$B$62,'Price List'!$C$62,'Price List'!$B$63,'Price List'!$C$63,'Price List'!$B$64,'Price List'!$C$64,'Price List'!$B$65,'Price List'!$C$65,'Price List'!$B$66,'Price List'!$C$66,'Price List'!$B$67,'Price List'!$C$67,'Price List'!$B$68,'Price List'!$C$68,'Price List'!$B$69,'Price List'!$C$69,'Price List'!$B$70,'Price List'!$C$70,'Price List'!$B$71,'Price List'!$C$71,'Price List'!$B$72,'Price List'!$C$72,'Price List'!$B$73,'Price List'!$C$73,'Price List'!$B$74,'Price List'!$C$74,'Price List'!$B$75,'Price List'!$C$75,'Price List'!$B$76,'Price List'!$C$76,0),_xlfn.SWITCH(C1,'Price List'!$B$5,'Price List'!$D$5,'Price List'!$B$6,'Price List'!$D$6,'Price List'!$B$7,'Price List'!$D$7,'Price List'!$B$8,'Price List'!$D$8,'Price List'!$B$9,'Price List'!$D$9,'Price List'!$B$10,'Price List'!$D$10,'Price List'!$B$11,'Price List'!$D$11,'Price List'!$B$12,'Price List'!$D$12,'Price List'!$B$13,'Price List'!$D$13,'Price List'!$B$14,'Price List'!$D$14,'Price List'!$B$15,'Price List'!$D$15,'Price List'!$B$16,'Price List'!$D$16,'Price List'!$B$17,'Price List'!$D$17,'Price List'!$B$18,'Price List'!$D$18,'Price List'!$B$19,'Price List'!$D$19,'Price List'!$B$20,'Price List'!$D$20,'Price List'!$B$21,'Price List'!$D$21,'Price List'!$B$22,'Price List'!$D$22,'Price List'!$B$23,'Price List'!$D$23,'Price List'!$B$24,'Price List'!$D$24,'Price List'!$B$25,'Price List'!$D$25,'Price List'!$B$26,'Price List'!$D$26,'Price List'!$B$27,'Price List'!$D$27,'Price List'!$B$28,'Price List'!$D$28,'Price List'!$B$29,'Price List'!$D$29,'Price List'!$B$30,'Price List'!$D$30,'Price List'!$B$31,'Price List'!$D$31,'Price List'!$B$32,'Price List'!$D$32,'Price List'!$B$33,'Price List'!$D$33,'Price List'!$B$34,'Price List'!$D$34,'Price List'!$B$35,'Price List'!$D$35,'Price List'!$B$36,'Price List'!$D$36,'Price List'!$B$37,'Price List'!$D$37,'Price List'!$B$38,'Price List'!$D$38,'Price List'!$B$39,'Price List'!$D$39,'Price List'!$B$40,'Price List'!$D$40,'Price List'!$B$41,'Price List'!$D$41,'Price List'!$B$42,'Price List'!$D$42,'Price List'!$B$43,'Price List'!$D$43,'Price List'!$B$44,'Price List'!$D$44,'Price List'!$B$45,'Price List'!$D$45,'Price List'!$B$46,'Price List'!$D$46,'Price List'!$B$47,'Price List'!$D$47,'Price List'!$B$48,'Price List'!$D$48,'Price List'!$B$49,'Price List'!$D$49,'Price List'!$B$50,'Price List'!$D$50,'Price List'!$B$51,'Price List'!$D$51,'Price List'!$B$52,'Price List'!$D$52,'Price List'!$B$53,'Price List'!$D$53,'Price List'!$B$54,'Price List'!$D$54,'Price List'!$B$55,'Price List'!$D$55,'Price List'!$B$56,'Price List'!$D$56,'Price List'!$B$57,'Price List'!$D$57,'Price List'!$B$58,'Price List'!$D$58,'Price List'!$B$59,'Price List'!$D$59,'Price List'!$B$60,'Price List'!$D$60,'Price List'!$B$61,'Price List'!$D$61,'Price List'!$B$62,'Price List'!$D$62,'Price List'!$B$63,'Price List'!$D$63,'Price List'!$B$64,'Price List'!$D$64,'Price List'!$B$65,'Price List'!$D$65,'Price List'!$B$66,'Price List'!$D$66,'Price List'!$B$67,'Price List'!$D$67,'Price List'!$B$68,'Price List'!$D$68,'Price List'!$B$69,'Price List'!$D$69,'Price List'!$B$70,'Price List'!$D$70,'Price List'!$B$71,'Price List'!$D$71,'Price List'!$B$72,'Price List'!$D$72,'Price List'!$B$73,'Price List'!$D$73,'Price List'!$B$74,'Price List'!$D$74,'Price List'!$B$75,'Price List'!$D$75,'Price List'!$B$76,'Price List'!$D$76,0))</f>
        <v>0</v>
      </c>
    </row>
    <row r="2" spans="1:17" x14ac:dyDescent="0.3">
      <c r="A2" s="198"/>
      <c r="B2" s="199"/>
      <c r="C2" s="199"/>
      <c r="D2" s="200"/>
      <c r="J2" s="71" t="s">
        <v>75</v>
      </c>
      <c r="K2" s="215">
        <f ca="1">TODAY()</f>
        <v>44183</v>
      </c>
      <c r="L2" s="215"/>
    </row>
    <row r="3" spans="1:17" x14ac:dyDescent="0.3">
      <c r="A3" s="198"/>
      <c r="B3" s="199"/>
      <c r="C3" s="199"/>
      <c r="D3" s="200"/>
    </row>
    <row r="4" spans="1:17" x14ac:dyDescent="0.3">
      <c r="A4" s="198"/>
      <c r="B4" s="199"/>
      <c r="C4" s="199"/>
      <c r="D4" s="200"/>
    </row>
    <row r="5" spans="1:17" ht="15.6" x14ac:dyDescent="0.3">
      <c r="A5" s="198"/>
      <c r="B5" s="199"/>
      <c r="C5" s="199"/>
      <c r="D5" s="200"/>
      <c r="J5" s="133"/>
      <c r="K5" s="219"/>
      <c r="L5" s="220" t="s">
        <v>103</v>
      </c>
      <c r="M5" s="134"/>
      <c r="N5" s="212"/>
      <c r="O5" s="212"/>
      <c r="P5" s="213"/>
      <c r="Q5" s="213"/>
    </row>
    <row r="6" spans="1:17" x14ac:dyDescent="0.3">
      <c r="A6" s="201"/>
      <c r="B6" s="202"/>
      <c r="C6" s="202"/>
      <c r="D6" s="203"/>
      <c r="J6" s="133"/>
      <c r="K6" s="219"/>
      <c r="L6" s="220"/>
      <c r="M6" s="134"/>
    </row>
    <row r="7" spans="1:17" ht="14.4" customHeight="1" x14ac:dyDescent="0.3">
      <c r="A7" s="209"/>
      <c r="B7" s="210"/>
      <c r="C7" s="210"/>
      <c r="D7" s="211"/>
      <c r="J7" s="133"/>
      <c r="K7" s="219"/>
      <c r="L7" s="220"/>
      <c r="M7" s="134"/>
    </row>
    <row r="8" spans="1:17" ht="14.4" customHeight="1" x14ac:dyDescent="0.3">
      <c r="A8" s="198"/>
      <c r="B8" s="199"/>
      <c r="C8" s="199"/>
      <c r="D8" s="200"/>
      <c r="J8" s="133"/>
      <c r="K8" s="133"/>
      <c r="L8" s="134"/>
      <c r="M8" s="134"/>
    </row>
    <row r="9" spans="1:17" ht="14.4" customHeight="1" x14ac:dyDescent="0.3">
      <c r="A9" s="198"/>
      <c r="B9" s="199"/>
      <c r="C9" s="199"/>
      <c r="D9" s="200"/>
    </row>
    <row r="10" spans="1:17" ht="28.2" customHeight="1" x14ac:dyDescent="0.3">
      <c r="A10" s="201"/>
      <c r="B10" s="202"/>
      <c r="C10" s="202"/>
      <c r="D10" s="203"/>
      <c r="F10" s="217"/>
      <c r="G10" s="217"/>
      <c r="H10" s="214" t="s">
        <v>79</v>
      </c>
      <c r="M10" s="218" t="s">
        <v>79</v>
      </c>
    </row>
    <row r="11" spans="1:17" ht="17.399999999999999" customHeight="1" thickBot="1" x14ac:dyDescent="0.4">
      <c r="A11" s="206">
        <f ca="1">TODAY()</f>
        <v>44183</v>
      </c>
      <c r="B11" s="207"/>
      <c r="C11" s="207"/>
      <c r="D11" s="208"/>
      <c r="F11" s="217"/>
      <c r="G11" s="217"/>
      <c r="H11" s="214"/>
      <c r="M11" s="218"/>
    </row>
    <row r="12" spans="1:17" ht="19.2" customHeight="1" thickTop="1" x14ac:dyDescent="0.3">
      <c r="A12" s="135" t="s">
        <v>61</v>
      </c>
      <c r="B12" s="136" t="s">
        <v>62</v>
      </c>
      <c r="C12" s="136" t="s">
        <v>63</v>
      </c>
      <c r="D12" s="137" t="s">
        <v>60</v>
      </c>
    </row>
    <row r="13" spans="1:17" ht="16.95" customHeight="1" x14ac:dyDescent="0.3">
      <c r="A13" s="67"/>
      <c r="B13" s="68"/>
      <c r="C13" s="69"/>
      <c r="D13" s="70"/>
      <c r="F13" s="132"/>
      <c r="G13" s="132"/>
    </row>
    <row r="14" spans="1:17" ht="23.4" x14ac:dyDescent="0.3">
      <c r="A14" s="131" t="s">
        <v>19</v>
      </c>
      <c r="B14" s="138"/>
      <c r="C14" s="139" cm="1">
        <f t="array" ref="C14">IF($H$10="NO",_xlfn.SWITCH(A14,'Price List'!$B$5,'Price List'!$C$5,'Price List'!$B$6,'Price List'!$C$6,'Price List'!$B$7,'Price List'!$C$7,'Price List'!$B$8,'Price List'!$C$8,'Price List'!$B$9,'Price List'!$C$9,'Price List'!$B$10,'Price List'!$C$10,'Price List'!$B$11,'Price List'!$C$11,'Price List'!$B$12,'Price List'!$C$12,'Price List'!$B$13,'Price List'!$C$13,'Price List'!$B$14,'Price List'!$C$14,'Price List'!$B$15,'Price List'!$C$15,'Price List'!$B$16,'Price List'!$C$16,'Price List'!$B$17,'Price List'!$C$17,'Price List'!$B$18,'Price List'!$C$18,'Price List'!$B$19,'Price List'!$C$19,'Price List'!$B$20,'Price List'!$C$20,'Price List'!$B$21,'Price List'!$C$21,'Price List'!$B$22,'Price List'!$C$22,'Price List'!$B$23,'Price List'!$C$23,'Price List'!$B$24,'Price List'!$C$24,'Price List'!$B$25,'Price List'!$C$25,'Price List'!$B$26,'Price List'!$C$26,'Price List'!$B$27,'Price List'!$C$27,'Price List'!$B$28,'Price List'!$C$28,'Price List'!$B$29,'Price List'!$C$29,'Price List'!$B$30,'Price List'!$C$30,'Price List'!$B$31,'Price List'!$C$31,'Price List'!$B$32,'Price List'!$C$32,'Price List'!$B$33,'Price List'!$C$33,'Price List'!$B$34,'Price List'!$C$34,'Price List'!$B$35,'Price List'!$C$35,'Price List'!$B$36,'Price List'!$C$36,'Price List'!$B$37,'Price List'!$C$37,'Price List'!$B$38,'Price List'!$C$38,'Price List'!$B$39,'Price List'!$C$39,'Price List'!$B$40,'Price List'!$C$40,'Price List'!$B$41,'Price List'!$C$41,'Price List'!$B$42,'Price List'!$C$42,'Price List'!$B$43,'Price List'!$C$43,'Price List'!$B$44,'Price List'!$C$44,'Price List'!$B$45,'Price List'!$C$45,'Price List'!$B$46,'Price List'!$C$46,'Price List'!$B$47,'Price List'!$C$47,'Price List'!$B$48,'Price List'!$C$48,'Price List'!$B$49,'Price List'!$C$49,'Price List'!$B$50,'Price List'!$C$50,'Price List'!$B$51,'Price List'!$C$51,'Price List'!$B$52,'Price List'!$C$52,'Price List'!$B$53,'Price List'!$C$53,'Price List'!$B$54,'Price List'!$C$54,'Price List'!$B$55,'Price List'!$C$55,'Price List'!$B$56,'Price List'!$C$56,'Price List'!$B$57,'Price List'!$C$57,'Price List'!$B$58,'Price List'!$C$58,'Price List'!$B$59,'Price List'!$C$59,'Price List'!$B$60,'Price List'!$C$60,'Price List'!$B$61,'Price List'!$C$61,'Price List'!$B$62,'Price List'!$C$62,'Price List'!$B$63,'Price List'!$C$63,'Price List'!$B$64,'Price List'!$C$64,'Price List'!$B$65,'Price List'!$C$65,'Price List'!$B$66,'Price List'!$C$66,'Price List'!$B$67,'Price List'!$C$67,'Price List'!$B$68,'Price List'!$C$68,'Price List'!$B$69,'Price List'!$C$69,'Price List'!$B$70,'Price List'!$C$70,'Price List'!$B$71,'Price List'!$C$71,'Price List'!$B$72,'Price List'!$C$72,'Price List'!$B$73,'Price List'!$C$73,'Price List'!$B$74,'Price List'!$C$74,'Price List'!$B$75,'Price List'!$C$75,'Price List'!$B$76,'Price List'!$C$76,0),_xlfn.SWITCH(A14,'Price List'!$B$5,'Price List'!$D$5,'Price List'!$B$6,'Price List'!$D$6,'Price List'!$B$7,'Price List'!$D$7,'Price List'!$B$8,'Price List'!$D$8,'Price List'!$B$9,'Price List'!$D$9,'Price List'!$B$10,'Price List'!$D$10,'Price List'!$B$11,'Price List'!$D$11,'Price List'!$B$12,'Price List'!$D$12,'Price List'!$B$13,'Price List'!$D$13,'Price List'!$B$14,'Price List'!$D$14,'Price List'!$B$15,'Price List'!$D$15,'Price List'!$B$16,'Price List'!$D$16,'Price List'!$B$17,'Price List'!$D$17,'Price List'!$B$18,'Price List'!$D$18,'Price List'!$B$19,'Price List'!$D$19,'Price List'!$B$20,'Price List'!$D$20,'Price List'!$B$21,'Price List'!$D$21,'Price List'!$B$22,'Price List'!$D$22,'Price List'!$B$23,'Price List'!$D$23,'Price List'!$B$24,'Price List'!$D$24,'Price List'!$B$25,'Price List'!$D$25,'Price List'!$B$26,'Price List'!$D$26,'Price List'!$B$27,'Price List'!$D$27,'Price List'!$B$28,'Price List'!$D$28,'Price List'!$B$29,'Price List'!$D$29,'Price List'!$B$30,'Price List'!$D$30,'Price List'!$B$31,'Price List'!$D$31,'Price List'!$B$32,'Price List'!$D$32,'Price List'!$B$33,'Price List'!$D$33,'Price List'!$B$34,'Price List'!$D$34,'Price List'!$B$35,'Price List'!$D$35,'Price List'!$B$36,'Price List'!$D$36,'Price List'!$B$37,'Price List'!$D$37,'Price List'!$B$38,'Price List'!$D$38,'Price List'!$B$39,'Price List'!$D$39,'Price List'!$B$40,'Price List'!$D$40,'Price List'!$B$41,'Price List'!$D$41,'Price List'!$B$42,'Price List'!$D$42,'Price List'!$B$43,'Price List'!$D$43,'Price List'!$B$44,'Price List'!$D$44,'Price List'!$B$45,'Price List'!$D$45,'Price List'!$B$46,'Price List'!$D$46,'Price List'!$B$47,'Price List'!$D$47,'Price List'!$B$48,'Price List'!$D$48,'Price List'!$B$49,'Price List'!$D$49,'Price List'!$B$50,'Price List'!$D$50,'Price List'!$B$51,'Price List'!$D$51,'Price List'!$B$52,'Price List'!$D$52,'Price List'!$B$53,'Price List'!$D$53,'Price List'!$B$54,'Price List'!$D$54,'Price List'!$B$55,'Price List'!$D$55,'Price List'!$B$56,'Price List'!$D$56,'Price List'!$B$57,'Price List'!$D$57,'Price List'!$B$58,'Price List'!$D$58,'Price List'!$B$59,'Price List'!$D$59,'Price List'!$B$60,'Price List'!$D$60,'Price List'!$B$61,'Price List'!$D$61,'Price List'!$B$62,'Price List'!$D$62,'Price List'!$B$63,'Price List'!$D$63,'Price List'!$B$64,'Price List'!$D$64,'Price List'!$B$65,'Price List'!$D$65,'Price List'!$B$66,'Price List'!$D$66,'Price List'!$B$67,'Price List'!$D$67,'Price List'!$B$68,'Price List'!$D$68,'Price List'!$B$69,'Price List'!$D$69,'Price List'!$B$70,'Price List'!$D$70,'Price List'!$B$71,'Price List'!$D$71,'Price List'!$B$72,'Price List'!$D$72,'Price List'!$B$73,'Price List'!$D$73,'Price List'!$B$74,'Price List'!$D$74,'Price List'!$B$75,'Price List'!$D$75,'Price List'!$B$76,'Price List'!$D$76,0))</f>
        <v>2</v>
      </c>
      <c r="D14" s="140">
        <f>C14*B14</f>
        <v>0</v>
      </c>
      <c r="F14" s="221" t="s">
        <v>109</v>
      </c>
      <c r="G14" s="221"/>
      <c r="H14" s="222">
        <v>13348</v>
      </c>
      <c r="I14" s="222"/>
    </row>
    <row r="15" spans="1:17" ht="23.4" x14ac:dyDescent="0.3">
      <c r="A15" s="131"/>
      <c r="B15" s="141"/>
      <c r="C15" s="142" cm="1">
        <f t="array" ref="C15">IF($H$10="NO",_xlfn.SWITCH(A15,'Price List'!$B$5,'Price List'!$C$5,'Price List'!$B$6,'Price List'!$C$6,'Price List'!$B$7,'Price List'!$C$7,'Price List'!$B$8,'Price List'!$C$8,'Price List'!$B$9,'Price List'!$C$9,'Price List'!$B$10,'Price List'!$C$10,'Price List'!$B$11,'Price List'!$C$11,'Price List'!$B$12,'Price List'!$C$12,'Price List'!$B$13,'Price List'!$C$13,'Price List'!$B$14,'Price List'!$C$14,'Price List'!$B$15,'Price List'!$C$15,'Price List'!$B$16,'Price List'!$C$16,'Price List'!$B$17,'Price List'!$C$17,'Price List'!$B$18,'Price List'!$C$18,'Price List'!$B$19,'Price List'!$C$19,'Price List'!$B$20,'Price List'!$C$20,'Price List'!$B$21,'Price List'!$C$21,'Price List'!$B$22,'Price List'!$C$22,'Price List'!$B$23,'Price List'!$C$23,'Price List'!$B$24,'Price List'!$C$24,'Price List'!$B$25,'Price List'!$C$25,'Price List'!$B$26,'Price List'!$C$26,'Price List'!$B$27,'Price List'!$C$27,'Price List'!$B$28,'Price List'!$C$28,'Price List'!$B$29,'Price List'!$C$29,'Price List'!$B$30,'Price List'!$C$30,'Price List'!$B$31,'Price List'!$C$31,'Price List'!$B$32,'Price List'!$C$32,'Price List'!$B$33,'Price List'!$C$33,'Price List'!$B$34,'Price List'!$C$34,'Price List'!$B$35,'Price List'!$C$35,'Price List'!$B$36,'Price List'!$C$36,'Price List'!$B$37,'Price List'!$C$37,'Price List'!$B$38,'Price List'!$C$38,'Price List'!$B$39,'Price List'!$C$39,'Price List'!$B$40,'Price List'!$C$40,'Price List'!$B$41,'Price List'!$C$41,'Price List'!$B$42,'Price List'!$C$42,'Price List'!$B$43,'Price List'!$C$43,'Price List'!$B$44,'Price List'!$C$44,'Price List'!$B$45,'Price List'!$C$45,'Price List'!$B$46,'Price List'!$C$46,'Price List'!$B$47,'Price List'!$C$47,'Price List'!$B$48,'Price List'!$C$48,'Price List'!$B$49,'Price List'!$C$49,'Price List'!$B$50,'Price List'!$C$50,'Price List'!$B$51,'Price List'!$C$51,'Price List'!$B$52,'Price List'!$C$52,'Price List'!$B$53,'Price List'!$C$53,'Price List'!$B$54,'Price List'!$C$54,'Price List'!$B$55,'Price List'!$C$55,'Price List'!$B$56,'Price List'!$C$56,'Price List'!$B$57,'Price List'!$C$57,'Price List'!$B$58,'Price List'!$C$58,'Price List'!$B$59,'Price List'!$C$59,'Price List'!$B$60,'Price List'!$C$60,'Price List'!$B$61,'Price List'!$C$61,'Price List'!$B$62,'Price List'!$C$62,'Price List'!$B$63,'Price List'!$C$63,'Price List'!$B$64,'Price List'!$C$64,'Price List'!$B$65,'Price List'!$C$65,'Price List'!$B$66,'Price List'!$C$66,'Price List'!$B$67,'Price List'!$C$67,'Price List'!$B$68,'Price List'!$C$68,'Price List'!$B$69,'Price List'!$C$69,'Price List'!$B$70,'Price List'!$C$70,'Price List'!$B$71,'Price List'!$C$71,'Price List'!$B$72,'Price List'!$C$72,'Price List'!$B$73,'Price List'!$C$73,'Price List'!$B$74,'Price List'!$C$74,'Price List'!$B$75,'Price List'!$C$75,'Price List'!$B$76,'Price List'!$C$76,0),_xlfn.SWITCH(A15,'Price List'!$B$5,'Price List'!$D$5,'Price List'!$B$6,'Price List'!$D$6,'Price List'!$B$7,'Price List'!$D$7,'Price List'!$B$8,'Price List'!$D$8,'Price List'!$B$9,'Price List'!$D$9,'Price List'!$B$10,'Price List'!$D$10,'Price List'!$B$11,'Price List'!$D$11,'Price List'!$B$12,'Price List'!$D$12,'Price List'!$B$13,'Price List'!$D$13,'Price List'!$B$14,'Price List'!$D$14,'Price List'!$B$15,'Price List'!$D$15,'Price List'!$B$16,'Price List'!$D$16,'Price List'!$B$17,'Price List'!$D$17,'Price List'!$B$18,'Price List'!$D$18,'Price List'!$B$19,'Price List'!$D$19,'Price List'!$B$20,'Price List'!$D$20,'Price List'!$B$21,'Price List'!$D$21,'Price List'!$B$22,'Price List'!$D$22,'Price List'!$B$23,'Price List'!$D$23,'Price List'!$B$24,'Price List'!$D$24,'Price List'!$B$25,'Price List'!$D$25,'Price List'!$B$26,'Price List'!$D$26,'Price List'!$B$27,'Price List'!$D$27,'Price List'!$B$28,'Price List'!$D$28,'Price List'!$B$29,'Price List'!$D$29,'Price List'!$B$30,'Price List'!$D$30,'Price List'!$B$31,'Price List'!$D$31,'Price List'!$B$32,'Price List'!$D$32,'Price List'!$B$33,'Price List'!$D$33,'Price List'!$B$34,'Price List'!$D$34,'Price List'!$B$35,'Price List'!$D$35,'Price List'!$B$36,'Price List'!$D$36,'Price List'!$B$37,'Price List'!$D$37,'Price List'!$B$38,'Price List'!$D$38,'Price List'!$B$39,'Price List'!$D$39,'Price List'!$B$40,'Price List'!$D$40,'Price List'!$B$41,'Price List'!$D$41,'Price List'!$B$42,'Price List'!$D$42,'Price List'!$B$43,'Price List'!$D$43,'Price List'!$B$44,'Price List'!$D$44,'Price List'!$B$45,'Price List'!$D$45,'Price List'!$B$46,'Price List'!$D$46,'Price List'!$B$47,'Price List'!$D$47,'Price List'!$B$48,'Price List'!$D$48,'Price List'!$B$49,'Price List'!$D$49,'Price List'!$B$50,'Price List'!$D$50,'Price List'!$B$51,'Price List'!$D$51,'Price List'!$B$52,'Price List'!$D$52,'Price List'!$B$53,'Price List'!$D$53,'Price List'!$B$54,'Price List'!$D$54,'Price List'!$B$55,'Price List'!$D$55,'Price List'!$B$56,'Price List'!$D$56,'Price List'!$B$57,'Price List'!$D$57,'Price List'!$B$58,'Price List'!$D$58,'Price List'!$B$59,'Price List'!$D$59,'Price List'!$B$60,'Price List'!$D$60,'Price List'!$B$61,'Price List'!$D$61,'Price List'!$B$62,'Price List'!$D$62,'Price List'!$B$63,'Price List'!$D$63,'Price List'!$B$64,'Price List'!$D$64,'Price List'!$B$65,'Price List'!$D$65,'Price List'!$B$66,'Price List'!$D$66,'Price List'!$B$67,'Price List'!$D$67,'Price List'!$B$68,'Price List'!$D$68,'Price List'!$B$69,'Price List'!$D$69,'Price List'!$B$70,'Price List'!$D$70,'Price List'!$B$71,'Price List'!$D$71,'Price List'!$B$72,'Price List'!$D$72,'Price List'!$B$73,'Price List'!$D$73,'Price List'!$B$74,'Price List'!$D$74,'Price List'!$B$75,'Price List'!$D$75,'Price List'!$B$76,'Price List'!$D$76,0))</f>
        <v>0</v>
      </c>
      <c r="D15" s="143">
        <f t="shared" ref="D15:D23" si="0">C15*B15</f>
        <v>0</v>
      </c>
      <c r="F15" s="132"/>
      <c r="G15" s="132"/>
      <c r="H15" s="55"/>
    </row>
    <row r="16" spans="1:17" ht="23.4" x14ac:dyDescent="0.3">
      <c r="A16" s="131"/>
      <c r="B16" s="141"/>
      <c r="C16" s="142" cm="1">
        <f t="array" ref="C16">IF($H$10="NO",_xlfn.SWITCH(A16,'Price List'!$B$5,'Price List'!$C$5,'Price List'!$B$6,'Price List'!$C$6,'Price List'!$B$7,'Price List'!$C$7,'Price List'!$B$8,'Price List'!$C$8,'Price List'!$B$9,'Price List'!$C$9,'Price List'!$B$10,'Price List'!$C$10,'Price List'!$B$11,'Price List'!$C$11,'Price List'!$B$12,'Price List'!$C$12,'Price List'!$B$13,'Price List'!$C$13,'Price List'!$B$14,'Price List'!$C$14,'Price List'!$B$15,'Price List'!$C$15,'Price List'!$B$16,'Price List'!$C$16,'Price List'!$B$17,'Price List'!$C$17,'Price List'!$B$18,'Price List'!$C$18,'Price List'!$B$19,'Price List'!$C$19,'Price List'!$B$20,'Price List'!$C$20,'Price List'!$B$21,'Price List'!$C$21,'Price List'!$B$22,'Price List'!$C$22,'Price List'!$B$23,'Price List'!$C$23,'Price List'!$B$24,'Price List'!$C$24,'Price List'!$B$25,'Price List'!$C$25,'Price List'!$B$26,'Price List'!$C$26,'Price List'!$B$27,'Price List'!$C$27,'Price List'!$B$28,'Price List'!$C$28,'Price List'!$B$29,'Price List'!$C$29,'Price List'!$B$30,'Price List'!$C$30,'Price List'!$B$31,'Price List'!$C$31,'Price List'!$B$32,'Price List'!$C$32,'Price List'!$B$33,'Price List'!$C$33,'Price List'!$B$34,'Price List'!$C$34,'Price List'!$B$35,'Price List'!$C$35,'Price List'!$B$36,'Price List'!$C$36,'Price List'!$B$37,'Price List'!$C$37,'Price List'!$B$38,'Price List'!$C$38,'Price List'!$B$39,'Price List'!$C$39,'Price List'!$B$40,'Price List'!$C$40,'Price List'!$B$41,'Price List'!$C$41,'Price List'!$B$42,'Price List'!$C$42,'Price List'!$B$43,'Price List'!$C$43,'Price List'!$B$44,'Price List'!$C$44,'Price List'!$B$45,'Price List'!$C$45,'Price List'!$B$46,'Price List'!$C$46,'Price List'!$B$47,'Price List'!$C$47,'Price List'!$B$48,'Price List'!$C$48,'Price List'!$B$49,'Price List'!$C$49,'Price List'!$B$50,'Price List'!$C$50,'Price List'!$B$51,'Price List'!$C$51,'Price List'!$B$52,'Price List'!$C$52,'Price List'!$B$53,'Price List'!$C$53,'Price List'!$B$54,'Price List'!$C$54,'Price List'!$B$55,'Price List'!$C$55,'Price List'!$B$56,'Price List'!$C$56,'Price List'!$B$57,'Price List'!$C$57,'Price List'!$B$58,'Price List'!$C$58,'Price List'!$B$59,'Price List'!$C$59,'Price List'!$B$60,'Price List'!$C$60,'Price List'!$B$61,'Price List'!$C$61,'Price List'!$B$62,'Price List'!$C$62,'Price List'!$B$63,'Price List'!$C$63,'Price List'!$B$64,'Price List'!$C$64,'Price List'!$B$65,'Price List'!$C$65,'Price List'!$B$66,'Price List'!$C$66,'Price List'!$B$67,'Price List'!$C$67,'Price List'!$B$68,'Price List'!$C$68,'Price List'!$B$69,'Price List'!$C$69,'Price List'!$B$70,'Price List'!$C$70,'Price List'!$B$71,'Price List'!$C$71,'Price List'!$B$72,'Price List'!$C$72,'Price List'!$B$73,'Price List'!$C$73,'Price List'!$B$74,'Price List'!$C$74,'Price List'!$B$75,'Price List'!$C$75,'Price List'!$B$76,'Price List'!$C$76,0),_xlfn.SWITCH(A16,'Price List'!$B$5,'Price List'!$D$5,'Price List'!$B$6,'Price List'!$D$6,'Price List'!$B$7,'Price List'!$D$7,'Price List'!$B$8,'Price List'!$D$8,'Price List'!$B$9,'Price List'!$D$9,'Price List'!$B$10,'Price List'!$D$10,'Price List'!$B$11,'Price List'!$D$11,'Price List'!$B$12,'Price List'!$D$12,'Price List'!$B$13,'Price List'!$D$13,'Price List'!$B$14,'Price List'!$D$14,'Price List'!$B$15,'Price List'!$D$15,'Price List'!$B$16,'Price List'!$D$16,'Price List'!$B$17,'Price List'!$D$17,'Price List'!$B$18,'Price List'!$D$18,'Price List'!$B$19,'Price List'!$D$19,'Price List'!$B$20,'Price List'!$D$20,'Price List'!$B$21,'Price List'!$D$21,'Price List'!$B$22,'Price List'!$D$22,'Price List'!$B$23,'Price List'!$D$23,'Price List'!$B$24,'Price List'!$D$24,'Price List'!$B$25,'Price List'!$D$25,'Price List'!$B$26,'Price List'!$D$26,'Price List'!$B$27,'Price List'!$D$27,'Price List'!$B$28,'Price List'!$D$28,'Price List'!$B$29,'Price List'!$D$29,'Price List'!$B$30,'Price List'!$D$30,'Price List'!$B$31,'Price List'!$D$31,'Price List'!$B$32,'Price List'!$D$32,'Price List'!$B$33,'Price List'!$D$33,'Price List'!$B$34,'Price List'!$D$34,'Price List'!$B$35,'Price List'!$D$35,'Price List'!$B$36,'Price List'!$D$36,'Price List'!$B$37,'Price List'!$D$37,'Price List'!$B$38,'Price List'!$D$38,'Price List'!$B$39,'Price List'!$D$39,'Price List'!$B$40,'Price List'!$D$40,'Price List'!$B$41,'Price List'!$D$41,'Price List'!$B$42,'Price List'!$D$42,'Price List'!$B$43,'Price List'!$D$43,'Price List'!$B$44,'Price List'!$D$44,'Price List'!$B$45,'Price List'!$D$45,'Price List'!$B$46,'Price List'!$D$46,'Price List'!$B$47,'Price List'!$D$47,'Price List'!$B$48,'Price List'!$D$48,'Price List'!$B$49,'Price List'!$D$49,'Price List'!$B$50,'Price List'!$D$50,'Price List'!$B$51,'Price List'!$D$51,'Price List'!$B$52,'Price List'!$D$52,'Price List'!$B$53,'Price List'!$D$53,'Price List'!$B$54,'Price List'!$D$54,'Price List'!$B$55,'Price List'!$D$55,'Price List'!$B$56,'Price List'!$D$56,'Price List'!$B$57,'Price List'!$D$57,'Price List'!$B$58,'Price List'!$D$58,'Price List'!$B$59,'Price List'!$D$59,'Price List'!$B$60,'Price List'!$D$60,'Price List'!$B$61,'Price List'!$D$61,'Price List'!$B$62,'Price List'!$D$62,'Price List'!$B$63,'Price List'!$D$63,'Price List'!$B$64,'Price List'!$D$64,'Price List'!$B$65,'Price List'!$D$65,'Price List'!$B$66,'Price List'!$D$66,'Price List'!$B$67,'Price List'!$D$67,'Price List'!$B$68,'Price List'!$D$68,'Price List'!$B$69,'Price List'!$D$69,'Price List'!$B$70,'Price List'!$D$70,'Price List'!$B$71,'Price List'!$D$71,'Price List'!$B$72,'Price List'!$D$72,'Price List'!$B$73,'Price List'!$D$73,'Price List'!$B$74,'Price List'!$D$74,'Price List'!$B$75,'Price List'!$D$75,'Price List'!$B$76,'Price List'!$D$76,0))</f>
        <v>0</v>
      </c>
      <c r="D16" s="143">
        <f t="shared" si="0"/>
        <v>0</v>
      </c>
    </row>
    <row r="17" spans="1:4" ht="23.4" x14ac:dyDescent="0.3">
      <c r="A17" s="131"/>
      <c r="B17" s="141"/>
      <c r="C17" s="142" cm="1">
        <f t="array" ref="C17">IF($H$10="NO",_xlfn.SWITCH(A17,'Price List'!$B$5,'Price List'!$C$5,'Price List'!$B$6,'Price List'!$C$6,'Price List'!$B$7,'Price List'!$C$7,'Price List'!$B$8,'Price List'!$C$8,'Price List'!$B$9,'Price List'!$C$9,'Price List'!$B$10,'Price List'!$C$10,'Price List'!$B$11,'Price List'!$C$11,'Price List'!$B$12,'Price List'!$C$12,'Price List'!$B$13,'Price List'!$C$13,'Price List'!$B$14,'Price List'!$C$14,'Price List'!$B$15,'Price List'!$C$15,'Price List'!$B$16,'Price List'!$C$16,'Price List'!$B$17,'Price List'!$C$17,'Price List'!$B$18,'Price List'!$C$18,'Price List'!$B$19,'Price List'!$C$19,'Price List'!$B$20,'Price List'!$C$20,'Price List'!$B$21,'Price List'!$C$21,'Price List'!$B$22,'Price List'!$C$22,'Price List'!$B$23,'Price List'!$C$23,'Price List'!$B$24,'Price List'!$C$24,'Price List'!$B$25,'Price List'!$C$25,'Price List'!$B$26,'Price List'!$C$26,'Price List'!$B$27,'Price List'!$C$27,'Price List'!$B$28,'Price List'!$C$28,'Price List'!$B$29,'Price List'!$C$29,'Price List'!$B$30,'Price List'!$C$30,'Price List'!$B$31,'Price List'!$C$31,'Price List'!$B$32,'Price List'!$C$32,'Price List'!$B$33,'Price List'!$C$33,'Price List'!$B$34,'Price List'!$C$34,'Price List'!$B$35,'Price List'!$C$35,'Price List'!$B$36,'Price List'!$C$36,'Price List'!$B$37,'Price List'!$C$37,'Price List'!$B$38,'Price List'!$C$38,'Price List'!$B$39,'Price List'!$C$39,'Price List'!$B$40,'Price List'!$C$40,'Price List'!$B$41,'Price List'!$C$41,'Price List'!$B$42,'Price List'!$C$42,'Price List'!$B$43,'Price List'!$C$43,'Price List'!$B$44,'Price List'!$C$44,'Price List'!$B$45,'Price List'!$C$45,'Price List'!$B$46,'Price List'!$C$46,'Price List'!$B$47,'Price List'!$C$47,'Price List'!$B$48,'Price List'!$C$48,'Price List'!$B$49,'Price List'!$C$49,'Price List'!$B$50,'Price List'!$C$50,'Price List'!$B$51,'Price List'!$C$51,'Price List'!$B$52,'Price List'!$C$52,'Price List'!$B$53,'Price List'!$C$53,'Price List'!$B$54,'Price List'!$C$54,'Price List'!$B$55,'Price List'!$C$55,'Price List'!$B$56,'Price List'!$C$56,'Price List'!$B$57,'Price List'!$C$57,'Price List'!$B$58,'Price List'!$C$58,'Price List'!$B$59,'Price List'!$C$59,'Price List'!$B$60,'Price List'!$C$60,'Price List'!$B$61,'Price List'!$C$61,'Price List'!$B$62,'Price List'!$C$62,'Price List'!$B$63,'Price List'!$C$63,'Price List'!$B$64,'Price List'!$C$64,'Price List'!$B$65,'Price List'!$C$65,'Price List'!$B$66,'Price List'!$C$66,'Price List'!$B$67,'Price List'!$C$67,'Price List'!$B$68,'Price List'!$C$68,'Price List'!$B$69,'Price List'!$C$69,'Price List'!$B$70,'Price List'!$C$70,'Price List'!$B$71,'Price List'!$C$71,'Price List'!$B$72,'Price List'!$C$72,'Price List'!$B$73,'Price List'!$C$73,'Price List'!$B$74,'Price List'!$C$74,'Price List'!$B$75,'Price List'!$C$75,'Price List'!$B$76,'Price List'!$C$76,0),_xlfn.SWITCH(A17,'Price List'!$B$5,'Price List'!$D$5,'Price List'!$B$6,'Price List'!$D$6,'Price List'!$B$7,'Price List'!$D$7,'Price List'!$B$8,'Price List'!$D$8,'Price List'!$B$9,'Price List'!$D$9,'Price List'!$B$10,'Price List'!$D$10,'Price List'!$B$11,'Price List'!$D$11,'Price List'!$B$12,'Price List'!$D$12,'Price List'!$B$13,'Price List'!$D$13,'Price List'!$B$14,'Price List'!$D$14,'Price List'!$B$15,'Price List'!$D$15,'Price List'!$B$16,'Price List'!$D$16,'Price List'!$B$17,'Price List'!$D$17,'Price List'!$B$18,'Price List'!$D$18,'Price List'!$B$19,'Price List'!$D$19,'Price List'!$B$20,'Price List'!$D$20,'Price List'!$B$21,'Price List'!$D$21,'Price List'!$B$22,'Price List'!$D$22,'Price List'!$B$23,'Price List'!$D$23,'Price List'!$B$24,'Price List'!$D$24,'Price List'!$B$25,'Price List'!$D$25,'Price List'!$B$26,'Price List'!$D$26,'Price List'!$B$27,'Price List'!$D$27,'Price List'!$B$28,'Price List'!$D$28,'Price List'!$B$29,'Price List'!$D$29,'Price List'!$B$30,'Price List'!$D$30,'Price List'!$B$31,'Price List'!$D$31,'Price List'!$B$32,'Price List'!$D$32,'Price List'!$B$33,'Price List'!$D$33,'Price List'!$B$34,'Price List'!$D$34,'Price List'!$B$35,'Price List'!$D$35,'Price List'!$B$36,'Price List'!$D$36,'Price List'!$B$37,'Price List'!$D$37,'Price List'!$B$38,'Price List'!$D$38,'Price List'!$B$39,'Price List'!$D$39,'Price List'!$B$40,'Price List'!$D$40,'Price List'!$B$41,'Price List'!$D$41,'Price List'!$B$42,'Price List'!$D$42,'Price List'!$B$43,'Price List'!$D$43,'Price List'!$B$44,'Price List'!$D$44,'Price List'!$B$45,'Price List'!$D$45,'Price List'!$B$46,'Price List'!$D$46,'Price List'!$B$47,'Price List'!$D$47,'Price List'!$B$48,'Price List'!$D$48,'Price List'!$B$49,'Price List'!$D$49,'Price List'!$B$50,'Price List'!$D$50,'Price List'!$B$51,'Price List'!$D$51,'Price List'!$B$52,'Price List'!$D$52,'Price List'!$B$53,'Price List'!$D$53,'Price List'!$B$54,'Price List'!$D$54,'Price List'!$B$55,'Price List'!$D$55,'Price List'!$B$56,'Price List'!$D$56,'Price List'!$B$57,'Price List'!$D$57,'Price List'!$B$58,'Price List'!$D$58,'Price List'!$B$59,'Price List'!$D$59,'Price List'!$B$60,'Price List'!$D$60,'Price List'!$B$61,'Price List'!$D$61,'Price List'!$B$62,'Price List'!$D$62,'Price List'!$B$63,'Price List'!$D$63,'Price List'!$B$64,'Price List'!$D$64,'Price List'!$B$65,'Price List'!$D$65,'Price List'!$B$66,'Price List'!$D$66,'Price List'!$B$67,'Price List'!$D$67,'Price List'!$B$68,'Price List'!$D$68,'Price List'!$B$69,'Price List'!$D$69,'Price List'!$B$70,'Price List'!$D$70,'Price List'!$B$71,'Price List'!$D$71,'Price List'!$B$72,'Price List'!$D$72,'Price List'!$B$73,'Price List'!$D$73,'Price List'!$B$74,'Price List'!$D$74,'Price List'!$B$75,'Price List'!$D$75,'Price List'!$B$76,'Price List'!$D$76,0))</f>
        <v>0</v>
      </c>
      <c r="D17" s="143">
        <f t="shared" si="0"/>
        <v>0</v>
      </c>
    </row>
    <row r="18" spans="1:4" ht="23.4" x14ac:dyDescent="0.3">
      <c r="A18" s="131"/>
      <c r="B18" s="141"/>
      <c r="C18" s="142" cm="1">
        <f t="array" ref="C18">IF($H$10="NO",_xlfn.SWITCH(A18,'Price List'!$B$5,'Price List'!$C$5,'Price List'!$B$6,'Price List'!$C$6,'Price List'!$B$7,'Price List'!$C$7,'Price List'!$B$8,'Price List'!$C$8,'Price List'!$B$9,'Price List'!$C$9,'Price List'!$B$10,'Price List'!$C$10,'Price List'!$B$11,'Price List'!$C$11,'Price List'!$B$12,'Price List'!$C$12,'Price List'!$B$13,'Price List'!$C$13,'Price List'!$B$14,'Price List'!$C$14,'Price List'!$B$15,'Price List'!$C$15,'Price List'!$B$16,'Price List'!$C$16,'Price List'!$B$17,'Price List'!$C$17,'Price List'!$B$18,'Price List'!$C$18,'Price List'!$B$19,'Price List'!$C$19,'Price List'!$B$20,'Price List'!$C$20,'Price List'!$B$21,'Price List'!$C$21,'Price List'!$B$22,'Price List'!$C$22,'Price List'!$B$23,'Price List'!$C$23,'Price List'!$B$24,'Price List'!$C$24,'Price List'!$B$25,'Price List'!$C$25,'Price List'!$B$26,'Price List'!$C$26,'Price List'!$B$27,'Price List'!$C$27,'Price List'!$B$28,'Price List'!$C$28,'Price List'!$B$29,'Price List'!$C$29,'Price List'!$B$30,'Price List'!$C$30,'Price List'!$B$31,'Price List'!$C$31,'Price List'!$B$32,'Price List'!$C$32,'Price List'!$B$33,'Price List'!$C$33,'Price List'!$B$34,'Price List'!$C$34,'Price List'!$B$35,'Price List'!$C$35,'Price List'!$B$36,'Price List'!$C$36,'Price List'!$B$37,'Price List'!$C$37,'Price List'!$B$38,'Price List'!$C$38,'Price List'!$B$39,'Price List'!$C$39,'Price List'!$B$40,'Price List'!$C$40,'Price List'!$B$41,'Price List'!$C$41,'Price List'!$B$42,'Price List'!$C$42,'Price List'!$B$43,'Price List'!$C$43,'Price List'!$B$44,'Price List'!$C$44,'Price List'!$B$45,'Price List'!$C$45,'Price List'!$B$46,'Price List'!$C$46,'Price List'!$B$47,'Price List'!$C$47,'Price List'!$B$48,'Price List'!$C$48,'Price List'!$B$49,'Price List'!$C$49,'Price List'!$B$50,'Price List'!$C$50,'Price List'!$B$51,'Price List'!$C$51,'Price List'!$B$52,'Price List'!$C$52,'Price List'!$B$53,'Price List'!$C$53,'Price List'!$B$54,'Price List'!$C$54,'Price List'!$B$55,'Price List'!$C$55,'Price List'!$B$56,'Price List'!$C$56,'Price List'!$B$57,'Price List'!$C$57,'Price List'!$B$58,'Price List'!$C$58,'Price List'!$B$59,'Price List'!$C$59,'Price List'!$B$60,'Price List'!$C$60,'Price List'!$B$61,'Price List'!$C$61,'Price List'!$B$62,'Price List'!$C$62,'Price List'!$B$63,'Price List'!$C$63,'Price List'!$B$64,'Price List'!$C$64,'Price List'!$B$65,'Price List'!$C$65,'Price List'!$B$66,'Price List'!$C$66,'Price List'!$B$67,'Price List'!$C$67,'Price List'!$B$68,'Price List'!$C$68,'Price List'!$B$69,'Price List'!$C$69,'Price List'!$B$70,'Price List'!$C$70,'Price List'!$B$71,'Price List'!$C$71,'Price List'!$B$72,'Price List'!$C$72,'Price List'!$B$73,'Price List'!$C$73,'Price List'!$B$74,'Price List'!$C$74,'Price List'!$B$75,'Price List'!$C$75,'Price List'!$B$76,'Price List'!$C$76,0),_xlfn.SWITCH(A18,'Price List'!$B$5,'Price List'!$D$5,'Price List'!$B$6,'Price List'!$D$6,'Price List'!$B$7,'Price List'!$D$7,'Price List'!$B$8,'Price List'!$D$8,'Price List'!$B$9,'Price List'!$D$9,'Price List'!$B$10,'Price List'!$D$10,'Price List'!$B$11,'Price List'!$D$11,'Price List'!$B$12,'Price List'!$D$12,'Price List'!$B$13,'Price List'!$D$13,'Price List'!$B$14,'Price List'!$D$14,'Price List'!$B$15,'Price List'!$D$15,'Price List'!$B$16,'Price List'!$D$16,'Price List'!$B$17,'Price List'!$D$17,'Price List'!$B$18,'Price List'!$D$18,'Price List'!$B$19,'Price List'!$D$19,'Price List'!$B$20,'Price List'!$D$20,'Price List'!$B$21,'Price List'!$D$21,'Price List'!$B$22,'Price List'!$D$22,'Price List'!$B$23,'Price List'!$D$23,'Price List'!$B$24,'Price List'!$D$24,'Price List'!$B$25,'Price List'!$D$25,'Price List'!$B$26,'Price List'!$D$26,'Price List'!$B$27,'Price List'!$D$27,'Price List'!$B$28,'Price List'!$D$28,'Price List'!$B$29,'Price List'!$D$29,'Price List'!$B$30,'Price List'!$D$30,'Price List'!$B$31,'Price List'!$D$31,'Price List'!$B$32,'Price List'!$D$32,'Price List'!$B$33,'Price List'!$D$33,'Price List'!$B$34,'Price List'!$D$34,'Price List'!$B$35,'Price List'!$D$35,'Price List'!$B$36,'Price List'!$D$36,'Price List'!$B$37,'Price List'!$D$37,'Price List'!$B$38,'Price List'!$D$38,'Price List'!$B$39,'Price List'!$D$39,'Price List'!$B$40,'Price List'!$D$40,'Price List'!$B$41,'Price List'!$D$41,'Price List'!$B$42,'Price List'!$D$42,'Price List'!$B$43,'Price List'!$D$43,'Price List'!$B$44,'Price List'!$D$44,'Price List'!$B$45,'Price List'!$D$45,'Price List'!$B$46,'Price List'!$D$46,'Price List'!$B$47,'Price List'!$D$47,'Price List'!$B$48,'Price List'!$D$48,'Price List'!$B$49,'Price List'!$D$49,'Price List'!$B$50,'Price List'!$D$50,'Price List'!$B$51,'Price List'!$D$51,'Price List'!$B$52,'Price List'!$D$52,'Price List'!$B$53,'Price List'!$D$53,'Price List'!$B$54,'Price List'!$D$54,'Price List'!$B$55,'Price List'!$D$55,'Price List'!$B$56,'Price List'!$D$56,'Price List'!$B$57,'Price List'!$D$57,'Price List'!$B$58,'Price List'!$D$58,'Price List'!$B$59,'Price List'!$D$59,'Price List'!$B$60,'Price List'!$D$60,'Price List'!$B$61,'Price List'!$D$61,'Price List'!$B$62,'Price List'!$D$62,'Price List'!$B$63,'Price List'!$D$63,'Price List'!$B$64,'Price List'!$D$64,'Price List'!$B$65,'Price List'!$D$65,'Price List'!$B$66,'Price List'!$D$66,'Price List'!$B$67,'Price List'!$D$67,'Price List'!$B$68,'Price List'!$D$68,'Price List'!$B$69,'Price List'!$D$69,'Price List'!$B$70,'Price List'!$D$70,'Price List'!$B$71,'Price List'!$D$71,'Price List'!$B$72,'Price List'!$D$72,'Price List'!$B$73,'Price List'!$D$73,'Price List'!$B$74,'Price List'!$D$74,'Price List'!$B$75,'Price List'!$D$75,'Price List'!$B$76,'Price List'!$D$76,0))</f>
        <v>0</v>
      </c>
      <c r="D18" s="143">
        <f t="shared" si="0"/>
        <v>0</v>
      </c>
    </row>
    <row r="19" spans="1:4" ht="23.4" x14ac:dyDescent="0.3">
      <c r="A19" s="131"/>
      <c r="B19" s="141"/>
      <c r="C19" s="142" cm="1">
        <f t="array" ref="C19">IF($H$10="NO",_xlfn.SWITCH(A19,'Price List'!$B$5,'Price List'!$C$5,'Price List'!$B$6,'Price List'!$C$6,'Price List'!$B$7,'Price List'!$C$7,'Price List'!$B$8,'Price List'!$C$8,'Price List'!$B$9,'Price List'!$C$9,'Price List'!$B$10,'Price List'!$C$10,'Price List'!$B$11,'Price List'!$C$11,'Price List'!$B$12,'Price List'!$C$12,'Price List'!$B$13,'Price List'!$C$13,'Price List'!$B$14,'Price List'!$C$14,'Price List'!$B$15,'Price List'!$C$15,'Price List'!$B$16,'Price List'!$C$16,'Price List'!$B$17,'Price List'!$C$17,'Price List'!$B$18,'Price List'!$C$18,'Price List'!$B$19,'Price List'!$C$19,'Price List'!$B$20,'Price List'!$C$20,'Price List'!$B$21,'Price List'!$C$21,'Price List'!$B$22,'Price List'!$C$22,'Price List'!$B$23,'Price List'!$C$23,'Price List'!$B$24,'Price List'!$C$24,'Price List'!$B$25,'Price List'!$C$25,'Price List'!$B$26,'Price List'!$C$26,'Price List'!$B$27,'Price List'!$C$27,'Price List'!$B$28,'Price List'!$C$28,'Price List'!$B$29,'Price List'!$C$29,'Price List'!$B$30,'Price List'!$C$30,'Price List'!$B$31,'Price List'!$C$31,'Price List'!$B$32,'Price List'!$C$32,'Price List'!$B$33,'Price List'!$C$33,'Price List'!$B$34,'Price List'!$C$34,'Price List'!$B$35,'Price List'!$C$35,'Price List'!$B$36,'Price List'!$C$36,'Price List'!$B$37,'Price List'!$C$37,'Price List'!$B$38,'Price List'!$C$38,'Price List'!$B$39,'Price List'!$C$39,'Price List'!$B$40,'Price List'!$C$40,'Price List'!$B$41,'Price List'!$C$41,'Price List'!$B$42,'Price List'!$C$42,'Price List'!$B$43,'Price List'!$C$43,'Price List'!$B$44,'Price List'!$C$44,'Price List'!$B$45,'Price List'!$C$45,'Price List'!$B$46,'Price List'!$C$46,'Price List'!$B$47,'Price List'!$C$47,'Price List'!$B$48,'Price List'!$C$48,'Price List'!$B$49,'Price List'!$C$49,'Price List'!$B$50,'Price List'!$C$50,'Price List'!$B$51,'Price List'!$C$51,'Price List'!$B$52,'Price List'!$C$52,'Price List'!$B$53,'Price List'!$C$53,'Price List'!$B$54,'Price List'!$C$54,'Price List'!$B$55,'Price List'!$C$55,'Price List'!$B$56,'Price List'!$C$56,'Price List'!$B$57,'Price List'!$C$57,'Price List'!$B$58,'Price List'!$C$58,'Price List'!$B$59,'Price List'!$C$59,'Price List'!$B$60,'Price List'!$C$60,'Price List'!$B$61,'Price List'!$C$61,'Price List'!$B$62,'Price List'!$C$62,'Price List'!$B$63,'Price List'!$C$63,'Price List'!$B$64,'Price List'!$C$64,'Price List'!$B$65,'Price List'!$C$65,'Price List'!$B$66,'Price List'!$C$66,'Price List'!$B$67,'Price List'!$C$67,'Price List'!$B$68,'Price List'!$C$68,'Price List'!$B$69,'Price List'!$C$69,'Price List'!$B$70,'Price List'!$C$70,'Price List'!$B$71,'Price List'!$C$71,'Price List'!$B$72,'Price List'!$C$72,'Price List'!$B$73,'Price List'!$C$73,'Price List'!$B$74,'Price List'!$C$74,'Price List'!$B$75,'Price List'!$C$75,'Price List'!$B$76,'Price List'!$C$76,0),_xlfn.SWITCH(A19,'Price List'!$B$5,'Price List'!$D$5,'Price List'!$B$6,'Price List'!$D$6,'Price List'!$B$7,'Price List'!$D$7,'Price List'!$B$8,'Price List'!$D$8,'Price List'!$B$9,'Price List'!$D$9,'Price List'!$B$10,'Price List'!$D$10,'Price List'!$B$11,'Price List'!$D$11,'Price List'!$B$12,'Price List'!$D$12,'Price List'!$B$13,'Price List'!$D$13,'Price List'!$B$14,'Price List'!$D$14,'Price List'!$B$15,'Price List'!$D$15,'Price List'!$B$16,'Price List'!$D$16,'Price List'!$B$17,'Price List'!$D$17,'Price List'!$B$18,'Price List'!$D$18,'Price List'!$B$19,'Price List'!$D$19,'Price List'!$B$20,'Price List'!$D$20,'Price List'!$B$21,'Price List'!$D$21,'Price List'!$B$22,'Price List'!$D$22,'Price List'!$B$23,'Price List'!$D$23,'Price List'!$B$24,'Price List'!$D$24,'Price List'!$B$25,'Price List'!$D$25,'Price List'!$B$26,'Price List'!$D$26,'Price List'!$B$27,'Price List'!$D$27,'Price List'!$B$28,'Price List'!$D$28,'Price List'!$B$29,'Price List'!$D$29,'Price List'!$B$30,'Price List'!$D$30,'Price List'!$B$31,'Price List'!$D$31,'Price List'!$B$32,'Price List'!$D$32,'Price List'!$B$33,'Price List'!$D$33,'Price List'!$B$34,'Price List'!$D$34,'Price List'!$B$35,'Price List'!$D$35,'Price List'!$B$36,'Price List'!$D$36,'Price List'!$B$37,'Price List'!$D$37,'Price List'!$B$38,'Price List'!$D$38,'Price List'!$B$39,'Price List'!$D$39,'Price List'!$B$40,'Price List'!$D$40,'Price List'!$B$41,'Price List'!$D$41,'Price List'!$B$42,'Price List'!$D$42,'Price List'!$B$43,'Price List'!$D$43,'Price List'!$B$44,'Price List'!$D$44,'Price List'!$B$45,'Price List'!$D$45,'Price List'!$B$46,'Price List'!$D$46,'Price List'!$B$47,'Price List'!$D$47,'Price List'!$B$48,'Price List'!$D$48,'Price List'!$B$49,'Price List'!$D$49,'Price List'!$B$50,'Price List'!$D$50,'Price List'!$B$51,'Price List'!$D$51,'Price List'!$B$52,'Price List'!$D$52,'Price List'!$B$53,'Price List'!$D$53,'Price List'!$B$54,'Price List'!$D$54,'Price List'!$B$55,'Price List'!$D$55,'Price List'!$B$56,'Price List'!$D$56,'Price List'!$B$57,'Price List'!$D$57,'Price List'!$B$58,'Price List'!$D$58,'Price List'!$B$59,'Price List'!$D$59,'Price List'!$B$60,'Price List'!$D$60,'Price List'!$B$61,'Price List'!$D$61,'Price List'!$B$62,'Price List'!$D$62,'Price List'!$B$63,'Price List'!$D$63,'Price List'!$B$64,'Price List'!$D$64,'Price List'!$B$65,'Price List'!$D$65,'Price List'!$B$66,'Price List'!$D$66,'Price List'!$B$67,'Price List'!$D$67,'Price List'!$B$68,'Price List'!$D$68,'Price List'!$B$69,'Price List'!$D$69,'Price List'!$B$70,'Price List'!$D$70,'Price List'!$B$71,'Price List'!$D$71,'Price List'!$B$72,'Price List'!$D$72,'Price List'!$B$73,'Price List'!$D$73,'Price List'!$B$74,'Price List'!$D$74,'Price List'!$B$75,'Price List'!$D$75,'Price List'!$B$76,'Price List'!$D$76,0))</f>
        <v>0</v>
      </c>
      <c r="D19" s="143">
        <f t="shared" si="0"/>
        <v>0</v>
      </c>
    </row>
    <row r="20" spans="1:4" ht="23.4" x14ac:dyDescent="0.3">
      <c r="A20" s="131"/>
      <c r="B20" s="141"/>
      <c r="C20" s="142" cm="1">
        <f t="array" ref="C20">IF($H$10="NO",_xlfn.SWITCH(A20,'Price List'!$B$5,'Price List'!$C$5,'Price List'!$B$6,'Price List'!$C$6,'Price List'!$B$7,'Price List'!$C$7,'Price List'!$B$8,'Price List'!$C$8,'Price List'!$B$9,'Price List'!$C$9,'Price List'!$B$10,'Price List'!$C$10,'Price List'!$B$11,'Price List'!$C$11,'Price List'!$B$12,'Price List'!$C$12,'Price List'!$B$13,'Price List'!$C$13,'Price List'!$B$14,'Price List'!$C$14,'Price List'!$B$15,'Price List'!$C$15,'Price List'!$B$16,'Price List'!$C$16,'Price List'!$B$17,'Price List'!$C$17,'Price List'!$B$18,'Price List'!$C$18,'Price List'!$B$19,'Price List'!$C$19,'Price List'!$B$20,'Price List'!$C$20,'Price List'!$B$21,'Price List'!$C$21,'Price List'!$B$22,'Price List'!$C$22,'Price List'!$B$23,'Price List'!$C$23,'Price List'!$B$24,'Price List'!$C$24,'Price List'!$B$25,'Price List'!$C$25,'Price List'!$B$26,'Price List'!$C$26,'Price List'!$B$27,'Price List'!$C$27,'Price List'!$B$28,'Price List'!$C$28,'Price List'!$B$29,'Price List'!$C$29,'Price List'!$B$30,'Price List'!$C$30,'Price List'!$B$31,'Price List'!$C$31,'Price List'!$B$32,'Price List'!$C$32,'Price List'!$B$33,'Price List'!$C$33,'Price List'!$B$34,'Price List'!$C$34,'Price List'!$B$35,'Price List'!$C$35,'Price List'!$B$36,'Price List'!$C$36,'Price List'!$B$37,'Price List'!$C$37,'Price List'!$B$38,'Price List'!$C$38,'Price List'!$B$39,'Price List'!$C$39,'Price List'!$B$40,'Price List'!$C$40,'Price List'!$B$41,'Price List'!$C$41,'Price List'!$B$42,'Price List'!$C$42,'Price List'!$B$43,'Price List'!$C$43,'Price List'!$B$44,'Price List'!$C$44,'Price List'!$B$45,'Price List'!$C$45,'Price List'!$B$46,'Price List'!$C$46,'Price List'!$B$47,'Price List'!$C$47,'Price List'!$B$48,'Price List'!$C$48,'Price List'!$B$49,'Price List'!$C$49,'Price List'!$B$50,'Price List'!$C$50,'Price List'!$B$51,'Price List'!$C$51,'Price List'!$B$52,'Price List'!$C$52,'Price List'!$B$53,'Price List'!$C$53,'Price List'!$B$54,'Price List'!$C$54,'Price List'!$B$55,'Price List'!$C$55,'Price List'!$B$56,'Price List'!$C$56,'Price List'!$B$57,'Price List'!$C$57,'Price List'!$B$58,'Price List'!$C$58,'Price List'!$B$59,'Price List'!$C$59,'Price List'!$B$60,'Price List'!$C$60,'Price List'!$B$61,'Price List'!$C$61,'Price List'!$B$62,'Price List'!$C$62,'Price List'!$B$63,'Price List'!$C$63,'Price List'!$B$64,'Price List'!$C$64,'Price List'!$B$65,'Price List'!$C$65,'Price List'!$B$66,'Price List'!$C$66,'Price List'!$B$67,'Price List'!$C$67,'Price List'!$B$68,'Price List'!$C$68,'Price List'!$B$69,'Price List'!$C$69,'Price List'!$B$70,'Price List'!$C$70,'Price List'!$B$71,'Price List'!$C$71,'Price List'!$B$72,'Price List'!$C$72,'Price List'!$B$73,'Price List'!$C$73,'Price List'!$B$74,'Price List'!$C$74,'Price List'!$B$75,'Price List'!$C$75,'Price List'!$B$76,'Price List'!$C$76,0),_xlfn.SWITCH(A20,'Price List'!$B$5,'Price List'!$D$5,'Price List'!$B$6,'Price List'!$D$6,'Price List'!$B$7,'Price List'!$D$7,'Price List'!$B$8,'Price List'!$D$8,'Price List'!$B$9,'Price List'!$D$9,'Price List'!$B$10,'Price List'!$D$10,'Price List'!$B$11,'Price List'!$D$11,'Price List'!$B$12,'Price List'!$D$12,'Price List'!$B$13,'Price List'!$D$13,'Price List'!$B$14,'Price List'!$D$14,'Price List'!$B$15,'Price List'!$D$15,'Price List'!$B$16,'Price List'!$D$16,'Price List'!$B$17,'Price List'!$D$17,'Price List'!$B$18,'Price List'!$D$18,'Price List'!$B$19,'Price List'!$D$19,'Price List'!$B$20,'Price List'!$D$20,'Price List'!$B$21,'Price List'!$D$21,'Price List'!$B$22,'Price List'!$D$22,'Price List'!$B$23,'Price List'!$D$23,'Price List'!$B$24,'Price List'!$D$24,'Price List'!$B$25,'Price List'!$D$25,'Price List'!$B$26,'Price List'!$D$26,'Price List'!$B$27,'Price List'!$D$27,'Price List'!$B$28,'Price List'!$D$28,'Price List'!$B$29,'Price List'!$D$29,'Price List'!$B$30,'Price List'!$D$30,'Price List'!$B$31,'Price List'!$D$31,'Price List'!$B$32,'Price List'!$D$32,'Price List'!$B$33,'Price List'!$D$33,'Price List'!$B$34,'Price List'!$D$34,'Price List'!$B$35,'Price List'!$D$35,'Price List'!$B$36,'Price List'!$D$36,'Price List'!$B$37,'Price List'!$D$37,'Price List'!$B$38,'Price List'!$D$38,'Price List'!$B$39,'Price List'!$D$39,'Price List'!$B$40,'Price List'!$D$40,'Price List'!$B$41,'Price List'!$D$41,'Price List'!$B$42,'Price List'!$D$42,'Price List'!$B$43,'Price List'!$D$43,'Price List'!$B$44,'Price List'!$D$44,'Price List'!$B$45,'Price List'!$D$45,'Price List'!$B$46,'Price List'!$D$46,'Price List'!$B$47,'Price List'!$D$47,'Price List'!$B$48,'Price List'!$D$48,'Price List'!$B$49,'Price List'!$D$49,'Price List'!$B$50,'Price List'!$D$50,'Price List'!$B$51,'Price List'!$D$51,'Price List'!$B$52,'Price List'!$D$52,'Price List'!$B$53,'Price List'!$D$53,'Price List'!$B$54,'Price List'!$D$54,'Price List'!$B$55,'Price List'!$D$55,'Price List'!$B$56,'Price List'!$D$56,'Price List'!$B$57,'Price List'!$D$57,'Price List'!$B$58,'Price List'!$D$58,'Price List'!$B$59,'Price List'!$D$59,'Price List'!$B$60,'Price List'!$D$60,'Price List'!$B$61,'Price List'!$D$61,'Price List'!$B$62,'Price List'!$D$62,'Price List'!$B$63,'Price List'!$D$63,'Price List'!$B$64,'Price List'!$D$64,'Price List'!$B$65,'Price List'!$D$65,'Price List'!$B$66,'Price List'!$D$66,'Price List'!$B$67,'Price List'!$D$67,'Price List'!$B$68,'Price List'!$D$68,'Price List'!$B$69,'Price List'!$D$69,'Price List'!$B$70,'Price List'!$D$70,'Price List'!$B$71,'Price List'!$D$71,'Price List'!$B$72,'Price List'!$D$72,'Price List'!$B$73,'Price List'!$D$73,'Price List'!$B$74,'Price List'!$D$74,'Price List'!$B$75,'Price List'!$D$75,'Price List'!$B$76,'Price List'!$D$76,0))</f>
        <v>0</v>
      </c>
      <c r="D20" s="143">
        <f t="shared" si="0"/>
        <v>0</v>
      </c>
    </row>
    <row r="21" spans="1:4" ht="23.4" x14ac:dyDescent="0.3">
      <c r="A21" s="131"/>
      <c r="B21" s="141"/>
      <c r="C21" s="142" cm="1">
        <f t="array" ref="C21">IF($H$10="NO",_xlfn.SWITCH(A21,'Price List'!$B$5,'Price List'!$C$5,'Price List'!$B$6,'Price List'!$C$6,'Price List'!$B$7,'Price List'!$C$7,'Price List'!$B$8,'Price List'!$C$8,'Price List'!$B$9,'Price List'!$C$9,'Price List'!$B$10,'Price List'!$C$10,'Price List'!$B$11,'Price List'!$C$11,'Price List'!$B$12,'Price List'!$C$12,'Price List'!$B$13,'Price List'!$C$13,'Price List'!$B$14,'Price List'!$C$14,'Price List'!$B$15,'Price List'!$C$15,'Price List'!$B$16,'Price List'!$C$16,'Price List'!$B$17,'Price List'!$C$17,'Price List'!$B$18,'Price List'!$C$18,'Price List'!$B$19,'Price List'!$C$19,'Price List'!$B$20,'Price List'!$C$20,'Price List'!$B$21,'Price List'!$C$21,'Price List'!$B$22,'Price List'!$C$22,'Price List'!$B$23,'Price List'!$C$23,'Price List'!$B$24,'Price List'!$C$24,'Price List'!$B$25,'Price List'!$C$25,'Price List'!$B$26,'Price List'!$C$26,'Price List'!$B$27,'Price List'!$C$27,'Price List'!$B$28,'Price List'!$C$28,'Price List'!$B$29,'Price List'!$C$29,'Price List'!$B$30,'Price List'!$C$30,'Price List'!$B$31,'Price List'!$C$31,'Price List'!$B$32,'Price List'!$C$32,'Price List'!$B$33,'Price List'!$C$33,'Price List'!$B$34,'Price List'!$C$34,'Price List'!$B$35,'Price List'!$C$35,'Price List'!$B$36,'Price List'!$C$36,'Price List'!$B$37,'Price List'!$C$37,'Price List'!$B$38,'Price List'!$C$38,'Price List'!$B$39,'Price List'!$C$39,'Price List'!$B$40,'Price List'!$C$40,'Price List'!$B$41,'Price List'!$C$41,'Price List'!$B$42,'Price List'!$C$42,'Price List'!$B$43,'Price List'!$C$43,'Price List'!$B$44,'Price List'!$C$44,'Price List'!$B$45,'Price List'!$C$45,'Price List'!$B$46,'Price List'!$C$46,'Price List'!$B$47,'Price List'!$C$47,'Price List'!$B$48,'Price List'!$C$48,'Price List'!$B$49,'Price List'!$C$49,'Price List'!$B$50,'Price List'!$C$50,'Price List'!$B$51,'Price List'!$C$51,'Price List'!$B$52,'Price List'!$C$52,'Price List'!$B$53,'Price List'!$C$53,'Price List'!$B$54,'Price List'!$C$54,'Price List'!$B$55,'Price List'!$C$55,'Price List'!$B$56,'Price List'!$C$56,'Price List'!$B$57,'Price List'!$C$57,'Price List'!$B$58,'Price List'!$C$58,'Price List'!$B$59,'Price List'!$C$59,'Price List'!$B$60,'Price List'!$C$60,'Price List'!$B$61,'Price List'!$C$61,'Price List'!$B$62,'Price List'!$C$62,'Price List'!$B$63,'Price List'!$C$63,'Price List'!$B$64,'Price List'!$C$64,'Price List'!$B$65,'Price List'!$C$65,'Price List'!$B$66,'Price List'!$C$66,'Price List'!$B$67,'Price List'!$C$67,'Price List'!$B$68,'Price List'!$C$68,'Price List'!$B$69,'Price List'!$C$69,'Price List'!$B$70,'Price List'!$C$70,'Price List'!$B$71,'Price List'!$C$71,'Price List'!$B$72,'Price List'!$C$72,'Price List'!$B$73,'Price List'!$C$73,'Price List'!$B$74,'Price List'!$C$74,'Price List'!$B$75,'Price List'!$C$75,'Price List'!$B$76,'Price List'!$C$76,0),_xlfn.SWITCH(A21,'Price List'!$B$5,'Price List'!$D$5,'Price List'!$B$6,'Price List'!$D$6,'Price List'!$B$7,'Price List'!$D$7,'Price List'!$B$8,'Price List'!$D$8,'Price List'!$B$9,'Price List'!$D$9,'Price List'!$B$10,'Price List'!$D$10,'Price List'!$B$11,'Price List'!$D$11,'Price List'!$B$12,'Price List'!$D$12,'Price List'!$B$13,'Price List'!$D$13,'Price List'!$B$14,'Price List'!$D$14,'Price List'!$B$15,'Price List'!$D$15,'Price List'!$B$16,'Price List'!$D$16,'Price List'!$B$17,'Price List'!$D$17,'Price List'!$B$18,'Price List'!$D$18,'Price List'!$B$19,'Price List'!$D$19,'Price List'!$B$20,'Price List'!$D$20,'Price List'!$B$21,'Price List'!$D$21,'Price List'!$B$22,'Price List'!$D$22,'Price List'!$B$23,'Price List'!$D$23,'Price List'!$B$24,'Price List'!$D$24,'Price List'!$B$25,'Price List'!$D$25,'Price List'!$B$26,'Price List'!$D$26,'Price List'!$B$27,'Price List'!$D$27,'Price List'!$B$28,'Price List'!$D$28,'Price List'!$B$29,'Price List'!$D$29,'Price List'!$B$30,'Price List'!$D$30,'Price List'!$B$31,'Price List'!$D$31,'Price List'!$B$32,'Price List'!$D$32,'Price List'!$B$33,'Price List'!$D$33,'Price List'!$B$34,'Price List'!$D$34,'Price List'!$B$35,'Price List'!$D$35,'Price List'!$B$36,'Price List'!$D$36,'Price List'!$B$37,'Price List'!$D$37,'Price List'!$B$38,'Price List'!$D$38,'Price List'!$B$39,'Price List'!$D$39,'Price List'!$B$40,'Price List'!$D$40,'Price List'!$B$41,'Price List'!$D$41,'Price List'!$B$42,'Price List'!$D$42,'Price List'!$B$43,'Price List'!$D$43,'Price List'!$B$44,'Price List'!$D$44,'Price List'!$B$45,'Price List'!$D$45,'Price List'!$B$46,'Price List'!$D$46,'Price List'!$B$47,'Price List'!$D$47,'Price List'!$B$48,'Price List'!$D$48,'Price List'!$B$49,'Price List'!$D$49,'Price List'!$B$50,'Price List'!$D$50,'Price List'!$B$51,'Price List'!$D$51,'Price List'!$B$52,'Price List'!$D$52,'Price List'!$B$53,'Price List'!$D$53,'Price List'!$B$54,'Price List'!$D$54,'Price List'!$B$55,'Price List'!$D$55,'Price List'!$B$56,'Price List'!$D$56,'Price List'!$B$57,'Price List'!$D$57,'Price List'!$B$58,'Price List'!$D$58,'Price List'!$B$59,'Price List'!$D$59,'Price List'!$B$60,'Price List'!$D$60,'Price List'!$B$61,'Price List'!$D$61,'Price List'!$B$62,'Price List'!$D$62,'Price List'!$B$63,'Price List'!$D$63,'Price List'!$B$64,'Price List'!$D$64,'Price List'!$B$65,'Price List'!$D$65,'Price List'!$B$66,'Price List'!$D$66,'Price List'!$B$67,'Price List'!$D$67,'Price List'!$B$68,'Price List'!$D$68,'Price List'!$B$69,'Price List'!$D$69,'Price List'!$B$70,'Price List'!$D$70,'Price List'!$B$71,'Price List'!$D$71,'Price List'!$B$72,'Price List'!$D$72,'Price List'!$B$73,'Price List'!$D$73,'Price List'!$B$74,'Price List'!$D$74,'Price List'!$B$75,'Price List'!$D$75,'Price List'!$B$76,'Price List'!$D$76,0))</f>
        <v>0</v>
      </c>
      <c r="D21" s="143">
        <f t="shared" si="0"/>
        <v>0</v>
      </c>
    </row>
    <row r="22" spans="1:4" ht="23.4" x14ac:dyDescent="0.3">
      <c r="A22" s="131"/>
      <c r="B22" s="141"/>
      <c r="C22" s="142" cm="1">
        <f t="array" ref="C22">IF($H$10="NO",_xlfn.SWITCH(A22,'Price List'!$B$5,'Price List'!$C$5,'Price List'!$B$6,'Price List'!$C$6,'Price List'!$B$7,'Price List'!$C$7,'Price List'!$B$8,'Price List'!$C$8,'Price List'!$B$9,'Price List'!$C$9,'Price List'!$B$10,'Price List'!$C$10,'Price List'!$B$11,'Price List'!$C$11,'Price List'!$B$12,'Price List'!$C$12,'Price List'!$B$13,'Price List'!$C$13,'Price List'!$B$14,'Price List'!$C$14,'Price List'!$B$15,'Price List'!$C$15,'Price List'!$B$16,'Price List'!$C$16,'Price List'!$B$17,'Price List'!$C$17,'Price List'!$B$18,'Price List'!$C$18,'Price List'!$B$19,'Price List'!$C$19,'Price List'!$B$20,'Price List'!$C$20,'Price List'!$B$21,'Price List'!$C$21,'Price List'!$B$22,'Price List'!$C$22,'Price List'!$B$23,'Price List'!$C$23,'Price List'!$B$24,'Price List'!$C$24,'Price List'!$B$25,'Price List'!$C$25,'Price List'!$B$26,'Price List'!$C$26,'Price List'!$B$27,'Price List'!$C$27,'Price List'!$B$28,'Price List'!$C$28,'Price List'!$B$29,'Price List'!$C$29,'Price List'!$B$30,'Price List'!$C$30,'Price List'!$B$31,'Price List'!$C$31,'Price List'!$B$32,'Price List'!$C$32,'Price List'!$B$33,'Price List'!$C$33,'Price List'!$B$34,'Price List'!$C$34,'Price List'!$B$35,'Price List'!$C$35,'Price List'!$B$36,'Price List'!$C$36,'Price List'!$B$37,'Price List'!$C$37,'Price List'!$B$38,'Price List'!$C$38,'Price List'!$B$39,'Price List'!$C$39,'Price List'!$B$40,'Price List'!$C$40,'Price List'!$B$41,'Price List'!$C$41,'Price List'!$B$42,'Price List'!$C$42,'Price List'!$B$43,'Price List'!$C$43,'Price List'!$B$44,'Price List'!$C$44,'Price List'!$B$45,'Price List'!$C$45,'Price List'!$B$46,'Price List'!$C$46,'Price List'!$B$47,'Price List'!$C$47,'Price List'!$B$48,'Price List'!$C$48,'Price List'!$B$49,'Price List'!$C$49,'Price List'!$B$50,'Price List'!$C$50,'Price List'!$B$51,'Price List'!$C$51,'Price List'!$B$52,'Price List'!$C$52,'Price List'!$B$53,'Price List'!$C$53,'Price List'!$B$54,'Price List'!$C$54,'Price List'!$B$55,'Price List'!$C$55,'Price List'!$B$56,'Price List'!$C$56,'Price List'!$B$57,'Price List'!$C$57,'Price List'!$B$58,'Price List'!$C$58,'Price List'!$B$59,'Price List'!$C$59,'Price List'!$B$60,'Price List'!$C$60,'Price List'!$B$61,'Price List'!$C$61,'Price List'!$B$62,'Price List'!$C$62,'Price List'!$B$63,'Price List'!$C$63,'Price List'!$B$64,'Price List'!$C$64,'Price List'!$B$65,'Price List'!$C$65,'Price List'!$B$66,'Price List'!$C$66,'Price List'!$B$67,'Price List'!$C$67,'Price List'!$B$68,'Price List'!$C$68,'Price List'!$B$69,'Price List'!$C$69,'Price List'!$B$70,'Price List'!$C$70,'Price List'!$B$71,'Price List'!$C$71,'Price List'!$B$72,'Price List'!$C$72,'Price List'!$B$73,'Price List'!$C$73,'Price List'!$B$74,'Price List'!$C$74,'Price List'!$B$75,'Price List'!$C$75,'Price List'!$B$76,'Price List'!$C$76,0),_xlfn.SWITCH(A22,'Price List'!$B$5,'Price List'!$D$5,'Price List'!$B$6,'Price List'!$D$6,'Price List'!$B$7,'Price List'!$D$7,'Price List'!$B$8,'Price List'!$D$8,'Price List'!$B$9,'Price List'!$D$9,'Price List'!$B$10,'Price List'!$D$10,'Price List'!$B$11,'Price List'!$D$11,'Price List'!$B$12,'Price List'!$D$12,'Price List'!$B$13,'Price List'!$D$13,'Price List'!$B$14,'Price List'!$D$14,'Price List'!$B$15,'Price List'!$D$15,'Price List'!$B$16,'Price List'!$D$16,'Price List'!$B$17,'Price List'!$D$17,'Price List'!$B$18,'Price List'!$D$18,'Price List'!$B$19,'Price List'!$D$19,'Price List'!$B$20,'Price List'!$D$20,'Price List'!$B$21,'Price List'!$D$21,'Price List'!$B$22,'Price List'!$D$22,'Price List'!$B$23,'Price List'!$D$23,'Price List'!$B$24,'Price List'!$D$24,'Price List'!$B$25,'Price List'!$D$25,'Price List'!$B$26,'Price List'!$D$26,'Price List'!$B$27,'Price List'!$D$27,'Price List'!$B$28,'Price List'!$D$28,'Price List'!$B$29,'Price List'!$D$29,'Price List'!$B$30,'Price List'!$D$30,'Price List'!$B$31,'Price List'!$D$31,'Price List'!$B$32,'Price List'!$D$32,'Price List'!$B$33,'Price List'!$D$33,'Price List'!$B$34,'Price List'!$D$34,'Price List'!$B$35,'Price List'!$D$35,'Price List'!$B$36,'Price List'!$D$36,'Price List'!$B$37,'Price List'!$D$37,'Price List'!$B$38,'Price List'!$D$38,'Price List'!$B$39,'Price List'!$D$39,'Price List'!$B$40,'Price List'!$D$40,'Price List'!$B$41,'Price List'!$D$41,'Price List'!$B$42,'Price List'!$D$42,'Price List'!$B$43,'Price List'!$D$43,'Price List'!$B$44,'Price List'!$D$44,'Price List'!$B$45,'Price List'!$D$45,'Price List'!$B$46,'Price List'!$D$46,'Price List'!$B$47,'Price List'!$D$47,'Price List'!$B$48,'Price List'!$D$48,'Price List'!$B$49,'Price List'!$D$49,'Price List'!$B$50,'Price List'!$D$50,'Price List'!$B$51,'Price List'!$D$51,'Price List'!$B$52,'Price List'!$D$52,'Price List'!$B$53,'Price List'!$D$53,'Price List'!$B$54,'Price List'!$D$54,'Price List'!$B$55,'Price List'!$D$55,'Price List'!$B$56,'Price List'!$D$56,'Price List'!$B$57,'Price List'!$D$57,'Price List'!$B$58,'Price List'!$D$58,'Price List'!$B$59,'Price List'!$D$59,'Price List'!$B$60,'Price List'!$D$60,'Price List'!$B$61,'Price List'!$D$61,'Price List'!$B$62,'Price List'!$D$62,'Price List'!$B$63,'Price List'!$D$63,'Price List'!$B$64,'Price List'!$D$64,'Price List'!$B$65,'Price List'!$D$65,'Price List'!$B$66,'Price List'!$D$66,'Price List'!$B$67,'Price List'!$D$67,'Price List'!$B$68,'Price List'!$D$68,'Price List'!$B$69,'Price List'!$D$69,'Price List'!$B$70,'Price List'!$D$70,'Price List'!$B$71,'Price List'!$D$71,'Price List'!$B$72,'Price List'!$D$72,'Price List'!$B$73,'Price List'!$D$73,'Price List'!$B$74,'Price List'!$D$74,'Price List'!$B$75,'Price List'!$D$75,'Price List'!$B$76,'Price List'!$D$76,0))</f>
        <v>0</v>
      </c>
      <c r="D22" s="143">
        <f t="shared" si="0"/>
        <v>0</v>
      </c>
    </row>
    <row r="23" spans="1:4" ht="23.4" x14ac:dyDescent="0.3">
      <c r="A23" s="131"/>
      <c r="B23" s="141"/>
      <c r="C23" s="142" cm="1">
        <f t="array" ref="C23">IF($H$10="NO",_xlfn.SWITCH(A23,'Price List'!$B$5,'Price List'!$C$5,'Price List'!$B$6,'Price List'!$C$6,'Price List'!$B$7,'Price List'!$C$7,'Price List'!$B$8,'Price List'!$C$8,'Price List'!$B$9,'Price List'!$C$9,'Price List'!$B$10,'Price List'!$C$10,'Price List'!$B$11,'Price List'!$C$11,'Price List'!$B$12,'Price List'!$C$12,'Price List'!$B$13,'Price List'!$C$13,'Price List'!$B$14,'Price List'!$C$14,'Price List'!$B$15,'Price List'!$C$15,'Price List'!$B$16,'Price List'!$C$16,'Price List'!$B$17,'Price List'!$C$17,'Price List'!$B$18,'Price List'!$C$18,'Price List'!$B$19,'Price List'!$C$19,'Price List'!$B$20,'Price List'!$C$20,'Price List'!$B$21,'Price List'!$C$21,'Price List'!$B$22,'Price List'!$C$22,'Price List'!$B$23,'Price List'!$C$23,'Price List'!$B$24,'Price List'!$C$24,'Price List'!$B$25,'Price List'!$C$25,'Price List'!$B$26,'Price List'!$C$26,'Price List'!$B$27,'Price List'!$C$27,'Price List'!$B$28,'Price List'!$C$28,'Price List'!$B$29,'Price List'!$C$29,'Price List'!$B$30,'Price List'!$C$30,'Price List'!$B$31,'Price List'!$C$31,'Price List'!$B$32,'Price List'!$C$32,'Price List'!$B$33,'Price List'!$C$33,'Price List'!$B$34,'Price List'!$C$34,'Price List'!$B$35,'Price List'!$C$35,'Price List'!$B$36,'Price List'!$C$36,'Price List'!$B$37,'Price List'!$C$37,'Price List'!$B$38,'Price List'!$C$38,'Price List'!$B$39,'Price List'!$C$39,'Price List'!$B$40,'Price List'!$C$40,'Price List'!$B$41,'Price List'!$C$41,'Price List'!$B$42,'Price List'!$C$42,'Price List'!$B$43,'Price List'!$C$43,'Price List'!$B$44,'Price List'!$C$44,'Price List'!$B$45,'Price List'!$C$45,'Price List'!$B$46,'Price List'!$C$46,'Price List'!$B$47,'Price List'!$C$47,'Price List'!$B$48,'Price List'!$C$48,'Price List'!$B$49,'Price List'!$C$49,'Price List'!$B$50,'Price List'!$C$50,'Price List'!$B$51,'Price List'!$C$51,'Price List'!$B$52,'Price List'!$C$52,'Price List'!$B$53,'Price List'!$C$53,'Price List'!$B$54,'Price List'!$C$54,'Price List'!$B$55,'Price List'!$C$55,'Price List'!$B$56,'Price List'!$C$56,'Price List'!$B$57,'Price List'!$C$57,'Price List'!$B$58,'Price List'!$C$58,'Price List'!$B$59,'Price List'!$C$59,'Price List'!$B$60,'Price List'!$C$60,'Price List'!$B$61,'Price List'!$C$61,'Price List'!$B$62,'Price List'!$C$62,'Price List'!$B$63,'Price List'!$C$63,'Price List'!$B$64,'Price List'!$C$64,'Price List'!$B$65,'Price List'!$C$65,'Price List'!$B$66,'Price List'!$C$66,'Price List'!$B$67,'Price List'!$C$67,'Price List'!$B$68,'Price List'!$C$68,'Price List'!$B$69,'Price List'!$C$69,'Price List'!$B$70,'Price List'!$C$70,'Price List'!$B$71,'Price List'!$C$71,'Price List'!$B$72,'Price List'!$C$72,'Price List'!$B$73,'Price List'!$C$73,'Price List'!$B$74,'Price List'!$C$74,'Price List'!$B$75,'Price List'!$C$75,'Price List'!$B$76,'Price List'!$C$76,0),_xlfn.SWITCH(A23,'Price List'!$B$5,'Price List'!$D$5,'Price List'!$B$6,'Price List'!$D$6,'Price List'!$B$7,'Price List'!$D$7,'Price List'!$B$8,'Price List'!$D$8,'Price List'!$B$9,'Price List'!$D$9,'Price List'!$B$10,'Price List'!$D$10,'Price List'!$B$11,'Price List'!$D$11,'Price List'!$B$12,'Price List'!$D$12,'Price List'!$B$13,'Price List'!$D$13,'Price List'!$B$14,'Price List'!$D$14,'Price List'!$B$15,'Price List'!$D$15,'Price List'!$B$16,'Price List'!$D$16,'Price List'!$B$17,'Price List'!$D$17,'Price List'!$B$18,'Price List'!$D$18,'Price List'!$B$19,'Price List'!$D$19,'Price List'!$B$20,'Price List'!$D$20,'Price List'!$B$21,'Price List'!$D$21,'Price List'!$B$22,'Price List'!$D$22,'Price List'!$B$23,'Price List'!$D$23,'Price List'!$B$24,'Price List'!$D$24,'Price List'!$B$25,'Price List'!$D$25,'Price List'!$B$26,'Price List'!$D$26,'Price List'!$B$27,'Price List'!$D$27,'Price List'!$B$28,'Price List'!$D$28,'Price List'!$B$29,'Price List'!$D$29,'Price List'!$B$30,'Price List'!$D$30,'Price List'!$B$31,'Price List'!$D$31,'Price List'!$B$32,'Price List'!$D$32,'Price List'!$B$33,'Price List'!$D$33,'Price List'!$B$34,'Price List'!$D$34,'Price List'!$B$35,'Price List'!$D$35,'Price List'!$B$36,'Price List'!$D$36,'Price List'!$B$37,'Price List'!$D$37,'Price List'!$B$38,'Price List'!$D$38,'Price List'!$B$39,'Price List'!$D$39,'Price List'!$B$40,'Price List'!$D$40,'Price List'!$B$41,'Price List'!$D$41,'Price List'!$B$42,'Price List'!$D$42,'Price List'!$B$43,'Price List'!$D$43,'Price List'!$B$44,'Price List'!$D$44,'Price List'!$B$45,'Price List'!$D$45,'Price List'!$B$46,'Price List'!$D$46,'Price List'!$B$47,'Price List'!$D$47,'Price List'!$B$48,'Price List'!$D$48,'Price List'!$B$49,'Price List'!$D$49,'Price List'!$B$50,'Price List'!$D$50,'Price List'!$B$51,'Price List'!$D$51,'Price List'!$B$52,'Price List'!$D$52,'Price List'!$B$53,'Price List'!$D$53,'Price List'!$B$54,'Price List'!$D$54,'Price List'!$B$55,'Price List'!$D$55,'Price List'!$B$56,'Price List'!$D$56,'Price List'!$B$57,'Price List'!$D$57,'Price List'!$B$58,'Price List'!$D$58,'Price List'!$B$59,'Price List'!$D$59,'Price List'!$B$60,'Price List'!$D$60,'Price List'!$B$61,'Price List'!$D$61,'Price List'!$B$62,'Price List'!$D$62,'Price List'!$B$63,'Price List'!$D$63,'Price List'!$B$64,'Price List'!$D$64,'Price List'!$B$65,'Price List'!$D$65,'Price List'!$B$66,'Price List'!$D$66,'Price List'!$B$67,'Price List'!$D$67,'Price List'!$B$68,'Price List'!$D$68,'Price List'!$B$69,'Price List'!$D$69,'Price List'!$B$70,'Price List'!$D$70,'Price List'!$B$71,'Price List'!$D$71,'Price List'!$B$72,'Price List'!$D$72,'Price List'!$B$73,'Price List'!$D$73,'Price List'!$B$74,'Price List'!$D$74,'Price List'!$B$75,'Price List'!$D$75,'Price List'!$B$76,'Price List'!$D$76,0))</f>
        <v>0</v>
      </c>
      <c r="D23" s="143">
        <f t="shared" si="0"/>
        <v>0</v>
      </c>
    </row>
    <row r="24" spans="1:4" ht="16.2" thickBot="1" x14ac:dyDescent="0.35">
      <c r="A24" s="56"/>
      <c r="B24" s="57"/>
      <c r="C24" s="58"/>
      <c r="D24" s="59"/>
    </row>
    <row r="25" spans="1:4" s="145" customFormat="1" ht="21.6" customHeight="1" thickBot="1" x14ac:dyDescent="0.5">
      <c r="A25" s="144" t="s">
        <v>57</v>
      </c>
      <c r="B25" s="162">
        <f>SUM(B14:B23)</f>
        <v>0</v>
      </c>
      <c r="C25" s="204">
        <f>SUM(D14:D23)</f>
        <v>0</v>
      </c>
      <c r="D25" s="205"/>
    </row>
    <row r="26" spans="1:4" ht="13.2" customHeight="1" thickTop="1" x14ac:dyDescent="0.3">
      <c r="A26" s="66"/>
      <c r="B26" s="64"/>
      <c r="C26" s="64"/>
      <c r="D26" s="65"/>
    </row>
    <row r="27" spans="1:4" ht="23.4" x14ac:dyDescent="0.45">
      <c r="A27" s="216" t="s">
        <v>58</v>
      </c>
      <c r="B27" s="193"/>
      <c r="C27" s="193"/>
      <c r="D27" s="194"/>
    </row>
    <row r="28" spans="1:4" ht="24.6" x14ac:dyDescent="0.55000000000000004">
      <c r="A28" s="192" t="s">
        <v>59</v>
      </c>
      <c r="B28" s="193"/>
      <c r="C28" s="193"/>
      <c r="D28" s="194"/>
    </row>
    <row r="29" spans="1:4" ht="5.4" customHeight="1" thickBot="1" x14ac:dyDescent="0.35">
      <c r="A29" s="52"/>
      <c r="B29" s="53"/>
      <c r="C29" s="53"/>
      <c r="D29" s="54"/>
    </row>
  </sheetData>
  <sheetProtection algorithmName="SHA-512" hashValue="rHs7bafXDmZeisaVewdl0cD7oBltm8CWEA5ONPxpa+Ao4zDUAM43W8R/C45NMWZ8QL8xAHakcomqhhugnKIkLg==" saltValue="DkZv29aUUB14X4BhZLG3Ww==" spinCount="100000" sheet="1" objects="1" scenarios="1"/>
  <mergeCells count="16">
    <mergeCell ref="N5:O5"/>
    <mergeCell ref="P5:Q5"/>
    <mergeCell ref="H10:H11"/>
    <mergeCell ref="K2:L2"/>
    <mergeCell ref="A27:D27"/>
    <mergeCell ref="F10:G11"/>
    <mergeCell ref="M10:M11"/>
    <mergeCell ref="K5:K7"/>
    <mergeCell ref="L5:L7"/>
    <mergeCell ref="F14:G14"/>
    <mergeCell ref="H14:I14"/>
    <mergeCell ref="A28:D28"/>
    <mergeCell ref="A1:D6"/>
    <mergeCell ref="C25:D25"/>
    <mergeCell ref="A11:D11"/>
    <mergeCell ref="A7:D10"/>
  </mergeCells>
  <conditionalFormatting sqref="H10">
    <cfRule type="containsText" dxfId="4" priority="9" operator="containsText" text="YES">
      <formula>NOT(ISERROR(SEARCH("YES",H10)))</formula>
    </cfRule>
    <cfRule type="containsText" dxfId="3" priority="11" operator="containsText" text="NO">
      <formula>NOT(ISERROR(SEARCH("NO",H10)))</formula>
    </cfRule>
    <cfRule type="expression" dxfId="2" priority="12">
      <formula>"NO"</formula>
    </cfRule>
  </conditionalFormatting>
  <conditionalFormatting sqref="M10:M11">
    <cfRule type="containsText" dxfId="1" priority="7" operator="containsText" text="YES">
      <formula>NOT(ISERROR(SEARCH("YES",M10)))</formula>
    </cfRule>
  </conditionalFormatting>
  <conditionalFormatting sqref="L5:L7">
    <cfRule type="cellIs" dxfId="0" priority="1" operator="equal">
      <formula>"OFF"</formula>
    </cfRule>
  </conditionalFormatting>
  <printOptions horizontalCentered="1"/>
  <pageMargins left="0.15748031496062992" right="0.15748031496062992" top="0.15748031496062992" bottom="0.15748031496062992" header="0.11811023622047245" footer="0.11811023622047245"/>
  <pageSetup paperSize="134" scale="55" orientation="portrait" horizontalDpi="203" verticalDpi="203" r:id="rId1"/>
  <drawing r:id="rId2"/>
  <legacyDrawing r:id="rId3"/>
  <controls>
    <mc:AlternateContent xmlns:mc="http://schemas.openxmlformats.org/markup-compatibility/2006">
      <mc:Choice Requires="x14">
        <control shapeId="1079" r:id="rId4" name="PrinterOff">
          <controlPr defaultSize="0" autoLine="0" r:id="rId5">
            <anchor moveWithCells="1">
              <from>
                <xdr:col>10</xdr:col>
                <xdr:colOff>0</xdr:colOff>
                <xdr:row>4</xdr:row>
                <xdr:rowOff>0</xdr:rowOff>
              </from>
              <to>
                <xdr:col>10</xdr:col>
                <xdr:colOff>1470660</xdr:colOff>
                <xdr:row>7</xdr:row>
                <xdr:rowOff>7620</xdr:rowOff>
              </to>
            </anchor>
          </controlPr>
        </control>
      </mc:Choice>
      <mc:Fallback>
        <control shapeId="1079" r:id="rId4" name="PrinterOff"/>
      </mc:Fallback>
    </mc:AlternateContent>
    <mc:AlternateContent xmlns:mc="http://schemas.openxmlformats.org/markup-compatibility/2006">
      <mc:Choice Requires="x14">
        <control shapeId="1061" r:id="rId6" name="DealerPrices">
          <controlPr defaultSize="0" autoLine="0" r:id="rId7">
            <anchor moveWithCells="1">
              <from>
                <xdr:col>5</xdr:col>
                <xdr:colOff>0</xdr:colOff>
                <xdr:row>8</xdr:row>
                <xdr:rowOff>175260</xdr:rowOff>
              </from>
              <to>
                <xdr:col>6</xdr:col>
                <xdr:colOff>1348740</xdr:colOff>
                <xdr:row>11</xdr:row>
                <xdr:rowOff>30480</xdr:rowOff>
              </to>
            </anchor>
          </controlPr>
        </control>
      </mc:Choice>
      <mc:Fallback>
        <control shapeId="1061" r:id="rId6" name="DealerPrices"/>
      </mc:Fallback>
    </mc:AlternateContent>
    <mc:AlternateContent xmlns:mc="http://schemas.openxmlformats.org/markup-compatibility/2006">
      <mc:Choice Requires="x14">
        <control shapeId="1073" r:id="rId8" name="ManualPriceOverride">
          <controlPr defaultSize="0" autoLine="0" r:id="rId9">
            <anchor moveWithCells="1">
              <from>
                <xdr:col>10</xdr:col>
                <xdr:colOff>0</xdr:colOff>
                <xdr:row>9</xdr:row>
                <xdr:rowOff>0</xdr:rowOff>
              </from>
              <to>
                <xdr:col>11</xdr:col>
                <xdr:colOff>723900</xdr:colOff>
                <xdr:row>11</xdr:row>
                <xdr:rowOff>7620</xdr:rowOff>
              </to>
            </anchor>
          </controlPr>
        </control>
      </mc:Choice>
      <mc:Fallback>
        <control shapeId="1073" r:id="rId8" name="ManualPriceOverride"/>
      </mc:Fallback>
    </mc:AlternateContent>
    <mc:AlternateContent xmlns:mc="http://schemas.openxmlformats.org/markup-compatibility/2006">
      <mc:Choice Requires="x14">
        <control shapeId="1035" r:id="rId10" name="Button 11">
          <controlPr defaultSize="0" print="0" autoFill="0" autoPict="0" macro="[0]!InsertNonFerrous">
            <anchor moveWithCells="1" sizeWithCells="1">
              <from>
                <xdr:col>5</xdr:col>
                <xdr:colOff>0</xdr:colOff>
                <xdr:row>1</xdr:row>
                <xdr:rowOff>175260</xdr:rowOff>
              </from>
              <to>
                <xdr:col>6</xdr:col>
                <xdr:colOff>632460</xdr:colOff>
                <xdr:row>4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1" r:id="rId11" name="Button 17">
          <controlPr defaultSize="0" print="0" autoFill="0" autoPict="0" macro="[0]!ClearSlip">
            <anchor moveWithCells="1" sizeWithCells="1">
              <from>
                <xdr:col>6</xdr:col>
                <xdr:colOff>723900</xdr:colOff>
                <xdr:row>1</xdr:row>
                <xdr:rowOff>175260</xdr:rowOff>
              </from>
              <to>
                <xdr:col>7</xdr:col>
                <xdr:colOff>655320</xdr:colOff>
                <xdr:row>4</xdr:row>
                <xdr:rowOff>68580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6" r:id="rId12" name="Button 62">
          <controlPr defaultSize="0" print="0" autoFill="0" autoPict="0" macro="[0]!ReprintReceipt">
            <anchor moveWithCells="1" sizeWithCells="1">
              <from>
                <xdr:col>5</xdr:col>
                <xdr:colOff>0</xdr:colOff>
                <xdr:row>5</xdr:row>
                <xdr:rowOff>0</xdr:rowOff>
              </from>
              <to>
                <xdr:col>6</xdr:col>
                <xdr:colOff>632460</xdr:colOff>
                <xdr:row>7</xdr:row>
                <xdr:rowOff>30480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C1E7034-2580-4601-8E5F-0453876A2AC6}">
          <x14:formula1>
            <xm:f>Formulas!$B$7:$B$8</xm:f>
          </x14:formula1>
          <xm:sqref>M10:M11 H10:H11</xm:sqref>
        </x14:dataValidation>
        <x14:dataValidation type="list" allowBlank="1" showInputMessage="1" showErrorMessage="1" xr:uid="{68B20167-5C95-4F8D-9600-2235FEEBF400}">
          <x14:formula1>
            <xm:f>'Price List'!$B$5:$B$76</xm:f>
          </x14:formula1>
          <xm:sqref>A14:A23</xm:sqref>
        </x14:dataValidation>
        <x14:dataValidation type="list" allowBlank="1" showInputMessage="1" showErrorMessage="1" xr:uid="{156CE4F5-D1D8-492A-AC31-5C2CD6C4C890}">
          <x14:formula1>
            <xm:f>'Price List'!$H$4:$H$5</xm:f>
          </x14:formula1>
          <xm:sqref>L5:L7</xm:sqref>
        </x14:dataValidation>
      </x14:dataValidation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6D783D-D509-4C9D-9D69-64D9449F0E8C}">
  <sheetPr codeName="Sheet6"/>
  <dimension ref="A2:Q53"/>
  <sheetViews>
    <sheetView zoomScale="80" zoomScaleNormal="80" workbookViewId="0">
      <selection activeCell="N53" sqref="N53"/>
    </sheetView>
  </sheetViews>
  <sheetFormatPr defaultColWidth="9.109375" defaultRowHeight="14.4" x14ac:dyDescent="0.3"/>
  <cols>
    <col min="1" max="3" width="9.109375" style="37"/>
    <col min="4" max="4" width="19.5546875" style="37" customWidth="1"/>
    <col min="5" max="7" width="9.109375" style="37"/>
    <col min="8" max="8" width="22.109375" style="37" customWidth="1"/>
    <col min="9" max="9" width="9.109375" style="37"/>
    <col min="10" max="10" width="23" style="37" customWidth="1"/>
    <col min="11" max="11" width="9.109375" style="37"/>
    <col min="12" max="12" width="22.6640625" style="37" customWidth="1"/>
    <col min="13" max="13" width="9.109375" style="37"/>
    <col min="14" max="14" width="23.88671875" style="37" customWidth="1"/>
    <col min="15" max="16384" width="9.109375" style="37"/>
  </cols>
  <sheetData>
    <row r="2" spans="1:17" ht="25.8" x14ac:dyDescent="0.5">
      <c r="A2" s="223" t="s">
        <v>111</v>
      </c>
      <c r="B2" s="223"/>
      <c r="C2" s="223"/>
      <c r="D2" s="223"/>
      <c r="E2" s="223"/>
      <c r="F2" s="223"/>
      <c r="G2" s="223"/>
      <c r="H2" s="223"/>
      <c r="I2" s="223"/>
      <c r="J2" s="223"/>
      <c r="K2" s="223"/>
      <c r="L2" s="223"/>
      <c r="M2" s="223"/>
      <c r="N2" s="223"/>
      <c r="O2" s="38"/>
    </row>
    <row r="3" spans="1:17" ht="15.6" x14ac:dyDescent="0.3">
      <c r="O3" s="39"/>
      <c r="P3" s="39"/>
      <c r="Q3" s="39"/>
    </row>
    <row r="4" spans="1:17" ht="21" x14ac:dyDescent="0.4">
      <c r="A4" s="39"/>
      <c r="B4" s="224" t="s">
        <v>2</v>
      </c>
      <c r="C4" s="224"/>
      <c r="D4" s="224"/>
      <c r="E4" s="39"/>
      <c r="F4" s="224" t="s">
        <v>3</v>
      </c>
      <c r="G4" s="224"/>
      <c r="H4" s="224"/>
      <c r="I4" s="39"/>
      <c r="J4" s="40" t="s">
        <v>5</v>
      </c>
      <c r="K4" s="39"/>
      <c r="L4" s="40" t="s">
        <v>4</v>
      </c>
      <c r="M4" s="39"/>
      <c r="N4" s="40" t="s">
        <v>16</v>
      </c>
      <c r="O4" s="39"/>
      <c r="P4" s="39"/>
      <c r="Q4" s="39"/>
    </row>
    <row r="5" spans="1:17" ht="15.6" x14ac:dyDescent="0.3">
      <c r="A5" s="39"/>
      <c r="B5" s="41"/>
      <c r="C5" s="39"/>
      <c r="D5" s="42"/>
      <c r="E5" s="39"/>
      <c r="F5" s="41"/>
      <c r="G5" s="39"/>
      <c r="H5" s="42"/>
      <c r="I5" s="39"/>
      <c r="J5" s="43"/>
      <c r="K5" s="39"/>
      <c r="L5" s="43"/>
      <c r="M5" s="39"/>
      <c r="N5" s="43"/>
      <c r="O5" s="39"/>
      <c r="P5" s="39"/>
      <c r="Q5" s="39"/>
    </row>
    <row r="6" spans="1:17" ht="15.6" x14ac:dyDescent="0.3">
      <c r="A6" s="39"/>
      <c r="B6" s="41" t="s">
        <v>10</v>
      </c>
      <c r="C6" s="39"/>
      <c r="D6" s="44">
        <v>25058</v>
      </c>
      <c r="E6" s="39"/>
      <c r="F6" s="41" t="s">
        <v>10</v>
      </c>
      <c r="G6" s="39"/>
      <c r="H6" s="44">
        <v>0</v>
      </c>
      <c r="I6" s="39"/>
      <c r="J6" s="43"/>
      <c r="K6" s="39"/>
      <c r="L6" s="43"/>
      <c r="M6" s="39"/>
      <c r="N6" s="43"/>
      <c r="O6" s="39"/>
      <c r="P6" s="39"/>
      <c r="Q6" s="39"/>
    </row>
    <row r="7" spans="1:17" ht="15.6" x14ac:dyDescent="0.3">
      <c r="A7" s="39"/>
      <c r="B7" s="41" t="s">
        <v>7</v>
      </c>
      <c r="C7" s="39"/>
      <c r="D7" s="44">
        <v>8020</v>
      </c>
      <c r="E7" s="39"/>
      <c r="F7" s="41" t="s">
        <v>7</v>
      </c>
      <c r="G7" s="39"/>
      <c r="H7" s="44">
        <v>0</v>
      </c>
      <c r="I7" s="39"/>
      <c r="J7" s="43"/>
      <c r="K7" s="39"/>
      <c r="L7" s="43"/>
      <c r="M7" s="39"/>
      <c r="N7" s="43"/>
      <c r="O7" s="39"/>
      <c r="P7" s="39"/>
      <c r="Q7" s="39"/>
    </row>
    <row r="8" spans="1:17" ht="15.6" x14ac:dyDescent="0.3">
      <c r="A8" s="45" t="s">
        <v>17</v>
      </c>
      <c r="B8" s="46"/>
      <c r="C8" s="47"/>
      <c r="D8" s="48">
        <f>SUM(D6:D7)</f>
        <v>33078</v>
      </c>
      <c r="E8" s="39"/>
      <c r="F8" s="46"/>
      <c r="G8" s="47"/>
      <c r="H8" s="48">
        <f>SUM(H6:H7)</f>
        <v>0</v>
      </c>
      <c r="I8" s="39"/>
      <c r="J8" s="48">
        <v>2720</v>
      </c>
      <c r="K8" s="39"/>
      <c r="L8" s="48">
        <v>6280</v>
      </c>
      <c r="M8" s="39"/>
      <c r="N8" s="44">
        <f>(H8-D8-J8-L8)</f>
        <v>-42078</v>
      </c>
    </row>
    <row r="11" spans="1:17" ht="25.8" x14ac:dyDescent="0.5">
      <c r="A11" s="223" t="s">
        <v>112</v>
      </c>
      <c r="B11" s="223"/>
      <c r="C11" s="223"/>
      <c r="D11" s="223"/>
      <c r="E11" s="223"/>
      <c r="F11" s="223"/>
      <c r="G11" s="223"/>
      <c r="H11" s="223"/>
      <c r="I11" s="223"/>
      <c r="J11" s="223"/>
      <c r="K11" s="223"/>
      <c r="L11" s="223"/>
      <c r="M11" s="223"/>
      <c r="N11" s="223"/>
      <c r="O11" s="38"/>
    </row>
    <row r="12" spans="1:17" ht="15.6" x14ac:dyDescent="0.3">
      <c r="O12" s="39"/>
    </row>
    <row r="13" spans="1:17" ht="21" x14ac:dyDescent="0.4">
      <c r="A13" s="39"/>
      <c r="B13" s="224" t="s">
        <v>2</v>
      </c>
      <c r="C13" s="224"/>
      <c r="D13" s="224"/>
      <c r="E13" s="39"/>
      <c r="F13" s="224" t="s">
        <v>3</v>
      </c>
      <c r="G13" s="224"/>
      <c r="H13" s="224"/>
      <c r="I13" s="39"/>
      <c r="J13" s="40" t="s">
        <v>5</v>
      </c>
      <c r="K13" s="39"/>
      <c r="L13" s="40" t="s">
        <v>4</v>
      </c>
      <c r="M13" s="39"/>
      <c r="N13" s="40" t="s">
        <v>16</v>
      </c>
      <c r="O13" s="39"/>
    </row>
    <row r="14" spans="1:17" ht="15.6" x14ac:dyDescent="0.3">
      <c r="A14" s="39"/>
      <c r="B14" s="41"/>
      <c r="C14" s="39"/>
      <c r="D14" s="42"/>
      <c r="E14" s="39"/>
      <c r="F14" s="41"/>
      <c r="G14" s="39"/>
      <c r="H14" s="42"/>
      <c r="I14" s="39"/>
      <c r="J14" s="43"/>
      <c r="K14" s="39"/>
      <c r="L14" s="43"/>
      <c r="M14" s="39"/>
      <c r="N14" s="43"/>
      <c r="O14" s="39"/>
    </row>
    <row r="15" spans="1:17" ht="15.6" x14ac:dyDescent="0.3">
      <c r="A15" s="39"/>
      <c r="B15" s="41" t="s">
        <v>10</v>
      </c>
      <c r="C15" s="39"/>
      <c r="D15" s="44">
        <v>40678</v>
      </c>
      <c r="E15" s="39"/>
      <c r="F15" s="41" t="s">
        <v>10</v>
      </c>
      <c r="G15" s="39"/>
      <c r="H15" s="154">
        <v>71976</v>
      </c>
      <c r="I15" s="39"/>
      <c r="J15" s="43"/>
      <c r="K15" s="39"/>
      <c r="L15" s="43"/>
      <c r="M15" s="39"/>
      <c r="N15" s="43"/>
      <c r="O15" s="39"/>
    </row>
    <row r="16" spans="1:17" ht="15.6" x14ac:dyDescent="0.3">
      <c r="A16" s="39"/>
      <c r="B16" s="41" t="s">
        <v>7</v>
      </c>
      <c r="C16" s="39"/>
      <c r="D16" s="44">
        <v>7398</v>
      </c>
      <c r="E16" s="39"/>
      <c r="F16" s="41" t="s">
        <v>7</v>
      </c>
      <c r="G16" s="39"/>
      <c r="H16" s="44">
        <v>16782</v>
      </c>
      <c r="I16" s="39"/>
      <c r="J16" s="43"/>
      <c r="K16" s="39"/>
      <c r="L16" s="43"/>
      <c r="M16" s="39"/>
      <c r="N16" s="43"/>
      <c r="O16" s="39"/>
    </row>
    <row r="17" spans="1:15" ht="15.6" x14ac:dyDescent="0.3">
      <c r="A17" s="45" t="s">
        <v>17</v>
      </c>
      <c r="B17" s="46"/>
      <c r="C17" s="47"/>
      <c r="D17" s="48">
        <f>SUM(D15:D16)</f>
        <v>48076</v>
      </c>
      <c r="E17" s="39"/>
      <c r="F17" s="46"/>
      <c r="G17" s="47"/>
      <c r="H17" s="48">
        <f>SUM(H15:H16)</f>
        <v>88758</v>
      </c>
      <c r="I17" s="39"/>
      <c r="J17" s="48">
        <v>4780</v>
      </c>
      <c r="K17" s="39"/>
      <c r="L17" s="155">
        <v>1510</v>
      </c>
      <c r="M17" s="39"/>
      <c r="N17" s="44">
        <f>(H17-D17-J17-L17)</f>
        <v>34392</v>
      </c>
    </row>
    <row r="20" spans="1:15" ht="25.8" x14ac:dyDescent="0.5">
      <c r="A20" s="223" t="s">
        <v>113</v>
      </c>
      <c r="B20" s="223"/>
      <c r="C20" s="223"/>
      <c r="D20" s="223"/>
      <c r="E20" s="223"/>
      <c r="F20" s="223"/>
      <c r="G20" s="223"/>
      <c r="H20" s="223"/>
      <c r="I20" s="223"/>
      <c r="J20" s="223"/>
      <c r="K20" s="223"/>
      <c r="L20" s="223"/>
      <c r="M20" s="223"/>
      <c r="N20" s="223"/>
      <c r="O20" s="49"/>
    </row>
    <row r="21" spans="1:15" ht="15.6" x14ac:dyDescent="0.3">
      <c r="O21" s="39"/>
    </row>
    <row r="22" spans="1:15" ht="21" x14ac:dyDescent="0.4">
      <c r="A22" s="39"/>
      <c r="B22" s="224" t="s">
        <v>2</v>
      </c>
      <c r="C22" s="224"/>
      <c r="D22" s="224"/>
      <c r="E22" s="39"/>
      <c r="F22" s="224" t="s">
        <v>3</v>
      </c>
      <c r="G22" s="224"/>
      <c r="H22" s="224"/>
      <c r="I22" s="39"/>
      <c r="J22" s="40" t="s">
        <v>5</v>
      </c>
      <c r="K22" s="39"/>
      <c r="L22" s="40" t="s">
        <v>4</v>
      </c>
      <c r="M22" s="39"/>
      <c r="N22" s="40" t="s">
        <v>16</v>
      </c>
      <c r="O22" s="39"/>
    </row>
    <row r="23" spans="1:15" ht="15.6" x14ac:dyDescent="0.3">
      <c r="A23" s="39"/>
      <c r="B23" s="41"/>
      <c r="C23" s="39"/>
      <c r="D23" s="42"/>
      <c r="E23" s="39"/>
      <c r="F23" s="41"/>
      <c r="G23" s="39"/>
      <c r="H23" s="42"/>
      <c r="I23" s="39"/>
      <c r="J23" s="43"/>
      <c r="K23" s="39"/>
      <c r="L23" s="43"/>
      <c r="M23" s="39"/>
      <c r="N23" s="43"/>
      <c r="O23" s="39"/>
    </row>
    <row r="24" spans="1:15" ht="15.6" x14ac:dyDescent="0.3">
      <c r="A24" s="39"/>
      <c r="B24" s="41" t="s">
        <v>10</v>
      </c>
      <c r="C24" s="39"/>
      <c r="D24" s="44">
        <v>13408</v>
      </c>
      <c r="E24" s="39"/>
      <c r="F24" s="41" t="s">
        <v>10</v>
      </c>
      <c r="G24" s="39"/>
      <c r="H24" s="44">
        <v>52339</v>
      </c>
      <c r="I24" s="39"/>
      <c r="J24" s="43"/>
      <c r="K24" s="39"/>
      <c r="L24" s="43"/>
      <c r="M24" s="39"/>
      <c r="N24" s="43"/>
      <c r="O24" s="39"/>
    </row>
    <row r="25" spans="1:15" ht="15.6" x14ac:dyDescent="0.3">
      <c r="A25" s="39"/>
      <c r="B25" s="41" t="s">
        <v>7</v>
      </c>
      <c r="C25" s="39"/>
      <c r="D25" s="44">
        <v>3241</v>
      </c>
      <c r="E25" s="39"/>
      <c r="F25" s="41" t="s">
        <v>7</v>
      </c>
      <c r="G25" s="39"/>
      <c r="H25" s="44">
        <v>0</v>
      </c>
      <c r="I25" s="39"/>
      <c r="J25" s="43"/>
      <c r="K25" s="39"/>
      <c r="L25" s="43"/>
      <c r="M25" s="39"/>
      <c r="N25" s="43"/>
      <c r="O25" s="39"/>
    </row>
    <row r="26" spans="1:15" ht="15.6" x14ac:dyDescent="0.3">
      <c r="A26" s="45" t="s">
        <v>17</v>
      </c>
      <c r="B26" s="46"/>
      <c r="C26" s="47"/>
      <c r="D26" s="48">
        <f>SUM(D24:D25)</f>
        <v>16649</v>
      </c>
      <c r="E26" s="39"/>
      <c r="F26" s="46"/>
      <c r="G26" s="47"/>
      <c r="H26" s="48">
        <f>SUM(H24:H25)</f>
        <v>52339</v>
      </c>
      <c r="I26" s="39"/>
      <c r="J26" s="48">
        <v>0</v>
      </c>
      <c r="K26" s="39"/>
      <c r="L26" s="155">
        <v>0</v>
      </c>
      <c r="M26" s="39"/>
      <c r="N26" s="44">
        <f>(H26-D26-J26-L26)</f>
        <v>35690</v>
      </c>
    </row>
    <row r="29" spans="1:15" ht="25.8" x14ac:dyDescent="0.5">
      <c r="A29" s="223" t="s">
        <v>115</v>
      </c>
      <c r="B29" s="223"/>
      <c r="C29" s="223"/>
      <c r="D29" s="223"/>
      <c r="E29" s="223"/>
      <c r="F29" s="223"/>
      <c r="G29" s="223"/>
      <c r="H29" s="223"/>
      <c r="I29" s="223"/>
      <c r="J29" s="223"/>
      <c r="K29" s="223"/>
      <c r="L29" s="223"/>
      <c r="M29" s="223"/>
      <c r="N29" s="223"/>
      <c r="O29" s="49"/>
    </row>
    <row r="30" spans="1:15" ht="15.6" x14ac:dyDescent="0.3">
      <c r="O30" s="39"/>
    </row>
    <row r="31" spans="1:15" ht="21" x14ac:dyDescent="0.4">
      <c r="A31" s="39"/>
      <c r="B31" s="224" t="s">
        <v>2</v>
      </c>
      <c r="C31" s="224"/>
      <c r="D31" s="224"/>
      <c r="E31" s="39"/>
      <c r="F31" s="224" t="s">
        <v>3</v>
      </c>
      <c r="G31" s="224"/>
      <c r="H31" s="224"/>
      <c r="I31" s="39"/>
      <c r="J31" s="40" t="s">
        <v>5</v>
      </c>
      <c r="K31" s="39"/>
      <c r="L31" s="40" t="s">
        <v>4</v>
      </c>
      <c r="M31" s="39"/>
      <c r="N31" s="40" t="s">
        <v>16</v>
      </c>
      <c r="O31" s="39"/>
    </row>
    <row r="32" spans="1:15" ht="15.6" x14ac:dyDescent="0.3">
      <c r="A32" s="39"/>
      <c r="B32" s="41"/>
      <c r="C32" s="39"/>
      <c r="D32" s="42"/>
      <c r="E32" s="39"/>
      <c r="F32" s="41"/>
      <c r="G32" s="39"/>
      <c r="H32" s="42"/>
      <c r="I32" s="39"/>
      <c r="J32" s="43"/>
      <c r="K32" s="39"/>
      <c r="L32" s="43"/>
      <c r="M32" s="39"/>
      <c r="N32" s="43"/>
      <c r="O32" s="39"/>
    </row>
    <row r="33" spans="1:15" ht="15.6" x14ac:dyDescent="0.3">
      <c r="A33" s="39"/>
      <c r="B33" s="41" t="s">
        <v>10</v>
      </c>
      <c r="C33" s="39"/>
      <c r="D33" s="44">
        <v>0</v>
      </c>
      <c r="E33" s="39"/>
      <c r="F33" s="41" t="s">
        <v>10</v>
      </c>
      <c r="G33" s="39"/>
      <c r="H33" s="44">
        <v>0</v>
      </c>
      <c r="I33" s="39"/>
      <c r="J33" s="43"/>
      <c r="K33" s="39"/>
      <c r="L33" s="43"/>
      <c r="M33" s="39"/>
      <c r="N33" s="43"/>
      <c r="O33" s="39"/>
    </row>
    <row r="34" spans="1:15" ht="15.6" x14ac:dyDescent="0.3">
      <c r="A34" s="39"/>
      <c r="B34" s="41" t="s">
        <v>7</v>
      </c>
      <c r="C34" s="39"/>
      <c r="D34" s="44">
        <v>0</v>
      </c>
      <c r="E34" s="39"/>
      <c r="F34" s="41" t="s">
        <v>7</v>
      </c>
      <c r="G34" s="39"/>
      <c r="H34" s="44">
        <v>0</v>
      </c>
      <c r="I34" s="39"/>
      <c r="J34" s="43"/>
      <c r="K34" s="39"/>
      <c r="L34" s="43"/>
      <c r="M34" s="39"/>
      <c r="N34" s="43"/>
      <c r="O34" s="39"/>
    </row>
    <row r="35" spans="1:15" ht="15.6" x14ac:dyDescent="0.3">
      <c r="A35" s="45" t="s">
        <v>17</v>
      </c>
      <c r="B35" s="46"/>
      <c r="C35" s="47"/>
      <c r="D35" s="48">
        <f>SUM(D33:D34)</f>
        <v>0</v>
      </c>
      <c r="E35" s="39"/>
      <c r="F35" s="46"/>
      <c r="G35" s="47"/>
      <c r="H35" s="48">
        <f>SUM(H33:H34)</f>
        <v>0</v>
      </c>
      <c r="I35" s="39"/>
      <c r="J35" s="48">
        <v>0</v>
      </c>
      <c r="K35" s="39"/>
      <c r="L35" s="155">
        <v>0</v>
      </c>
      <c r="M35" s="39"/>
      <c r="N35" s="44">
        <f>(H35-D35-J35-L35)</f>
        <v>0</v>
      </c>
    </row>
    <row r="38" spans="1:15" ht="25.8" x14ac:dyDescent="0.5">
      <c r="A38" s="223" t="s">
        <v>114</v>
      </c>
      <c r="B38" s="223"/>
      <c r="C38" s="223"/>
      <c r="D38" s="223"/>
      <c r="E38" s="223"/>
      <c r="F38" s="223"/>
      <c r="G38" s="223"/>
      <c r="H38" s="223"/>
      <c r="I38" s="223"/>
      <c r="J38" s="223"/>
      <c r="K38" s="223"/>
      <c r="L38" s="223"/>
      <c r="M38" s="223"/>
      <c r="N38" s="223"/>
      <c r="O38" s="49"/>
    </row>
    <row r="39" spans="1:15" ht="15.6" x14ac:dyDescent="0.3">
      <c r="O39" s="39"/>
    </row>
    <row r="40" spans="1:15" ht="21" x14ac:dyDescent="0.4">
      <c r="A40" s="39"/>
      <c r="B40" s="224" t="s">
        <v>2</v>
      </c>
      <c r="C40" s="224"/>
      <c r="D40" s="224"/>
      <c r="E40" s="39"/>
      <c r="F40" s="224" t="s">
        <v>3</v>
      </c>
      <c r="G40" s="224"/>
      <c r="H40" s="224"/>
      <c r="I40" s="39"/>
      <c r="J40" s="40" t="s">
        <v>5</v>
      </c>
      <c r="K40" s="39"/>
      <c r="L40" s="40" t="s">
        <v>4</v>
      </c>
      <c r="M40" s="39"/>
      <c r="N40" s="40" t="s">
        <v>16</v>
      </c>
      <c r="O40" s="39"/>
    </row>
    <row r="41" spans="1:15" ht="15.6" x14ac:dyDescent="0.3">
      <c r="A41" s="39"/>
      <c r="B41" s="41"/>
      <c r="C41" s="39"/>
      <c r="D41" s="42"/>
      <c r="E41" s="39"/>
      <c r="F41" s="41"/>
      <c r="G41" s="39"/>
      <c r="H41" s="42"/>
      <c r="I41" s="39"/>
      <c r="J41" s="43"/>
      <c r="K41" s="39"/>
      <c r="L41" s="43"/>
      <c r="M41" s="39"/>
      <c r="N41" s="43"/>
      <c r="O41" s="39"/>
    </row>
    <row r="42" spans="1:15" ht="15.6" x14ac:dyDescent="0.3">
      <c r="A42" s="39"/>
      <c r="B42" s="41" t="s">
        <v>10</v>
      </c>
      <c r="C42" s="39"/>
      <c r="D42" s="44">
        <v>0</v>
      </c>
      <c r="E42" s="39"/>
      <c r="F42" s="41" t="s">
        <v>10</v>
      </c>
      <c r="G42" s="39"/>
      <c r="H42" s="44">
        <v>0</v>
      </c>
      <c r="I42" s="39"/>
      <c r="J42" s="43"/>
      <c r="K42" s="39"/>
      <c r="L42" s="43"/>
      <c r="M42" s="39"/>
      <c r="N42" s="43"/>
      <c r="O42" s="39"/>
    </row>
    <row r="43" spans="1:15" ht="15.6" x14ac:dyDescent="0.3">
      <c r="A43" s="39"/>
      <c r="B43" s="41" t="s">
        <v>7</v>
      </c>
      <c r="C43" s="39"/>
      <c r="D43" s="44">
        <v>0</v>
      </c>
      <c r="E43" s="39"/>
      <c r="F43" s="41" t="s">
        <v>7</v>
      </c>
      <c r="G43" s="39"/>
      <c r="H43" s="44">
        <v>0</v>
      </c>
      <c r="I43" s="39"/>
      <c r="J43" s="43"/>
      <c r="K43" s="39"/>
      <c r="L43" s="43"/>
      <c r="M43" s="39"/>
      <c r="N43" s="43"/>
      <c r="O43" s="39"/>
    </row>
    <row r="44" spans="1:15" ht="15.6" x14ac:dyDescent="0.3">
      <c r="A44" s="45" t="s">
        <v>17</v>
      </c>
      <c r="B44" s="46"/>
      <c r="C44" s="47"/>
      <c r="D44" s="48">
        <f>SUM(D42:D43)</f>
        <v>0</v>
      </c>
      <c r="E44" s="39"/>
      <c r="F44" s="46"/>
      <c r="G44" s="47"/>
      <c r="H44" s="48">
        <f>SUM(H42:H43)</f>
        <v>0</v>
      </c>
      <c r="I44" s="39"/>
      <c r="J44" s="48">
        <v>0</v>
      </c>
      <c r="K44" s="39"/>
      <c r="L44" s="155">
        <v>0</v>
      </c>
      <c r="M44" s="39"/>
      <c r="N44" s="44">
        <f>(H44-D44-J44-L44)</f>
        <v>0</v>
      </c>
    </row>
    <row r="47" spans="1:15" ht="25.8" x14ac:dyDescent="0.5">
      <c r="A47" s="223" t="s">
        <v>110</v>
      </c>
      <c r="B47" s="223"/>
      <c r="C47" s="223"/>
      <c r="D47" s="223"/>
      <c r="E47" s="223"/>
      <c r="F47" s="223"/>
      <c r="G47" s="223"/>
      <c r="H47" s="223"/>
      <c r="I47" s="223"/>
      <c r="J47" s="223"/>
      <c r="K47" s="223"/>
      <c r="L47" s="223"/>
      <c r="M47" s="223"/>
      <c r="N47" s="223"/>
      <c r="O47" s="49"/>
    </row>
    <row r="48" spans="1:15" ht="15.6" x14ac:dyDescent="0.3">
      <c r="O48" s="39"/>
    </row>
    <row r="49" spans="1:15" ht="21" x14ac:dyDescent="0.4">
      <c r="A49" s="39"/>
      <c r="B49" s="224" t="s">
        <v>2</v>
      </c>
      <c r="C49" s="224"/>
      <c r="D49" s="224"/>
      <c r="E49" s="39"/>
      <c r="F49" s="224" t="s">
        <v>3</v>
      </c>
      <c r="G49" s="224"/>
      <c r="H49" s="224"/>
      <c r="I49" s="39"/>
      <c r="J49" s="40" t="s">
        <v>5</v>
      </c>
      <c r="K49" s="39"/>
      <c r="L49" s="40" t="s">
        <v>4</v>
      </c>
      <c r="M49" s="39"/>
      <c r="N49" s="40" t="s">
        <v>16</v>
      </c>
      <c r="O49" s="39"/>
    </row>
    <row r="50" spans="1:15" ht="15.6" x14ac:dyDescent="0.3">
      <c r="A50" s="39"/>
      <c r="B50" s="41"/>
      <c r="C50" s="39"/>
      <c r="D50" s="42"/>
      <c r="E50" s="39"/>
      <c r="F50" s="41"/>
      <c r="G50" s="39"/>
      <c r="H50" s="42"/>
      <c r="I50" s="39"/>
      <c r="J50" s="43"/>
      <c r="K50" s="39"/>
      <c r="L50" s="43"/>
      <c r="M50" s="39"/>
      <c r="N50" s="43"/>
      <c r="O50" s="39"/>
    </row>
    <row r="51" spans="1:15" ht="15.6" x14ac:dyDescent="0.3">
      <c r="A51" s="39"/>
      <c r="B51" s="41" t="s">
        <v>10</v>
      </c>
      <c r="C51" s="39"/>
      <c r="D51" s="44">
        <f>SUM(D6,D15,D24,D33,D42)</f>
        <v>79144</v>
      </c>
      <c r="E51" s="39"/>
      <c r="F51" s="41" t="s">
        <v>10</v>
      </c>
      <c r="G51" s="39"/>
      <c r="H51" s="44">
        <f>SUM(H6,H15,H24,H33,H42)</f>
        <v>124315</v>
      </c>
      <c r="I51" s="39"/>
      <c r="J51" s="43"/>
      <c r="K51" s="39"/>
      <c r="L51" s="43"/>
      <c r="M51" s="39"/>
      <c r="N51" s="43"/>
      <c r="O51" s="39"/>
    </row>
    <row r="52" spans="1:15" ht="15.6" x14ac:dyDescent="0.3">
      <c r="A52" s="39"/>
      <c r="B52" s="41" t="s">
        <v>7</v>
      </c>
      <c r="C52" s="39"/>
      <c r="D52" s="44">
        <f>SUM(D7,D16,D25,D34,D43)</f>
        <v>18659</v>
      </c>
      <c r="E52" s="39"/>
      <c r="F52" s="41" t="s">
        <v>7</v>
      </c>
      <c r="G52" s="39"/>
      <c r="H52" s="44">
        <f>SUM(H7,H16,H25,H34,H43)</f>
        <v>16782</v>
      </c>
      <c r="I52" s="39"/>
      <c r="J52" s="43"/>
      <c r="K52" s="39"/>
      <c r="L52" s="43"/>
      <c r="M52" s="39"/>
      <c r="N52" s="43"/>
      <c r="O52" s="39"/>
    </row>
    <row r="53" spans="1:15" ht="15.6" x14ac:dyDescent="0.3">
      <c r="A53" s="45" t="s">
        <v>17</v>
      </c>
      <c r="B53" s="46"/>
      <c r="C53" s="47"/>
      <c r="D53" s="48">
        <f>SUM(D51:D52)</f>
        <v>97803</v>
      </c>
      <c r="E53" s="39"/>
      <c r="F53" s="46"/>
      <c r="G53" s="47"/>
      <c r="H53" s="48">
        <f>SUM(H51:H52)</f>
        <v>141097</v>
      </c>
      <c r="I53" s="39"/>
      <c r="J53" s="48">
        <f>SUM(J8,J17,J26,J35,J44)</f>
        <v>7500</v>
      </c>
      <c r="K53" s="39"/>
      <c r="L53" s="48">
        <f>SUM(L8,L17,L26,L35,L44)</f>
        <v>7790</v>
      </c>
      <c r="M53" s="39"/>
      <c r="N53" s="44">
        <f>(H53-D53-J53-L53)</f>
        <v>28004</v>
      </c>
    </row>
  </sheetData>
  <sheetProtection algorithmName="SHA-512" hashValue="bozzPNAor9jK48C1jLwCsurKGS5YGkhuE/3x499OZt19CpVvZOcvX/6lL94XNtekoU40ucDWcH4Hn8lfmRUQ7A==" saltValue="8A8e4uuUWrcgMvKhvrAN6Q==" spinCount="100000" sheet="1" objects="1" scenarios="1"/>
  <mergeCells count="18">
    <mergeCell ref="A20:N20"/>
    <mergeCell ref="B22:D22"/>
    <mergeCell ref="F22:H22"/>
    <mergeCell ref="A29:N29"/>
    <mergeCell ref="B31:D31"/>
    <mergeCell ref="F31:H31"/>
    <mergeCell ref="A2:N2"/>
    <mergeCell ref="B4:D4"/>
    <mergeCell ref="F4:H4"/>
    <mergeCell ref="A11:N11"/>
    <mergeCell ref="B13:D13"/>
    <mergeCell ref="F13:H13"/>
    <mergeCell ref="A38:N38"/>
    <mergeCell ref="B40:D40"/>
    <mergeCell ref="F40:H40"/>
    <mergeCell ref="A47:N47"/>
    <mergeCell ref="B49:D49"/>
    <mergeCell ref="F49:H49"/>
  </mergeCells>
  <conditionalFormatting sqref="N8">
    <cfRule type="colorScale" priority="11">
      <colorScale>
        <cfvo type="num" val="0"/>
        <cfvo type="num" val="0"/>
        <color rgb="FFFF3B3B"/>
        <color rgb="FF2CE61E"/>
      </colorScale>
    </cfRule>
    <cfRule type="colorScale" priority="12">
      <colorScale>
        <cfvo type="num" val="0"/>
        <cfvo type="num" val="0"/>
        <color rgb="FFFF0000"/>
        <color theme="9"/>
      </colorScale>
    </cfRule>
  </conditionalFormatting>
  <conditionalFormatting sqref="N26">
    <cfRule type="colorScale" priority="7">
      <colorScale>
        <cfvo type="num" val="0"/>
        <cfvo type="num" val="0"/>
        <color rgb="FFFF3B3B"/>
        <color rgb="FF2CE61E"/>
      </colorScale>
    </cfRule>
    <cfRule type="colorScale" priority="8">
      <colorScale>
        <cfvo type="num" val="0"/>
        <cfvo type="num" val="0"/>
        <color rgb="FFFF0000"/>
        <color theme="9"/>
      </colorScale>
    </cfRule>
  </conditionalFormatting>
  <conditionalFormatting sqref="N17">
    <cfRule type="colorScale" priority="9">
      <colorScale>
        <cfvo type="num" val="0"/>
        <cfvo type="num" val="0"/>
        <color rgb="FFFF3B3B"/>
        <color rgb="FF2CE61E"/>
      </colorScale>
    </cfRule>
    <cfRule type="colorScale" priority="10">
      <colorScale>
        <cfvo type="num" val="0"/>
        <cfvo type="num" val="0"/>
        <color rgb="FFFF0000"/>
        <color theme="9"/>
      </colorScale>
    </cfRule>
  </conditionalFormatting>
  <conditionalFormatting sqref="N53">
    <cfRule type="colorScale" priority="3">
      <colorScale>
        <cfvo type="num" val="0"/>
        <cfvo type="num" val="0"/>
        <color rgb="FFFF3B3B"/>
        <color rgb="FF2CE61E"/>
      </colorScale>
    </cfRule>
    <cfRule type="colorScale" priority="4">
      <colorScale>
        <cfvo type="num" val="0"/>
        <cfvo type="num" val="0"/>
        <color rgb="FFFF0000"/>
        <color theme="9"/>
      </colorScale>
    </cfRule>
  </conditionalFormatting>
  <conditionalFormatting sqref="N44">
    <cfRule type="colorScale" priority="5">
      <colorScale>
        <cfvo type="num" val="0"/>
        <cfvo type="num" val="0"/>
        <color rgb="FFFF3B3B"/>
        <color rgb="FF2CE61E"/>
      </colorScale>
    </cfRule>
    <cfRule type="colorScale" priority="6">
      <colorScale>
        <cfvo type="num" val="0"/>
        <cfvo type="num" val="0"/>
        <color rgb="FFFF0000"/>
        <color theme="9"/>
      </colorScale>
    </cfRule>
  </conditionalFormatting>
  <conditionalFormatting sqref="N35">
    <cfRule type="colorScale" priority="1">
      <colorScale>
        <cfvo type="num" val="0"/>
        <cfvo type="num" val="0"/>
        <color rgb="FFFF3B3B"/>
        <color rgb="FF2CE61E"/>
      </colorScale>
    </cfRule>
    <cfRule type="colorScale" priority="2">
      <colorScale>
        <cfvo type="num" val="0"/>
        <cfvo type="num" val="0"/>
        <color rgb="FFFF0000"/>
        <color theme="9"/>
      </colorScale>
    </cfRule>
  </conditionalFormatting>
  <pageMargins left="0.7" right="0.7" top="0.75" bottom="0.75" header="0.3" footer="0.3"/>
  <pageSetup paperSize="0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alculateSummaries">
                <anchor moveWithCells="1" sizeWithCells="1">
                  <from>
                    <xdr:col>1</xdr:col>
                    <xdr:colOff>7620</xdr:colOff>
                    <xdr:row>53</xdr:row>
                    <xdr:rowOff>175260</xdr:rowOff>
                  </from>
                  <to>
                    <xdr:col>4</xdr:col>
                    <xdr:colOff>0</xdr:colOff>
                    <xdr:row>57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313941-81B0-4030-BF90-CF43C36E28E2}">
  <sheetPr codeName="Sheet7"/>
  <dimension ref="B2:H75"/>
  <sheetViews>
    <sheetView topLeftCell="B1" zoomScale="110" zoomScaleNormal="110" workbookViewId="0">
      <selection activeCell="G16" sqref="G16"/>
    </sheetView>
  </sheetViews>
  <sheetFormatPr defaultColWidth="8.88671875" defaultRowHeight="14.4" x14ac:dyDescent="0.3"/>
  <cols>
    <col min="1" max="1" width="32.88671875" style="37" customWidth="1"/>
    <col min="2" max="2" width="37.6640625" style="37" bestFit="1" customWidth="1"/>
    <col min="3" max="3" width="21.33203125" style="37" customWidth="1"/>
    <col min="4" max="4" width="14.33203125" style="37" customWidth="1"/>
    <col min="5" max="7" width="8.88671875" style="37"/>
    <col min="8" max="8" width="14.109375" style="37" customWidth="1"/>
    <col min="9" max="9" width="14.88671875" style="37" customWidth="1"/>
    <col min="10" max="10" width="14.5546875" style="37" customWidth="1"/>
    <col min="11" max="16384" width="8.88671875" style="37"/>
  </cols>
  <sheetData>
    <row r="2" spans="2:8" ht="21" x14ac:dyDescent="0.4">
      <c r="B2" s="225" t="s">
        <v>56</v>
      </c>
      <c r="C2" s="225"/>
      <c r="D2" s="225"/>
    </row>
    <row r="3" spans="2:8" ht="15" thickBot="1" x14ac:dyDescent="0.35"/>
    <row r="4" spans="2:8" ht="15.6" thickTop="1" thickBot="1" x14ac:dyDescent="0.35">
      <c r="B4" s="51" t="s">
        <v>21</v>
      </c>
      <c r="C4" s="51" t="s">
        <v>81</v>
      </c>
      <c r="D4" s="51" t="s">
        <v>80</v>
      </c>
      <c r="F4" s="75" t="s">
        <v>78</v>
      </c>
      <c r="H4" s="75" t="s">
        <v>103</v>
      </c>
    </row>
    <row r="5" spans="2:8" ht="15.6" thickTop="1" thickBot="1" x14ac:dyDescent="0.35">
      <c r="B5" s="50" t="s">
        <v>88</v>
      </c>
      <c r="C5" s="60">
        <v>0.9</v>
      </c>
      <c r="D5" s="62">
        <v>1.2</v>
      </c>
      <c r="F5" s="37" t="s">
        <v>79</v>
      </c>
      <c r="H5" s="37" t="s">
        <v>104</v>
      </c>
    </row>
    <row r="6" spans="2:8" ht="15" thickBot="1" x14ac:dyDescent="0.35">
      <c r="B6" s="72" t="s">
        <v>76</v>
      </c>
      <c r="C6" s="74">
        <v>2.2999999999999998</v>
      </c>
      <c r="D6" s="74">
        <v>2.5</v>
      </c>
    </row>
    <row r="7" spans="2:8" ht="15" thickBot="1" x14ac:dyDescent="0.35">
      <c r="B7" s="72" t="s">
        <v>77</v>
      </c>
      <c r="C7" s="74">
        <v>2.1</v>
      </c>
      <c r="D7" s="74">
        <v>2.4</v>
      </c>
    </row>
    <row r="8" spans="2:8" ht="15" thickBot="1" x14ac:dyDescent="0.35">
      <c r="B8" s="50" t="s">
        <v>89</v>
      </c>
      <c r="C8" s="60">
        <v>2.2000000000000002</v>
      </c>
      <c r="D8" s="62">
        <v>2.4500000000000002</v>
      </c>
    </row>
    <row r="9" spans="2:8" ht="15" thickBot="1" x14ac:dyDescent="0.35">
      <c r="B9" s="50" t="s">
        <v>20</v>
      </c>
      <c r="C9" s="60">
        <v>1</v>
      </c>
      <c r="D9" s="62">
        <v>1</v>
      </c>
    </row>
    <row r="10" spans="2:8" ht="15" thickBot="1" x14ac:dyDescent="0.35">
      <c r="B10" s="50" t="s">
        <v>19</v>
      </c>
      <c r="C10" s="60">
        <v>2</v>
      </c>
      <c r="D10" s="62">
        <v>2.5</v>
      </c>
    </row>
    <row r="11" spans="2:8" ht="15" thickBot="1" x14ac:dyDescent="0.35">
      <c r="B11" s="50" t="s">
        <v>18</v>
      </c>
      <c r="C11" s="60">
        <v>9</v>
      </c>
      <c r="D11" s="62">
        <v>13</v>
      </c>
    </row>
    <row r="12" spans="2:8" ht="15" thickBot="1" x14ac:dyDescent="0.35">
      <c r="B12" s="50" t="s">
        <v>22</v>
      </c>
      <c r="C12" s="60">
        <v>84</v>
      </c>
      <c r="D12" s="62">
        <v>95</v>
      </c>
    </row>
    <row r="13" spans="2:8" ht="15" thickBot="1" x14ac:dyDescent="0.35">
      <c r="B13" s="50" t="s">
        <v>67</v>
      </c>
      <c r="C13" s="60">
        <v>82</v>
      </c>
      <c r="D13" s="62">
        <v>92</v>
      </c>
    </row>
    <row r="14" spans="2:8" ht="15" thickBot="1" x14ac:dyDescent="0.35">
      <c r="B14" s="50" t="s">
        <v>90</v>
      </c>
      <c r="C14" s="60">
        <v>80</v>
      </c>
      <c r="D14" s="62">
        <v>90</v>
      </c>
    </row>
    <row r="15" spans="2:8" ht="15" thickBot="1" x14ac:dyDescent="0.35">
      <c r="B15" s="50" t="s">
        <v>91</v>
      </c>
      <c r="C15" s="60">
        <v>78</v>
      </c>
      <c r="D15" s="62">
        <v>85</v>
      </c>
    </row>
    <row r="16" spans="2:8" ht="15" thickBot="1" x14ac:dyDescent="0.35">
      <c r="B16" s="50" t="s">
        <v>92</v>
      </c>
      <c r="C16" s="60">
        <v>68</v>
      </c>
      <c r="D16" s="62">
        <v>72</v>
      </c>
    </row>
    <row r="17" spans="2:4" ht="15" thickBot="1" x14ac:dyDescent="0.35">
      <c r="B17" s="50" t="s">
        <v>68</v>
      </c>
      <c r="C17" s="60">
        <v>8</v>
      </c>
      <c r="D17" s="62">
        <v>9</v>
      </c>
    </row>
    <row r="18" spans="2:4" ht="15" thickBot="1" x14ac:dyDescent="0.35">
      <c r="B18" s="50" t="s">
        <v>93</v>
      </c>
      <c r="C18" s="60">
        <v>30</v>
      </c>
      <c r="D18" s="62">
        <v>35</v>
      </c>
    </row>
    <row r="19" spans="2:4" ht="15" thickBot="1" x14ac:dyDescent="0.35">
      <c r="B19" s="50" t="s">
        <v>23</v>
      </c>
      <c r="C19" s="60">
        <v>50</v>
      </c>
      <c r="D19" s="62">
        <v>57</v>
      </c>
    </row>
    <row r="20" spans="2:4" ht="15" thickBot="1" x14ac:dyDescent="0.35">
      <c r="B20" s="50" t="s">
        <v>24</v>
      </c>
      <c r="C20" s="60">
        <v>35</v>
      </c>
      <c r="D20" s="62">
        <v>36</v>
      </c>
    </row>
    <row r="21" spans="2:4" ht="15" thickBot="1" x14ac:dyDescent="0.35">
      <c r="B21" s="50" t="s">
        <v>25</v>
      </c>
      <c r="C21" s="60">
        <v>30</v>
      </c>
      <c r="D21" s="62">
        <v>31</v>
      </c>
    </row>
    <row r="22" spans="2:4" ht="15" thickBot="1" x14ac:dyDescent="0.35">
      <c r="B22" s="50" t="s">
        <v>98</v>
      </c>
      <c r="C22" s="60">
        <v>5</v>
      </c>
      <c r="D22" s="62">
        <v>5.5</v>
      </c>
    </row>
    <row r="23" spans="2:4" ht="15" thickBot="1" x14ac:dyDescent="0.35">
      <c r="B23" s="50" t="s">
        <v>94</v>
      </c>
      <c r="C23" s="60">
        <v>9</v>
      </c>
      <c r="D23" s="62">
        <v>13</v>
      </c>
    </row>
    <row r="24" spans="2:4" ht="15" thickBot="1" x14ac:dyDescent="0.35">
      <c r="B24" s="50" t="s">
        <v>42</v>
      </c>
      <c r="C24" s="60">
        <v>9</v>
      </c>
      <c r="D24" s="62">
        <v>13</v>
      </c>
    </row>
    <row r="25" spans="2:4" ht="15" thickBot="1" x14ac:dyDescent="0.35">
      <c r="B25" s="50" t="s">
        <v>39</v>
      </c>
      <c r="C25" s="60">
        <v>12</v>
      </c>
      <c r="D25" s="62">
        <v>14</v>
      </c>
    </row>
    <row r="26" spans="2:4" ht="15" thickBot="1" x14ac:dyDescent="0.35">
      <c r="B26" s="50" t="s">
        <v>99</v>
      </c>
      <c r="C26" s="60">
        <v>13</v>
      </c>
      <c r="D26" s="62">
        <v>16</v>
      </c>
    </row>
    <row r="27" spans="2:4" ht="15" thickBot="1" x14ac:dyDescent="0.35">
      <c r="B27" s="50" t="s">
        <v>95</v>
      </c>
      <c r="C27" s="60">
        <v>12</v>
      </c>
      <c r="D27" s="62">
        <v>16</v>
      </c>
    </row>
    <row r="28" spans="2:4" ht="15" thickBot="1" x14ac:dyDescent="0.35">
      <c r="B28" s="50" t="s">
        <v>97</v>
      </c>
      <c r="C28" s="60">
        <v>30</v>
      </c>
      <c r="D28" s="62">
        <v>31</v>
      </c>
    </row>
    <row r="29" spans="2:4" ht="15" thickBot="1" x14ac:dyDescent="0.35">
      <c r="B29" s="50" t="s">
        <v>43</v>
      </c>
      <c r="C29" s="60">
        <v>3</v>
      </c>
      <c r="D29" s="62">
        <v>3.5</v>
      </c>
    </row>
    <row r="30" spans="2:4" ht="15" thickBot="1" x14ac:dyDescent="0.35">
      <c r="B30" s="50" t="s">
        <v>32</v>
      </c>
      <c r="C30" s="60">
        <v>60</v>
      </c>
      <c r="D30" s="62">
        <v>61</v>
      </c>
    </row>
    <row r="31" spans="2:4" ht="15" thickBot="1" x14ac:dyDescent="0.35">
      <c r="B31" s="50" t="s">
        <v>33</v>
      </c>
      <c r="C31" s="60">
        <v>40</v>
      </c>
      <c r="D31" s="62">
        <v>42</v>
      </c>
    </row>
    <row r="32" spans="2:4" ht="15" thickBot="1" x14ac:dyDescent="0.35">
      <c r="B32" s="50" t="s">
        <v>30</v>
      </c>
      <c r="C32" s="60">
        <v>35</v>
      </c>
      <c r="D32" s="62">
        <v>37</v>
      </c>
    </row>
    <row r="33" spans="2:4" ht="15" thickBot="1" x14ac:dyDescent="0.35">
      <c r="B33" s="50" t="s">
        <v>31</v>
      </c>
      <c r="C33" s="60">
        <v>29</v>
      </c>
      <c r="D33" s="62">
        <v>31</v>
      </c>
    </row>
    <row r="34" spans="2:4" ht="15" thickBot="1" x14ac:dyDescent="0.35">
      <c r="B34" s="50" t="s">
        <v>84</v>
      </c>
      <c r="C34" s="60">
        <v>5</v>
      </c>
      <c r="D34" s="62">
        <v>5</v>
      </c>
    </row>
    <row r="35" spans="2:4" ht="15" thickBot="1" x14ac:dyDescent="0.35">
      <c r="B35" s="50" t="s">
        <v>85</v>
      </c>
      <c r="C35" s="60">
        <v>10</v>
      </c>
      <c r="D35" s="62">
        <v>10</v>
      </c>
    </row>
    <row r="36" spans="2:4" ht="15" thickBot="1" x14ac:dyDescent="0.35">
      <c r="B36" s="50" t="s">
        <v>86</v>
      </c>
      <c r="C36" s="60">
        <v>40</v>
      </c>
      <c r="D36" s="62">
        <v>40</v>
      </c>
    </row>
    <row r="37" spans="2:4" ht="15" thickBot="1" x14ac:dyDescent="0.35">
      <c r="B37" s="50" t="s">
        <v>87</v>
      </c>
      <c r="C37" s="60">
        <v>100</v>
      </c>
      <c r="D37" s="62">
        <v>100</v>
      </c>
    </row>
    <row r="38" spans="2:4" ht="15" thickBot="1" x14ac:dyDescent="0.35">
      <c r="B38" s="50" t="s">
        <v>46</v>
      </c>
      <c r="C38" s="60">
        <v>14</v>
      </c>
      <c r="D38" s="62">
        <v>15</v>
      </c>
    </row>
    <row r="39" spans="2:4" ht="15" thickBot="1" x14ac:dyDescent="0.35">
      <c r="B39" s="50" t="s">
        <v>47</v>
      </c>
      <c r="C39" s="60">
        <v>13</v>
      </c>
      <c r="D39" s="62">
        <v>14</v>
      </c>
    </row>
    <row r="40" spans="2:4" ht="15" thickBot="1" x14ac:dyDescent="0.35">
      <c r="B40" s="50" t="s">
        <v>48</v>
      </c>
      <c r="C40" s="60">
        <v>6</v>
      </c>
      <c r="D40" s="62">
        <v>8</v>
      </c>
    </row>
    <row r="41" spans="2:4" ht="15" thickBot="1" x14ac:dyDescent="0.35">
      <c r="B41" s="50" t="s">
        <v>83</v>
      </c>
      <c r="C41" s="61">
        <v>0</v>
      </c>
      <c r="D41" s="63">
        <v>0</v>
      </c>
    </row>
    <row r="42" spans="2:4" ht="15" thickBot="1" x14ac:dyDescent="0.35">
      <c r="B42" s="50" t="s">
        <v>96</v>
      </c>
      <c r="C42" s="60">
        <v>12</v>
      </c>
      <c r="D42" s="62">
        <v>13</v>
      </c>
    </row>
    <row r="43" spans="2:4" ht="15" thickBot="1" x14ac:dyDescent="0.35">
      <c r="B43" s="50" t="s">
        <v>73</v>
      </c>
      <c r="C43" s="60">
        <v>3</v>
      </c>
      <c r="D43" s="62">
        <v>3.45</v>
      </c>
    </row>
    <row r="44" spans="2:4" ht="15" thickBot="1" x14ac:dyDescent="0.35">
      <c r="B44" s="72" t="s">
        <v>74</v>
      </c>
      <c r="C44" s="73">
        <v>5</v>
      </c>
      <c r="D44" s="73">
        <v>5.5</v>
      </c>
    </row>
    <row r="45" spans="2:4" ht="15" thickBot="1" x14ac:dyDescent="0.35">
      <c r="B45" s="50" t="s">
        <v>70</v>
      </c>
      <c r="C45" s="60">
        <v>5</v>
      </c>
      <c r="D45" s="62">
        <v>5.5</v>
      </c>
    </row>
    <row r="46" spans="2:4" ht="15" thickBot="1" x14ac:dyDescent="0.35">
      <c r="B46" s="50" t="s">
        <v>64</v>
      </c>
      <c r="C46" s="60">
        <v>90</v>
      </c>
      <c r="D46" s="62">
        <v>92</v>
      </c>
    </row>
    <row r="47" spans="2:4" ht="15" thickBot="1" x14ac:dyDescent="0.35">
      <c r="B47" s="50" t="s">
        <v>65</v>
      </c>
      <c r="C47" s="60">
        <v>89</v>
      </c>
      <c r="D47" s="62">
        <v>90</v>
      </c>
    </row>
    <row r="48" spans="2:4" ht="15" thickBot="1" x14ac:dyDescent="0.35">
      <c r="B48" s="50" t="s">
        <v>66</v>
      </c>
      <c r="C48" s="60">
        <v>90</v>
      </c>
      <c r="D48" s="62">
        <v>92</v>
      </c>
    </row>
    <row r="49" spans="2:4" ht="15" thickBot="1" x14ac:dyDescent="0.35">
      <c r="B49" s="50" t="s">
        <v>100</v>
      </c>
      <c r="C49" s="60">
        <v>70</v>
      </c>
      <c r="D49" s="62">
        <v>74</v>
      </c>
    </row>
    <row r="50" spans="2:4" ht="15" thickBot="1" x14ac:dyDescent="0.35">
      <c r="B50" s="50" t="s">
        <v>101</v>
      </c>
      <c r="C50" s="60">
        <v>1.3</v>
      </c>
      <c r="D50" s="62">
        <v>1.4</v>
      </c>
    </row>
    <row r="51" spans="2:4" ht="15" thickBot="1" x14ac:dyDescent="0.35">
      <c r="B51" s="50" t="s">
        <v>102</v>
      </c>
      <c r="C51" s="60">
        <v>5</v>
      </c>
      <c r="D51" s="62">
        <v>6</v>
      </c>
    </row>
    <row r="52" spans="2:4" ht="15" thickBot="1" x14ac:dyDescent="0.35">
      <c r="B52" s="50" t="s">
        <v>26</v>
      </c>
      <c r="C52" s="60">
        <v>45</v>
      </c>
      <c r="D52" s="62">
        <v>47</v>
      </c>
    </row>
    <row r="53" spans="2:4" ht="15" thickBot="1" x14ac:dyDescent="0.35">
      <c r="B53" s="50" t="s">
        <v>27</v>
      </c>
      <c r="C53" s="60">
        <v>45</v>
      </c>
      <c r="D53" s="62">
        <v>47</v>
      </c>
    </row>
    <row r="54" spans="2:4" ht="15" thickBot="1" x14ac:dyDescent="0.35">
      <c r="B54" s="50" t="s">
        <v>28</v>
      </c>
      <c r="C54" s="60">
        <v>45</v>
      </c>
      <c r="D54" s="62">
        <v>47</v>
      </c>
    </row>
    <row r="55" spans="2:4" ht="15" thickBot="1" x14ac:dyDescent="0.35">
      <c r="B55" s="50" t="s">
        <v>29</v>
      </c>
      <c r="C55" s="60">
        <v>2.5</v>
      </c>
      <c r="D55" s="62">
        <v>2.88</v>
      </c>
    </row>
    <row r="56" spans="2:4" ht="15" thickBot="1" x14ac:dyDescent="0.35">
      <c r="B56" s="50" t="s">
        <v>34</v>
      </c>
      <c r="C56" s="60">
        <v>17</v>
      </c>
      <c r="D56" s="62">
        <v>18</v>
      </c>
    </row>
    <row r="57" spans="2:4" ht="15" thickBot="1" x14ac:dyDescent="0.35">
      <c r="B57" s="50" t="s">
        <v>35</v>
      </c>
      <c r="C57" s="60">
        <v>60</v>
      </c>
      <c r="D57" s="62">
        <v>62</v>
      </c>
    </row>
    <row r="58" spans="2:4" ht="15" thickBot="1" x14ac:dyDescent="0.35">
      <c r="B58" s="50" t="s">
        <v>36</v>
      </c>
      <c r="C58" s="60">
        <v>45</v>
      </c>
      <c r="D58" s="62">
        <v>47</v>
      </c>
    </row>
    <row r="59" spans="2:4" ht="15" thickBot="1" x14ac:dyDescent="0.35">
      <c r="B59" s="50" t="s">
        <v>37</v>
      </c>
      <c r="C59" s="60">
        <v>10</v>
      </c>
      <c r="D59" s="62">
        <v>11.5</v>
      </c>
    </row>
    <row r="60" spans="2:4" ht="15" thickBot="1" x14ac:dyDescent="0.35">
      <c r="B60" s="50" t="s">
        <v>38</v>
      </c>
      <c r="C60" s="60">
        <v>10</v>
      </c>
      <c r="D60" s="62">
        <v>11.5</v>
      </c>
    </row>
    <row r="61" spans="2:4" ht="15" thickBot="1" x14ac:dyDescent="0.35">
      <c r="B61" s="50" t="s">
        <v>40</v>
      </c>
      <c r="C61" s="60">
        <v>12</v>
      </c>
      <c r="D61" s="62">
        <v>13</v>
      </c>
    </row>
    <row r="62" spans="2:4" ht="15" thickBot="1" x14ac:dyDescent="0.35">
      <c r="B62" s="50" t="s">
        <v>41</v>
      </c>
      <c r="C62" s="60">
        <v>8</v>
      </c>
      <c r="D62" s="62">
        <v>9</v>
      </c>
    </row>
    <row r="63" spans="2:4" ht="15" thickBot="1" x14ac:dyDescent="0.35">
      <c r="B63" s="50" t="s">
        <v>69</v>
      </c>
      <c r="C63" s="60">
        <v>1.5</v>
      </c>
      <c r="D63" s="62">
        <v>1.73</v>
      </c>
    </row>
    <row r="64" spans="2:4" ht="15" thickBot="1" x14ac:dyDescent="0.35">
      <c r="B64" s="50" t="s">
        <v>108</v>
      </c>
      <c r="C64" s="60">
        <v>50</v>
      </c>
      <c r="D64" s="62">
        <v>54</v>
      </c>
    </row>
    <row r="65" spans="2:4" ht="15" thickBot="1" x14ac:dyDescent="0.35">
      <c r="B65" s="50" t="s">
        <v>44</v>
      </c>
      <c r="C65" s="60">
        <v>3</v>
      </c>
      <c r="D65" s="62">
        <v>3.45</v>
      </c>
    </row>
    <row r="66" spans="2:4" ht="15" thickBot="1" x14ac:dyDescent="0.35">
      <c r="B66" s="50" t="s">
        <v>45</v>
      </c>
      <c r="C66" s="60">
        <v>5</v>
      </c>
      <c r="D66" s="62">
        <v>8</v>
      </c>
    </row>
    <row r="67" spans="2:4" ht="15" thickBot="1" x14ac:dyDescent="0.35">
      <c r="B67" s="50" t="s">
        <v>49</v>
      </c>
      <c r="C67" s="60">
        <v>12</v>
      </c>
      <c r="D67" s="62">
        <v>13</v>
      </c>
    </row>
    <row r="68" spans="2:4" ht="15" thickBot="1" x14ac:dyDescent="0.35">
      <c r="B68" s="50" t="s">
        <v>50</v>
      </c>
      <c r="C68" s="60">
        <v>12</v>
      </c>
      <c r="D68" s="62">
        <v>13</v>
      </c>
    </row>
    <row r="69" spans="2:4" ht="15" thickBot="1" x14ac:dyDescent="0.35">
      <c r="B69" s="50" t="s">
        <v>51</v>
      </c>
      <c r="C69" s="60">
        <v>10</v>
      </c>
      <c r="D69" s="62">
        <v>11</v>
      </c>
    </row>
    <row r="70" spans="2:4" ht="15" thickBot="1" x14ac:dyDescent="0.35">
      <c r="B70" s="50" t="s">
        <v>52</v>
      </c>
      <c r="C70" s="60">
        <v>2</v>
      </c>
      <c r="D70" s="62">
        <v>2.88</v>
      </c>
    </row>
    <row r="71" spans="2:4" ht="15" thickBot="1" x14ac:dyDescent="0.35">
      <c r="B71" s="50" t="s">
        <v>72</v>
      </c>
      <c r="C71" s="60">
        <v>2.5</v>
      </c>
      <c r="D71" s="62">
        <v>2.88</v>
      </c>
    </row>
    <row r="72" spans="2:4" ht="15" thickBot="1" x14ac:dyDescent="0.35">
      <c r="B72" s="50" t="s">
        <v>71</v>
      </c>
      <c r="C72" s="60">
        <v>2</v>
      </c>
      <c r="D72" s="62">
        <v>2.1</v>
      </c>
    </row>
    <row r="73" spans="2:4" ht="15" thickBot="1" x14ac:dyDescent="0.35">
      <c r="B73" s="50" t="s">
        <v>53</v>
      </c>
      <c r="C73" s="60">
        <v>70</v>
      </c>
      <c r="D73" s="62">
        <v>72</v>
      </c>
    </row>
    <row r="74" spans="2:4" ht="15" thickBot="1" x14ac:dyDescent="0.35">
      <c r="B74" s="50" t="s">
        <v>54</v>
      </c>
      <c r="C74" s="60">
        <v>80</v>
      </c>
      <c r="D74" s="62">
        <v>82</v>
      </c>
    </row>
    <row r="75" spans="2:4" ht="15" thickBot="1" x14ac:dyDescent="0.35">
      <c r="B75" s="50" t="s">
        <v>55</v>
      </c>
      <c r="C75" s="60">
        <v>150</v>
      </c>
      <c r="D75" s="62">
        <v>160</v>
      </c>
    </row>
  </sheetData>
  <mergeCells count="1">
    <mergeCell ref="B2:D2"/>
  </mergeCells>
  <pageMargins left="0.7" right="0.7" top="0.75" bottom="0.75" header="0.3" footer="0.3"/>
  <pageSetup orientation="portrait" horizontalDpi="300" verticalDpi="300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8DBBC8-ABE1-4F73-B5D5-53FCED04256C}">
  <sheetPr codeName="Sheet9"/>
  <dimension ref="A1:C14"/>
  <sheetViews>
    <sheetView workbookViewId="0">
      <selection activeCell="D56" sqref="D56"/>
    </sheetView>
  </sheetViews>
  <sheetFormatPr defaultColWidth="9.109375" defaultRowHeight="14.4" x14ac:dyDescent="0.3"/>
  <cols>
    <col min="1" max="1" width="11.6640625" style="37" customWidth="1"/>
    <col min="2" max="2" width="12.6640625" style="37" bestFit="1" customWidth="1"/>
    <col min="3" max="3" width="9.109375" style="37"/>
    <col min="4" max="4" width="9.5546875" style="37" customWidth="1"/>
    <col min="5" max="16384" width="9.109375" style="37"/>
  </cols>
  <sheetData>
    <row r="1" spans="1:3" ht="14.4" customHeight="1" x14ac:dyDescent="0.3"/>
    <row r="2" spans="1:3" ht="14.4" customHeight="1" x14ac:dyDescent="0.3"/>
    <row r="3" spans="1:3" ht="14.4" customHeight="1" x14ac:dyDescent="0.3"/>
    <row r="4" spans="1:3" ht="14.4" customHeight="1" x14ac:dyDescent="0.3"/>
    <row r="5" spans="1:3" ht="14.4" customHeight="1" x14ac:dyDescent="0.3"/>
    <row r="6" spans="1:3" ht="14.4" customHeight="1" x14ac:dyDescent="0.3"/>
    <row r="7" spans="1:3" ht="14.4" customHeight="1" x14ac:dyDescent="0.3">
      <c r="B7" s="37" t="s">
        <v>78</v>
      </c>
    </row>
    <row r="8" spans="1:3" ht="14.4" customHeight="1" x14ac:dyDescent="0.3">
      <c r="B8" s="37" t="s">
        <v>79</v>
      </c>
    </row>
    <row r="9" spans="1:3" ht="14.4" customHeight="1" x14ac:dyDescent="0.3"/>
    <row r="10" spans="1:3" ht="14.4" customHeight="1" x14ac:dyDescent="0.3"/>
    <row r="14" spans="1:3" x14ac:dyDescent="0.3">
      <c r="A14" s="226" t="s">
        <v>82</v>
      </c>
      <c r="B14" s="226"/>
      <c r="C14" s="37" cm="1">
        <f t="array" ref="C14">IF($H$10="NO",_xlfn.SWITCH(A14,'Price List'!$B$5,'Price List'!$C$5,'Price List'!$B$6,'Price List'!$C$6,'Price List'!$B$7,'Price List'!$C$7,'Price List'!$B$8,'Price List'!$C$8,'Price List'!$B$9,'Price List'!$C$9,'Price List'!$B$10,'Price List'!$C$10,'Price List'!$B$11,'Price List'!$C$11,'Price List'!$B$12,'Price List'!$C$12,'Price List'!$B$13,'Price List'!$C$13,'Price List'!$B$14,'Price List'!$C$14,'Price List'!$B$15,'Price List'!$C$15,'Price List'!$B$16,'Price List'!$C$16,'Price List'!$B$17,'Price List'!$C$17,'Price List'!$B$18,'Price List'!$C$18,'Price List'!$B$19,'Price List'!$C$19,'Price List'!$B$20,'Price List'!$C$20,'Price List'!$B$21,'Price List'!$C$21,'Price List'!$B$22,'Price List'!$C$22,'Price List'!$B$23,'Price List'!$C$23,'Price List'!$B$24,'Price List'!$C$24,'Price List'!$B$25,'Price List'!$C$25,'Price List'!$B$26,'Price List'!$C$26,'Price List'!$B$27,'Price List'!$C$27,'Price List'!$B$28,'Price List'!$C$28,'Price List'!$B$29,'Price List'!$C$29,'Price List'!$B$30,'Price List'!$C$30,'Price List'!$B$31,'Price List'!$C$31,'Price List'!$B$32,'Price List'!$C$32,'Price List'!$B$33,'Price List'!$C$33,'Price List'!$B$34,'Price List'!$C$34,'Price List'!$B$35,'Price List'!$C$35,'Price List'!$B$36,'Price List'!$C$36,'Price List'!$B$37,'Price List'!$C$37,'Price List'!$B$38,'Price List'!$C$38,'Price List'!$B$39,'Price List'!$C$39,'Price List'!$B$40,'Price List'!$C$40,'Price List'!$B$41,'Price List'!$C$41,'Price List'!$B$42,'Price List'!$C$42,'Price List'!$B$43,'Price List'!$C$43,'Price List'!$B$44,'Price List'!$C$44,'Price List'!$B$45,'Price List'!$C$45,'Price List'!$B$46,'Price List'!$C$46,'Price List'!$B$47,'Price List'!$C$47,'Price List'!$B$48,'Price List'!$C$48,'Price List'!$B$49,'Price List'!$C$49,'Price List'!$B$50,'Price List'!$C$50,'Price List'!$B$51,'Price List'!$C$51,'Price List'!$B$52,'Price List'!$C$52,'Price List'!$B$53,'Price List'!$C$53,'Price List'!$B$54,'Price List'!$C$54,'Price List'!$B$55,'Price List'!$C$55,'Price List'!$B$56,'Price List'!$C$56,'Price List'!$B$57,'Price List'!$C$57,'Price List'!$B$58,'Price List'!$C$58,'Price List'!$B$59,'Price List'!$C$59,'Price List'!$B$60,'Price List'!$C$60,'Price List'!$B$61,'Price List'!$C$61,'Price List'!$B$62,'Price List'!$C$62,'Price List'!$B$63,'Price List'!$C$63,'Price List'!$B$64,'Price List'!$C$64,'Price List'!$B$65,'Price List'!$C$65,'Price List'!$B$66,'Price List'!$C$66,'Price List'!$B$67,'Price List'!$C$67,'Price List'!$B$68,'Price List'!$C$68,'Price List'!$B$69,'Price List'!$C$69,'Price List'!$B$70,'Price List'!$C$70,'Price List'!$B$71,'Price List'!$C$71,'Price List'!$B$72,'Price List'!$C$72,'Price List'!$B$73,'Price List'!$C$73,'Price List'!$B$74,'Price List'!$C$74,'Price List'!$B$75,'Price List'!$C$75,'Price List'!$B$76,'Price List'!$C$76,0),_xlfn.SWITCH(A14,'Price List'!$B$5,'Price List'!$D$5,'Price List'!$B$6,'Price List'!$D$6,'Price List'!$B$7,'Price List'!$D$7,'Price List'!$B$8,'Price List'!$D$8,'Price List'!$B$9,'Price List'!$D$9,'Price List'!$B$10,'Price List'!$D$10,'Price List'!$B$11,'Price List'!$D$11,'Price List'!$B$12,'Price List'!$D$12,'Price List'!$B$13,'Price List'!$D$13,'Price List'!$B$14,'Price List'!$D$14,'Price List'!$B$15,'Price List'!$D$15,'Price List'!$B$16,'Price List'!$D$16,'Price List'!$B$17,'Price List'!$D$17,'Price List'!$B$18,'Price List'!$D$18,'Price List'!$B$19,'Price List'!$D$19,'Price List'!$B$20,'Price List'!$D$20,'Price List'!$B$21,'Price List'!$D$21,'Price List'!$B$22,'Price List'!$D$22,'Price List'!$B$23,'Price List'!$D$23,'Price List'!$B$24,'Price List'!$D$24,'Price List'!$B$25,'Price List'!$D$25,'Price List'!$B$26,'Price List'!$D$26,'Price List'!$B$27,'Price List'!$D$27,'Price List'!$B$28,'Price List'!$D$28,'Price List'!$B$29,'Price List'!$D$29,'Price List'!$B$30,'Price List'!$D$30,'Price List'!$B$31,'Price List'!$D$31,'Price List'!$B$32,'Price List'!$D$32,'Price List'!$B$33,'Price List'!$D$33,'Price List'!$B$34,'Price List'!$D$34,'Price List'!$B$35,'Price List'!$D$35,'Price List'!$B$36,'Price List'!$D$36,'Price List'!$B$37,'Price List'!$D$37,'Price List'!$B$38,'Price List'!$D$38,'Price List'!$B$39,'Price List'!$D$39,'Price List'!$B$40,'Price List'!$D$40,'Price List'!$B$41,'Price List'!$D$41,'Price List'!$B$42,'Price List'!$D$42,'Price List'!$B$43,'Price List'!$D$43,'Price List'!$B$44,'Price List'!$D$44,'Price List'!$B$45,'Price List'!$D$45,'Price List'!$B$46,'Price List'!$D$46,'Price List'!$B$47,'Price List'!$D$47,'Price List'!$B$48,'Price List'!$D$48,'Price List'!$B$49,'Price List'!$D$49,'Price List'!$B$50,'Price List'!$D$50,'Price List'!$B$51,'Price List'!$D$51,'Price List'!$B$52,'Price List'!$D$52,'Price List'!$B$53,'Price List'!$D$53,'Price List'!$B$54,'Price List'!$D$54,'Price List'!$B$55,'Price List'!$D$55,'Price List'!$B$56,'Price List'!$D$56,'Price List'!$B$57,'Price List'!$D$57,'Price List'!$B$58,'Price List'!$D$58,'Price List'!$B$59,'Price List'!$D$59,'Price List'!$B$60,'Price List'!$D$60,'Price List'!$B$61,'Price List'!$D$61,'Price List'!$B$62,'Price List'!$D$62,'Price List'!$B$63,'Price List'!$D$63,'Price List'!$B$64,'Price List'!$D$64,'Price List'!$B$65,'Price List'!$D$65,'Price List'!$B$66,'Price List'!$D$66,'Price List'!$B$67,'Price List'!$D$67,'Price List'!$B$68,'Price List'!$D$68,'Price List'!$B$69,'Price List'!$D$69,'Price List'!$B$70,'Price List'!$D$70,'Price List'!$B$71,'Price List'!$D$71,'Price List'!$B$72,'Price List'!$D$72,'Price List'!$B$73,'Price List'!$D$73,'Price List'!$B$74,'Price List'!$D$74,'Price List'!$B$75,'Price List'!$D$75,'Price List'!$B$76,'Price List'!$D$76,0))</f>
        <v>0</v>
      </c>
    </row>
  </sheetData>
  <mergeCells count="1">
    <mergeCell ref="A14:B14"/>
  </mergeCells>
  <pageMargins left="0.7" right="0.7" top="0.75" bottom="0.75" header="0.3" footer="0.3"/>
  <pageSetup paperSize="0" orientation="portrait" horizontalDpi="203" verticalDpi="203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69B1BE-F244-458E-8E84-96BDD84798EF}">
  <sheetPr codeName="Sheet31"/>
  <dimension ref="A1:D29"/>
  <sheetViews>
    <sheetView showZeros="0" workbookViewId="0">
      <selection sqref="A1:D30"/>
    </sheetView>
  </sheetViews>
  <sheetFormatPr defaultColWidth="8.88671875" defaultRowHeight="14.4" x14ac:dyDescent="0.3"/>
  <cols>
    <col min="1" max="1" width="10.5546875" style="37" customWidth="1"/>
    <col min="2" max="2" width="9" style="37" customWidth="1"/>
    <col min="3" max="3" width="11.33203125" style="37" customWidth="1"/>
    <col min="4" max="4" width="11" style="37" customWidth="1"/>
    <col min="5" max="5" width="10.5546875" style="37" customWidth="1"/>
    <col min="6" max="6" width="12.6640625" style="37" customWidth="1"/>
    <col min="7" max="7" width="20.33203125" style="37" customWidth="1"/>
    <col min="8" max="8" width="9.6640625" style="37" customWidth="1"/>
    <col min="9" max="9" width="8.6640625" style="37" customWidth="1"/>
    <col min="10" max="10" width="8.88671875" style="37"/>
    <col min="11" max="11" width="21.88671875" style="37" customWidth="1"/>
    <col min="12" max="12" width="11.109375" style="37" customWidth="1"/>
    <col min="13" max="13" width="10.88671875" style="37" customWidth="1"/>
    <col min="14" max="16384" width="8.88671875" style="37"/>
  </cols>
  <sheetData>
    <row r="1" spans="1:4" ht="14.4" customHeight="1" x14ac:dyDescent="0.3">
      <c r="A1" s="195"/>
      <c r="B1" s="196"/>
      <c r="C1" s="196"/>
      <c r="D1" s="197"/>
    </row>
    <row r="2" spans="1:4" ht="14.4" customHeight="1" x14ac:dyDescent="0.3">
      <c r="A2" s="198"/>
      <c r="B2" s="199"/>
      <c r="C2" s="199"/>
      <c r="D2" s="200"/>
    </row>
    <row r="3" spans="1:4" ht="14.4" customHeight="1" x14ac:dyDescent="0.3">
      <c r="A3" s="198"/>
      <c r="B3" s="199"/>
      <c r="C3" s="199"/>
      <c r="D3" s="200"/>
    </row>
    <row r="4" spans="1:4" ht="14.4" customHeight="1" x14ac:dyDescent="0.3">
      <c r="A4" s="198"/>
      <c r="B4" s="199"/>
      <c r="C4" s="199"/>
      <c r="D4" s="200"/>
    </row>
    <row r="5" spans="1:4" ht="14.4" customHeight="1" x14ac:dyDescent="0.3">
      <c r="A5" s="198"/>
      <c r="B5" s="199"/>
      <c r="C5" s="199"/>
      <c r="D5" s="200"/>
    </row>
    <row r="6" spans="1:4" ht="14.4" customHeight="1" x14ac:dyDescent="0.3">
      <c r="A6" s="201"/>
      <c r="B6" s="202"/>
      <c r="C6" s="202"/>
      <c r="D6" s="203"/>
    </row>
    <row r="7" spans="1:4" ht="14.4" customHeight="1" x14ac:dyDescent="0.3">
      <c r="A7" s="209"/>
      <c r="B7" s="210"/>
      <c r="C7" s="210"/>
      <c r="D7" s="211"/>
    </row>
    <row r="8" spans="1:4" ht="14.4" customHeight="1" x14ac:dyDescent="0.3">
      <c r="A8" s="198"/>
      <c r="B8" s="199"/>
      <c r="C8" s="199"/>
      <c r="D8" s="200"/>
    </row>
    <row r="9" spans="1:4" ht="14.4" customHeight="1" x14ac:dyDescent="0.3">
      <c r="A9" s="198"/>
      <c r="B9" s="199"/>
      <c r="C9" s="199"/>
      <c r="D9" s="200"/>
    </row>
    <row r="10" spans="1:4" ht="26.4" customHeight="1" x14ac:dyDescent="0.3">
      <c r="A10" s="201"/>
      <c r="B10" s="202"/>
      <c r="C10" s="202"/>
      <c r="D10" s="203"/>
    </row>
    <row r="11" spans="1:4" ht="18.600000000000001" thickBot="1" x14ac:dyDescent="0.4">
      <c r="A11" s="206">
        <f ca="1">TODAY()</f>
        <v>44183</v>
      </c>
      <c r="B11" s="207"/>
      <c r="C11" s="207"/>
      <c r="D11" s="208"/>
    </row>
    <row r="12" spans="1:4" ht="21.6" thickTop="1" x14ac:dyDescent="0.3">
      <c r="A12" s="135" t="s">
        <v>61</v>
      </c>
      <c r="B12" s="136" t="s">
        <v>62</v>
      </c>
      <c r="C12" s="136" t="s">
        <v>63</v>
      </c>
      <c r="D12" s="137" t="s">
        <v>60</v>
      </c>
    </row>
    <row r="13" spans="1:4" ht="17.399999999999999" x14ac:dyDescent="0.3">
      <c r="A13" s="67"/>
      <c r="B13" s="68"/>
      <c r="C13" s="69"/>
      <c r="D13" s="70"/>
    </row>
    <row r="14" spans="1:4" ht="46.8" x14ac:dyDescent="0.3">
      <c r="A14" s="131" t="s">
        <v>90</v>
      </c>
      <c r="B14" s="156">
        <v>9</v>
      </c>
      <c r="C14" s="157">
        <v>80</v>
      </c>
      <c r="D14" s="158">
        <v>720</v>
      </c>
    </row>
    <row r="15" spans="1:4" ht="23.4" x14ac:dyDescent="0.3">
      <c r="A15" s="131"/>
      <c r="B15" s="159"/>
      <c r="C15" s="160">
        <v>0</v>
      </c>
      <c r="D15" s="161">
        <v>0</v>
      </c>
    </row>
    <row r="16" spans="1:4" ht="23.4" x14ac:dyDescent="0.3">
      <c r="A16" s="131"/>
      <c r="B16" s="159"/>
      <c r="C16" s="160">
        <v>0</v>
      </c>
      <c r="D16" s="161">
        <v>0</v>
      </c>
    </row>
    <row r="17" spans="1:4" ht="23.4" x14ac:dyDescent="0.3">
      <c r="A17" s="131"/>
      <c r="B17" s="159"/>
      <c r="C17" s="160">
        <v>0</v>
      </c>
      <c r="D17" s="161">
        <v>0</v>
      </c>
    </row>
    <row r="18" spans="1:4" ht="23.4" x14ac:dyDescent="0.3">
      <c r="A18" s="131"/>
      <c r="B18" s="159"/>
      <c r="C18" s="160">
        <v>0</v>
      </c>
      <c r="D18" s="161">
        <v>0</v>
      </c>
    </row>
    <row r="19" spans="1:4" ht="23.4" x14ac:dyDescent="0.3">
      <c r="A19" s="131"/>
      <c r="B19" s="159"/>
      <c r="C19" s="160">
        <v>0</v>
      </c>
      <c r="D19" s="161">
        <v>0</v>
      </c>
    </row>
    <row r="20" spans="1:4" ht="23.4" x14ac:dyDescent="0.3">
      <c r="A20" s="131"/>
      <c r="B20" s="159"/>
      <c r="C20" s="160">
        <v>0</v>
      </c>
      <c r="D20" s="161">
        <v>0</v>
      </c>
    </row>
    <row r="21" spans="1:4" ht="23.4" x14ac:dyDescent="0.3">
      <c r="A21" s="131"/>
      <c r="B21" s="159"/>
      <c r="C21" s="160">
        <v>0</v>
      </c>
      <c r="D21" s="161">
        <v>0</v>
      </c>
    </row>
    <row r="22" spans="1:4" ht="23.4" x14ac:dyDescent="0.3">
      <c r="A22" s="131"/>
      <c r="B22" s="159"/>
      <c r="C22" s="160">
        <v>0</v>
      </c>
      <c r="D22" s="161">
        <v>0</v>
      </c>
    </row>
    <row r="23" spans="1:4" ht="23.4" x14ac:dyDescent="0.3">
      <c r="A23" s="131"/>
      <c r="B23" s="159"/>
      <c r="C23" s="160">
        <v>0</v>
      </c>
      <c r="D23" s="161">
        <v>0</v>
      </c>
    </row>
    <row r="24" spans="1:4" ht="16.2" thickBot="1" x14ac:dyDescent="0.35">
      <c r="A24" s="56"/>
      <c r="B24" s="57"/>
      <c r="C24" s="58"/>
      <c r="D24" s="59"/>
    </row>
    <row r="25" spans="1:4" ht="24" thickBot="1" x14ac:dyDescent="0.35">
      <c r="A25" s="144" t="s">
        <v>57</v>
      </c>
      <c r="B25" s="162">
        <f>SUM(B14:B23)</f>
        <v>9</v>
      </c>
      <c r="C25" s="204">
        <f>SUM(D14:D23)</f>
        <v>720</v>
      </c>
      <c r="D25" s="205"/>
    </row>
    <row r="26" spans="1:4" ht="15" thickTop="1" x14ac:dyDescent="0.3">
      <c r="A26" s="66"/>
      <c r="B26" s="64"/>
      <c r="C26" s="64"/>
      <c r="D26" s="65"/>
    </row>
    <row r="27" spans="1:4" ht="23.4" x14ac:dyDescent="0.45">
      <c r="A27" s="216" t="s">
        <v>58</v>
      </c>
      <c r="B27" s="193"/>
      <c r="C27" s="193"/>
      <c r="D27" s="194"/>
    </row>
    <row r="28" spans="1:4" ht="24.6" x14ac:dyDescent="0.55000000000000004">
      <c r="A28" s="192" t="s">
        <v>59</v>
      </c>
      <c r="B28" s="227"/>
      <c r="C28" s="227"/>
      <c r="D28" s="228"/>
    </row>
    <row r="29" spans="1:4" ht="15" thickBot="1" x14ac:dyDescent="0.35">
      <c r="A29" s="52"/>
      <c r="B29" s="53"/>
      <c r="C29" s="53"/>
      <c r="D29" s="54"/>
    </row>
  </sheetData>
  <sheetProtection algorithmName="SHA-512" hashValue="kEy7YRG9cKvWu/GEFyyyht6/N2+WhKPNwJT1Scrp6a9dZE2OAFplfC89mj7xYMMcKlgpzKJy7O+m1QJDgBgyeA==" saltValue="ygiUzQ58eZMxWX8I02aQPw==" spinCount="100000" sheet="1" objects="1" scenarios="1"/>
  <mergeCells count="6">
    <mergeCell ref="A11:D11"/>
    <mergeCell ref="C25:D25"/>
    <mergeCell ref="A27:D27"/>
    <mergeCell ref="A28:D28"/>
    <mergeCell ref="A1:D6"/>
    <mergeCell ref="A7:D10"/>
  </mergeCells>
  <pageMargins left="0.11811023622047245" right="0.11811023622047245" top="0.11811023622047245" bottom="0.11811023622047245" header="0.11811023622047245" footer="0.11811023622047245"/>
  <pageSetup scale="55" orientation="portrait" horizontalDpi="203" verticalDpi="203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993F5E7-B65D-4BB6-B1C8-6F05E12FBD78}">
          <x14:formula1>
            <xm:f>'Price List'!$B$5:$B$76</xm:f>
          </x14:formula1>
          <xm:sqref>A14:A23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32</vt:i4>
      </vt:variant>
      <vt:variant>
        <vt:lpstr>Named Ranges</vt:lpstr>
      </vt:variant>
      <vt:variant>
        <vt:i4>2</vt:i4>
      </vt:variant>
    </vt:vector>
  </HeadingPairs>
  <TitlesOfParts>
    <vt:vector size="34" baseType="lpstr">
      <vt:lpstr>1 December</vt:lpstr>
      <vt:lpstr>2 December</vt:lpstr>
      <vt:lpstr>3 December</vt:lpstr>
      <vt:lpstr>4 December</vt:lpstr>
      <vt:lpstr>5 December</vt:lpstr>
      <vt:lpstr>7 December</vt:lpstr>
      <vt:lpstr>8 December</vt:lpstr>
      <vt:lpstr>9 December</vt:lpstr>
      <vt:lpstr>10 December</vt:lpstr>
      <vt:lpstr>11 December</vt:lpstr>
      <vt:lpstr>12 December</vt:lpstr>
      <vt:lpstr>14 December</vt:lpstr>
      <vt:lpstr>15 December</vt:lpstr>
      <vt:lpstr>16 December</vt:lpstr>
      <vt:lpstr>17 December</vt:lpstr>
      <vt:lpstr>18 December</vt:lpstr>
      <vt:lpstr>19 December</vt:lpstr>
      <vt:lpstr>21 December</vt:lpstr>
      <vt:lpstr>22 December</vt:lpstr>
      <vt:lpstr>23 December</vt:lpstr>
      <vt:lpstr>24 December</vt:lpstr>
      <vt:lpstr>25 December</vt:lpstr>
      <vt:lpstr>26 December</vt:lpstr>
      <vt:lpstr>28 December</vt:lpstr>
      <vt:lpstr>29 December</vt:lpstr>
      <vt:lpstr>30 December</vt:lpstr>
      <vt:lpstr>31 December</vt:lpstr>
      <vt:lpstr>Receipt</vt:lpstr>
      <vt:lpstr>Month Summary</vt:lpstr>
      <vt:lpstr>Price List</vt:lpstr>
      <vt:lpstr>Formulas</vt:lpstr>
      <vt:lpstr>Receipt Copy</vt:lpstr>
      <vt:lpstr>Receipt!Print_Area</vt:lpstr>
      <vt:lpstr>'Receipt Copy'!Print_Area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Hazel</dc:creator>
  <cp:lastModifiedBy>Gerard Gerry</cp:lastModifiedBy>
  <cp:lastPrinted>2020-12-17T21:10:37Z</cp:lastPrinted>
  <dcterms:created xsi:type="dcterms:W3CDTF">2020-08-31T17:54:34Z</dcterms:created>
  <dcterms:modified xsi:type="dcterms:W3CDTF">2020-12-18T13:07:47Z</dcterms:modified>
</cp:coreProperties>
</file>